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Q:\SF - School Finance\Web Site\New MCDS Portal\AV per ADA - Updated\"/>
    </mc:Choice>
  </mc:AlternateContent>
  <bookViews>
    <workbookView xWindow="720" yWindow="300" windowWidth="13995" windowHeight="7170"/>
  </bookViews>
  <sheets>
    <sheet name="2021" sheetId="22" r:id="rId1"/>
    <sheet name="2020" sheetId="21" r:id="rId2"/>
    <sheet name="2019" sheetId="18" r:id="rId3"/>
    <sheet name="2018" sheetId="17" r:id="rId4"/>
    <sheet name="2017" sheetId="16" r:id="rId5"/>
    <sheet name="2016" sheetId="1" r:id="rId6"/>
    <sheet name="2015" sheetId="10" r:id="rId7"/>
    <sheet name="2014" sheetId="5" r:id="rId8"/>
    <sheet name="2013" sheetId="11" r:id="rId9"/>
    <sheet name="2012" sheetId="12" r:id="rId10"/>
    <sheet name="2011" sheetId="13" r:id="rId11"/>
    <sheet name="2010" sheetId="15" r:id="rId12"/>
  </sheets>
  <definedNames>
    <definedName name="_xlnm.Print_Area" localSheetId="7">'2014'!$A$1:$F$531</definedName>
    <definedName name="_xlnm.Print_Area" localSheetId="5">'2016'!$A$1:$E$527</definedName>
    <definedName name="_xlnm.Print_Area" localSheetId="4">'2017'!$A$1:$E$528</definedName>
    <definedName name="_xlnm.Print_Area" localSheetId="3">'2018'!$A$1:$E$528</definedName>
    <definedName name="_xlnm.Print_Area" localSheetId="2">'2019'!$A$1:$E$528</definedName>
    <definedName name="_xlnm.Print_Area" localSheetId="1">'2020'!$A$1:$E$528</definedName>
    <definedName name="_xlnm.Print_Area" localSheetId="0">'2021'!$A$1:$E$528</definedName>
    <definedName name="_xlnm.Print_Titles" localSheetId="11">'2010'!$1:$1</definedName>
    <definedName name="_xlnm.Print_Titles" localSheetId="10">'2011'!$1:$1</definedName>
    <definedName name="_xlnm.Print_Titles" localSheetId="8">'2013'!$1:$1</definedName>
    <definedName name="_xlnm.Print_Titles" localSheetId="6">'2015'!$1:$1</definedName>
    <definedName name="_xlnm.Print_Titles" localSheetId="5">'2016'!$1:$1</definedName>
  </definedNames>
  <calcPr calcId="162913"/>
</workbook>
</file>

<file path=xl/calcChain.xml><?xml version="1.0" encoding="utf-8"?>
<calcChain xmlns="http://schemas.openxmlformats.org/spreadsheetml/2006/main">
  <c r="E520" i="22" l="1"/>
  <c r="E520" i="21"/>
  <c r="E520" i="18" l="1"/>
  <c r="E519" i="5" l="1"/>
  <c r="E227" i="5"/>
  <c r="E520" i="17"/>
  <c r="E520" i="16"/>
  <c r="E521" i="5" l="1"/>
  <c r="E3" i="10" l="1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2" i="10"/>
  <c r="D524" i="15" l="1"/>
  <c r="C524" i="15"/>
  <c r="E522" i="15"/>
  <c r="E521" i="15"/>
  <c r="E520" i="15"/>
  <c r="E519" i="15"/>
  <c r="E518" i="15"/>
  <c r="E517" i="15"/>
  <c r="E516" i="15"/>
  <c r="E515" i="15"/>
  <c r="E514" i="15"/>
  <c r="E513" i="15"/>
  <c r="E512" i="15"/>
  <c r="E511" i="15"/>
  <c r="E510" i="15"/>
  <c r="E509" i="15"/>
  <c r="E508" i="15"/>
  <c r="E507" i="15"/>
  <c r="E506" i="15"/>
  <c r="E505" i="15"/>
  <c r="E504" i="15"/>
  <c r="E503" i="15"/>
  <c r="E502" i="15"/>
  <c r="E501" i="15"/>
  <c r="E500" i="15"/>
  <c r="E499" i="15"/>
  <c r="E498" i="15"/>
  <c r="E497" i="15"/>
  <c r="E496" i="15"/>
  <c r="E495" i="15"/>
  <c r="E494" i="15"/>
  <c r="E493" i="15"/>
  <c r="E492" i="15"/>
  <c r="E491" i="15"/>
  <c r="E490" i="15"/>
  <c r="E489" i="15"/>
  <c r="E488" i="15"/>
  <c r="E487" i="15"/>
  <c r="E486" i="15"/>
  <c r="E485" i="15"/>
  <c r="E484" i="15"/>
  <c r="E483" i="15"/>
  <c r="E482" i="15"/>
  <c r="E481" i="15"/>
  <c r="E480" i="15"/>
  <c r="E479" i="15"/>
  <c r="E478" i="15"/>
  <c r="E477" i="15"/>
  <c r="E476" i="15"/>
  <c r="E475" i="15"/>
  <c r="E474" i="15"/>
  <c r="E473" i="15"/>
  <c r="E472" i="15"/>
  <c r="E471" i="15"/>
  <c r="E470" i="15"/>
  <c r="E469" i="15"/>
  <c r="E468" i="15"/>
  <c r="E467" i="15"/>
  <c r="E466" i="15"/>
  <c r="E465" i="15"/>
  <c r="E464" i="15"/>
  <c r="E463" i="15"/>
  <c r="E462" i="15"/>
  <c r="E461" i="15"/>
  <c r="E460" i="15"/>
  <c r="E459" i="15"/>
  <c r="E458" i="15"/>
  <c r="E457" i="15"/>
  <c r="E456" i="15"/>
  <c r="E455" i="15"/>
  <c r="E454" i="15"/>
  <c r="E453" i="15"/>
  <c r="E452" i="15"/>
  <c r="E451" i="15"/>
  <c r="E450" i="15"/>
  <c r="E449" i="15"/>
  <c r="E448" i="15"/>
  <c r="E447" i="15"/>
  <c r="E446" i="15"/>
  <c r="E445" i="15"/>
  <c r="E444" i="15"/>
  <c r="E443" i="15"/>
  <c r="E442" i="15"/>
  <c r="E441" i="15"/>
  <c r="E440" i="15"/>
  <c r="E439" i="15"/>
  <c r="E438" i="15"/>
  <c r="E437" i="15"/>
  <c r="E436" i="15"/>
  <c r="E435" i="15"/>
  <c r="E434" i="15"/>
  <c r="E433" i="15"/>
  <c r="E432" i="15"/>
  <c r="E431" i="15"/>
  <c r="E430" i="15"/>
  <c r="E429" i="15"/>
  <c r="E428" i="15"/>
  <c r="E427" i="15"/>
  <c r="E426" i="15"/>
  <c r="E425" i="15"/>
  <c r="E424" i="15"/>
  <c r="E423" i="15"/>
  <c r="E422" i="15"/>
  <c r="E421" i="15"/>
  <c r="E420" i="15"/>
  <c r="E419" i="15"/>
  <c r="E418" i="15"/>
  <c r="E417" i="15"/>
  <c r="E416" i="15"/>
  <c r="E415" i="15"/>
  <c r="E414" i="15"/>
  <c r="E413" i="15"/>
  <c r="E412" i="15"/>
  <c r="E411" i="15"/>
  <c r="E410" i="15"/>
  <c r="E409" i="15"/>
  <c r="E408" i="15"/>
  <c r="E407" i="15"/>
  <c r="E406" i="15"/>
  <c r="E405" i="15"/>
  <c r="E404" i="15"/>
  <c r="E403" i="15"/>
  <c r="E402" i="15"/>
  <c r="E401" i="15"/>
  <c r="E400" i="15"/>
  <c r="E399" i="15"/>
  <c r="E398" i="15"/>
  <c r="E397" i="15"/>
  <c r="E396" i="15"/>
  <c r="E395" i="15"/>
  <c r="E394" i="15"/>
  <c r="E393" i="15"/>
  <c r="E392" i="15"/>
  <c r="E391" i="15"/>
  <c r="E390" i="15"/>
  <c r="E389" i="15"/>
  <c r="E388" i="15"/>
  <c r="E387" i="15"/>
  <c r="E386" i="15"/>
  <c r="E385" i="15"/>
  <c r="E384" i="15"/>
  <c r="E383" i="15"/>
  <c r="E382" i="15"/>
  <c r="E381" i="15"/>
  <c r="E380" i="15"/>
  <c r="E379" i="15"/>
  <c r="E378" i="15"/>
  <c r="E377" i="15"/>
  <c r="E376" i="15"/>
  <c r="E375" i="15"/>
  <c r="E374" i="15"/>
  <c r="E373" i="15"/>
  <c r="E372" i="15"/>
  <c r="E371" i="15"/>
  <c r="E370" i="15"/>
  <c r="E369" i="15"/>
  <c r="E368" i="15"/>
  <c r="E367" i="15"/>
  <c r="E366" i="15"/>
  <c r="E365" i="15"/>
  <c r="E364" i="15"/>
  <c r="E363" i="15"/>
  <c r="E362" i="15"/>
  <c r="E361" i="15"/>
  <c r="E360" i="15"/>
  <c r="E359" i="15"/>
  <c r="E358" i="15"/>
  <c r="E357" i="15"/>
  <c r="E356" i="15"/>
  <c r="E355" i="15"/>
  <c r="E354" i="15"/>
  <c r="E353" i="15"/>
  <c r="E352" i="15"/>
  <c r="E351" i="15"/>
  <c r="E350" i="15"/>
  <c r="E349" i="15"/>
  <c r="E348" i="15"/>
  <c r="E347" i="15"/>
  <c r="E346" i="15"/>
  <c r="E345" i="15"/>
  <c r="E344" i="15"/>
  <c r="E343" i="15"/>
  <c r="E342" i="15"/>
  <c r="E341" i="15"/>
  <c r="E340" i="15"/>
  <c r="E339" i="15"/>
  <c r="E338" i="15"/>
  <c r="E337" i="15"/>
  <c r="E336" i="15"/>
  <c r="E335" i="15"/>
  <c r="E334" i="15"/>
  <c r="E333" i="15"/>
  <c r="E332" i="15"/>
  <c r="E331" i="15"/>
  <c r="E330" i="15"/>
  <c r="E329" i="15"/>
  <c r="E328" i="15"/>
  <c r="E327" i="15"/>
  <c r="E326" i="15"/>
  <c r="E325" i="15"/>
  <c r="E324" i="15"/>
  <c r="E323" i="15"/>
  <c r="E322" i="15"/>
  <c r="E321" i="15"/>
  <c r="E320" i="15"/>
  <c r="E319" i="15"/>
  <c r="E318" i="15"/>
  <c r="E317" i="15"/>
  <c r="E316" i="15"/>
  <c r="E315" i="15"/>
  <c r="E314" i="15"/>
  <c r="E313" i="15"/>
  <c r="E312" i="15"/>
  <c r="E311" i="15"/>
  <c r="E310" i="15"/>
  <c r="E309" i="15"/>
  <c r="E308" i="15"/>
  <c r="E307" i="15"/>
  <c r="E306" i="15"/>
  <c r="E305" i="15"/>
  <c r="E304" i="15"/>
  <c r="E303" i="15"/>
  <c r="E302" i="15"/>
  <c r="E301" i="15"/>
  <c r="E300" i="15"/>
  <c r="E299" i="15"/>
  <c r="E298" i="15"/>
  <c r="E297" i="15"/>
  <c r="E296" i="15"/>
  <c r="E295" i="15"/>
  <c r="E294" i="15"/>
  <c r="E293" i="15"/>
  <c r="E292" i="15"/>
  <c r="E291" i="15"/>
  <c r="E290" i="15"/>
  <c r="E289" i="15"/>
  <c r="E288" i="15"/>
  <c r="E287" i="15"/>
  <c r="E286" i="15"/>
  <c r="E285" i="15"/>
  <c r="E284" i="15"/>
  <c r="E283" i="15"/>
  <c r="E282" i="15"/>
  <c r="E281" i="15"/>
  <c r="E280" i="15"/>
  <c r="E279" i="15"/>
  <c r="E278" i="15"/>
  <c r="E277" i="15"/>
  <c r="E276" i="15"/>
  <c r="E275" i="15"/>
  <c r="E274" i="15"/>
  <c r="E273" i="15"/>
  <c r="E272" i="15"/>
  <c r="E271" i="15"/>
  <c r="E270" i="15"/>
  <c r="E269" i="15"/>
  <c r="E268" i="15"/>
  <c r="E267" i="15"/>
  <c r="E266" i="15"/>
  <c r="E265" i="15"/>
  <c r="E264" i="15"/>
  <c r="E263" i="15"/>
  <c r="E262" i="15"/>
  <c r="E261" i="15"/>
  <c r="E260" i="15"/>
  <c r="E259" i="15"/>
  <c r="E258" i="15"/>
  <c r="E257" i="15"/>
  <c r="E256" i="15"/>
  <c r="E255" i="15"/>
  <c r="E254" i="15"/>
  <c r="E253" i="15"/>
  <c r="E252" i="15"/>
  <c r="E251" i="15"/>
  <c r="E250" i="15"/>
  <c r="E249" i="15"/>
  <c r="E248" i="15"/>
  <c r="E247" i="15"/>
  <c r="E246" i="15"/>
  <c r="E245" i="15"/>
  <c r="E244" i="15"/>
  <c r="E243" i="15"/>
  <c r="E242" i="15"/>
  <c r="E241" i="15"/>
  <c r="E240" i="15"/>
  <c r="E239" i="15"/>
  <c r="E238" i="15"/>
  <c r="E237" i="15"/>
  <c r="E236" i="15"/>
  <c r="E235" i="15"/>
  <c r="E234" i="15"/>
  <c r="E233" i="15"/>
  <c r="E232" i="15"/>
  <c r="E231" i="15"/>
  <c r="E230" i="15"/>
  <c r="E229" i="15"/>
  <c r="E228" i="15"/>
  <c r="E227" i="15"/>
  <c r="E226" i="15"/>
  <c r="E225" i="15"/>
  <c r="E224" i="15"/>
  <c r="E223" i="15"/>
  <c r="E222" i="15"/>
  <c r="E221" i="15"/>
  <c r="E220" i="15"/>
  <c r="E219" i="15"/>
  <c r="E218" i="15"/>
  <c r="E217" i="15"/>
  <c r="E216" i="15"/>
  <c r="E215" i="15"/>
  <c r="E214" i="15"/>
  <c r="E213" i="15"/>
  <c r="E212" i="15"/>
  <c r="E211" i="15"/>
  <c r="E210" i="15"/>
  <c r="E209" i="15"/>
  <c r="E208" i="15"/>
  <c r="E207" i="15"/>
  <c r="E206" i="15"/>
  <c r="E205" i="15"/>
  <c r="E204" i="15"/>
  <c r="E203" i="15"/>
  <c r="E202" i="15"/>
  <c r="E201" i="15"/>
  <c r="E200" i="15"/>
  <c r="E199" i="15"/>
  <c r="E198" i="15"/>
  <c r="E197" i="15"/>
  <c r="E196" i="15"/>
  <c r="E195" i="15"/>
  <c r="E194" i="15"/>
  <c r="E193" i="15"/>
  <c r="E192" i="15"/>
  <c r="E191" i="15"/>
  <c r="E190" i="15"/>
  <c r="E189" i="15"/>
  <c r="E188" i="15"/>
  <c r="E187" i="15"/>
  <c r="E186" i="15"/>
  <c r="E185" i="15"/>
  <c r="E184" i="15"/>
  <c r="E183" i="15"/>
  <c r="E182" i="15"/>
  <c r="E181" i="15"/>
  <c r="E180" i="15"/>
  <c r="E179" i="15"/>
  <c r="E178" i="15"/>
  <c r="E177" i="15"/>
  <c r="E176" i="15"/>
  <c r="E175" i="15"/>
  <c r="E174" i="15"/>
  <c r="E173" i="15"/>
  <c r="E172" i="15"/>
  <c r="E171" i="15"/>
  <c r="E170" i="15"/>
  <c r="E169" i="15"/>
  <c r="E168" i="15"/>
  <c r="E167" i="15"/>
  <c r="E166" i="15"/>
  <c r="E165" i="15"/>
  <c r="E164" i="15"/>
  <c r="E163" i="15"/>
  <c r="E162" i="15"/>
  <c r="E161" i="15"/>
  <c r="E160" i="15"/>
  <c r="E159" i="15"/>
  <c r="E158" i="15"/>
  <c r="E157" i="15"/>
  <c r="E156" i="15"/>
  <c r="E155" i="15"/>
  <c r="E154" i="15"/>
  <c r="E153" i="15"/>
  <c r="E152" i="15"/>
  <c r="E151" i="15"/>
  <c r="E150" i="15"/>
  <c r="E149" i="15"/>
  <c r="E148" i="15"/>
  <c r="E147" i="15"/>
  <c r="E146" i="15"/>
  <c r="E145" i="15"/>
  <c r="E144" i="15"/>
  <c r="E143" i="15"/>
  <c r="E142" i="15"/>
  <c r="E141" i="15"/>
  <c r="E140" i="15"/>
  <c r="E139" i="15"/>
  <c r="E138" i="15"/>
  <c r="E137" i="15"/>
  <c r="E136" i="15"/>
  <c r="E135" i="15"/>
  <c r="E134" i="15"/>
  <c r="E133" i="15"/>
  <c r="E132" i="15"/>
  <c r="E131" i="15"/>
  <c r="E130" i="15"/>
  <c r="E129" i="15"/>
  <c r="E128" i="15"/>
  <c r="E127" i="15"/>
  <c r="E126" i="15"/>
  <c r="E125" i="15"/>
  <c r="E124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111" i="15"/>
  <c r="E110" i="15"/>
  <c r="E109" i="15"/>
  <c r="E108" i="15"/>
  <c r="E107" i="15"/>
  <c r="E106" i="15"/>
  <c r="E105" i="15"/>
  <c r="E104" i="15"/>
  <c r="E103" i="15"/>
  <c r="E102" i="15"/>
  <c r="E101" i="15"/>
  <c r="E100" i="15"/>
  <c r="E99" i="15"/>
  <c r="E98" i="15"/>
  <c r="E97" i="15"/>
  <c r="E96" i="15"/>
  <c r="E95" i="15"/>
  <c r="E94" i="15"/>
  <c r="E93" i="15"/>
  <c r="E92" i="15"/>
  <c r="E91" i="15"/>
  <c r="E90" i="15"/>
  <c r="E89" i="15"/>
  <c r="E88" i="15"/>
  <c r="E87" i="15"/>
  <c r="E86" i="15"/>
  <c r="E85" i="15"/>
  <c r="E84" i="15"/>
  <c r="E83" i="15"/>
  <c r="E82" i="15"/>
  <c r="E81" i="15"/>
  <c r="E80" i="15"/>
  <c r="E79" i="15"/>
  <c r="E78" i="15"/>
  <c r="E77" i="15"/>
  <c r="E76" i="15"/>
  <c r="E75" i="15"/>
  <c r="E74" i="15"/>
  <c r="E73" i="15"/>
  <c r="E72" i="15"/>
  <c r="E71" i="15"/>
  <c r="E70" i="15"/>
  <c r="E69" i="15"/>
  <c r="E68" i="15"/>
  <c r="E67" i="15"/>
  <c r="E66" i="15"/>
  <c r="E65" i="15"/>
  <c r="E64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2" i="15"/>
  <c r="D523" i="13"/>
  <c r="C523" i="13"/>
  <c r="E521" i="13"/>
  <c r="E520" i="13"/>
  <c r="E519" i="13"/>
  <c r="E518" i="13"/>
  <c r="E517" i="13"/>
  <c r="E516" i="13"/>
  <c r="E515" i="13"/>
  <c r="E514" i="13"/>
  <c r="E513" i="13"/>
  <c r="E512" i="13"/>
  <c r="E511" i="13"/>
  <c r="E510" i="13"/>
  <c r="E509" i="13"/>
  <c r="E508" i="13"/>
  <c r="E507" i="13"/>
  <c r="E506" i="13"/>
  <c r="E505" i="13"/>
  <c r="E504" i="13"/>
  <c r="E503" i="13"/>
  <c r="E502" i="13"/>
  <c r="E501" i="13"/>
  <c r="E500" i="13"/>
  <c r="E499" i="13"/>
  <c r="E498" i="13"/>
  <c r="E497" i="13"/>
  <c r="E496" i="13"/>
  <c r="E495" i="13"/>
  <c r="E494" i="13"/>
  <c r="E493" i="13"/>
  <c r="E492" i="13"/>
  <c r="E491" i="13"/>
  <c r="E490" i="13"/>
  <c r="E489" i="13"/>
  <c r="E488" i="13"/>
  <c r="E487" i="13"/>
  <c r="E486" i="13"/>
  <c r="E485" i="13"/>
  <c r="E484" i="13"/>
  <c r="E483" i="13"/>
  <c r="E482" i="13"/>
  <c r="E481" i="13"/>
  <c r="E480" i="13"/>
  <c r="E479" i="13"/>
  <c r="E478" i="13"/>
  <c r="E477" i="13"/>
  <c r="E476" i="13"/>
  <c r="E475" i="13"/>
  <c r="E474" i="13"/>
  <c r="E473" i="13"/>
  <c r="E472" i="13"/>
  <c r="E471" i="13"/>
  <c r="E470" i="13"/>
  <c r="E469" i="13"/>
  <c r="E468" i="13"/>
  <c r="E467" i="13"/>
  <c r="E466" i="13"/>
  <c r="E465" i="13"/>
  <c r="E464" i="13"/>
  <c r="E463" i="13"/>
  <c r="E462" i="13"/>
  <c r="E461" i="13"/>
  <c r="E460" i="13"/>
  <c r="E459" i="13"/>
  <c r="E458" i="13"/>
  <c r="E457" i="13"/>
  <c r="E456" i="13"/>
  <c r="E455" i="13"/>
  <c r="E454" i="13"/>
  <c r="E453" i="13"/>
  <c r="E452" i="13"/>
  <c r="E451" i="13"/>
  <c r="E450" i="13"/>
  <c r="E449" i="13"/>
  <c r="E448" i="13"/>
  <c r="E447" i="13"/>
  <c r="E446" i="13"/>
  <c r="E445" i="13"/>
  <c r="E444" i="13"/>
  <c r="E443" i="13"/>
  <c r="E442" i="13"/>
  <c r="E441" i="13"/>
  <c r="E440" i="13"/>
  <c r="E439" i="13"/>
  <c r="E438" i="13"/>
  <c r="E437" i="13"/>
  <c r="E436" i="13"/>
  <c r="E435" i="13"/>
  <c r="E434" i="13"/>
  <c r="E433" i="13"/>
  <c r="E432" i="13"/>
  <c r="E431" i="13"/>
  <c r="E430" i="13"/>
  <c r="E429" i="13"/>
  <c r="E428" i="13"/>
  <c r="E427" i="13"/>
  <c r="E426" i="13"/>
  <c r="E425" i="13"/>
  <c r="E424" i="13"/>
  <c r="E423" i="13"/>
  <c r="E422" i="13"/>
  <c r="E421" i="13"/>
  <c r="E420" i="13"/>
  <c r="E419" i="13"/>
  <c r="E418" i="13"/>
  <c r="E417" i="13"/>
  <c r="E416" i="13"/>
  <c r="E415" i="13"/>
  <c r="E414" i="13"/>
  <c r="E413" i="13"/>
  <c r="E412" i="13"/>
  <c r="E411" i="13"/>
  <c r="E410" i="13"/>
  <c r="E409" i="13"/>
  <c r="E408" i="13"/>
  <c r="E407" i="13"/>
  <c r="E406" i="13"/>
  <c r="E405" i="13"/>
  <c r="E404" i="13"/>
  <c r="E403" i="13"/>
  <c r="E402" i="13"/>
  <c r="E401" i="13"/>
  <c r="E400" i="13"/>
  <c r="E399" i="13"/>
  <c r="E398" i="13"/>
  <c r="E397" i="13"/>
  <c r="E396" i="13"/>
  <c r="E395" i="13"/>
  <c r="E394" i="13"/>
  <c r="E393" i="13"/>
  <c r="E392" i="13"/>
  <c r="E391" i="13"/>
  <c r="E390" i="13"/>
  <c r="E389" i="13"/>
  <c r="E388" i="13"/>
  <c r="E387" i="13"/>
  <c r="E386" i="13"/>
  <c r="E385" i="13"/>
  <c r="E384" i="13"/>
  <c r="E383" i="13"/>
  <c r="E382" i="13"/>
  <c r="E381" i="13"/>
  <c r="E380" i="13"/>
  <c r="E379" i="13"/>
  <c r="E378" i="13"/>
  <c r="E377" i="13"/>
  <c r="E376" i="13"/>
  <c r="E375" i="13"/>
  <c r="E374" i="13"/>
  <c r="E373" i="13"/>
  <c r="E372" i="13"/>
  <c r="E371" i="13"/>
  <c r="E370" i="13"/>
  <c r="E369" i="13"/>
  <c r="E368" i="13"/>
  <c r="E367" i="13"/>
  <c r="E366" i="13"/>
  <c r="E365" i="13"/>
  <c r="E364" i="13"/>
  <c r="E363" i="13"/>
  <c r="E362" i="13"/>
  <c r="E361" i="13"/>
  <c r="E360" i="13"/>
  <c r="E359" i="13"/>
  <c r="E358" i="13"/>
  <c r="E357" i="13"/>
  <c r="E356" i="13"/>
  <c r="E355" i="13"/>
  <c r="E354" i="13"/>
  <c r="E353" i="13"/>
  <c r="E352" i="13"/>
  <c r="E351" i="13"/>
  <c r="E350" i="13"/>
  <c r="E349" i="13"/>
  <c r="E348" i="13"/>
  <c r="E347" i="13"/>
  <c r="E346" i="13"/>
  <c r="E345" i="13"/>
  <c r="E344" i="13"/>
  <c r="E343" i="13"/>
  <c r="E342" i="13"/>
  <c r="E341" i="13"/>
  <c r="E340" i="13"/>
  <c r="E339" i="13"/>
  <c r="E338" i="13"/>
  <c r="E337" i="13"/>
  <c r="E336" i="13"/>
  <c r="E335" i="13"/>
  <c r="E334" i="13"/>
  <c r="E333" i="13"/>
  <c r="E332" i="13"/>
  <c r="E331" i="13"/>
  <c r="E330" i="13"/>
  <c r="E329" i="13"/>
  <c r="E328" i="13"/>
  <c r="E327" i="13"/>
  <c r="E326" i="13"/>
  <c r="E325" i="13"/>
  <c r="E324" i="13"/>
  <c r="E323" i="13"/>
  <c r="E322" i="13"/>
  <c r="E321" i="13"/>
  <c r="E320" i="13"/>
  <c r="E319" i="13"/>
  <c r="E318" i="13"/>
  <c r="E317" i="13"/>
  <c r="E316" i="13"/>
  <c r="E315" i="13"/>
  <c r="E314" i="13"/>
  <c r="E313" i="13"/>
  <c r="E312" i="13"/>
  <c r="E311" i="13"/>
  <c r="E310" i="13"/>
  <c r="E309" i="13"/>
  <c r="E308" i="13"/>
  <c r="E307" i="13"/>
  <c r="E306" i="13"/>
  <c r="E305" i="13"/>
  <c r="E304" i="13"/>
  <c r="E303" i="13"/>
  <c r="E302" i="13"/>
  <c r="E301" i="13"/>
  <c r="E300" i="13"/>
  <c r="E299" i="13"/>
  <c r="E298" i="13"/>
  <c r="E297" i="13"/>
  <c r="E296" i="13"/>
  <c r="E295" i="13"/>
  <c r="E294" i="13"/>
  <c r="E293" i="13"/>
  <c r="E292" i="13"/>
  <c r="E291" i="13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D523" i="12"/>
  <c r="C523" i="12"/>
  <c r="E525" i="12" s="1"/>
  <c r="E521" i="12"/>
  <c r="E520" i="12"/>
  <c r="E519" i="12"/>
  <c r="E518" i="12"/>
  <c r="E517" i="12"/>
  <c r="E516" i="12"/>
  <c r="E515" i="12"/>
  <c r="E514" i="12"/>
  <c r="E513" i="12"/>
  <c r="E512" i="12"/>
  <c r="E511" i="12"/>
  <c r="E510" i="12"/>
  <c r="E509" i="12"/>
  <c r="E508" i="12"/>
  <c r="E507" i="12"/>
  <c r="E506" i="12"/>
  <c r="E505" i="12"/>
  <c r="E504" i="12"/>
  <c r="E503" i="12"/>
  <c r="E502" i="12"/>
  <c r="E501" i="12"/>
  <c r="E500" i="12"/>
  <c r="E499" i="12"/>
  <c r="E498" i="12"/>
  <c r="E497" i="12"/>
  <c r="E496" i="12"/>
  <c r="E495" i="12"/>
  <c r="E494" i="12"/>
  <c r="E493" i="12"/>
  <c r="E492" i="12"/>
  <c r="E491" i="12"/>
  <c r="E490" i="12"/>
  <c r="E489" i="12"/>
  <c r="E488" i="12"/>
  <c r="E487" i="12"/>
  <c r="E486" i="12"/>
  <c r="E485" i="12"/>
  <c r="E484" i="12"/>
  <c r="E483" i="12"/>
  <c r="E482" i="12"/>
  <c r="E481" i="12"/>
  <c r="E480" i="12"/>
  <c r="E479" i="12"/>
  <c r="E478" i="12"/>
  <c r="E477" i="12"/>
  <c r="E476" i="12"/>
  <c r="E475" i="12"/>
  <c r="E474" i="12"/>
  <c r="E473" i="12"/>
  <c r="E472" i="12"/>
  <c r="E471" i="12"/>
  <c r="E470" i="12"/>
  <c r="E469" i="12"/>
  <c r="E468" i="12"/>
  <c r="E467" i="12"/>
  <c r="E466" i="12"/>
  <c r="E465" i="12"/>
  <c r="E464" i="12"/>
  <c r="E463" i="12"/>
  <c r="E462" i="12"/>
  <c r="E461" i="12"/>
  <c r="E460" i="12"/>
  <c r="E459" i="12"/>
  <c r="E458" i="12"/>
  <c r="E457" i="12"/>
  <c r="E456" i="12"/>
  <c r="E455" i="12"/>
  <c r="E454" i="12"/>
  <c r="E453" i="12"/>
  <c r="E452" i="12"/>
  <c r="E451" i="12"/>
  <c r="E450" i="12"/>
  <c r="E449" i="12"/>
  <c r="E448" i="12"/>
  <c r="E447" i="12"/>
  <c r="E446" i="12"/>
  <c r="E445" i="12"/>
  <c r="E444" i="12"/>
  <c r="E443" i="12"/>
  <c r="E442" i="12"/>
  <c r="E441" i="12"/>
  <c r="E440" i="12"/>
  <c r="E439" i="12"/>
  <c r="E438" i="12"/>
  <c r="E437" i="12"/>
  <c r="E436" i="12"/>
  <c r="E435" i="12"/>
  <c r="E434" i="12"/>
  <c r="E433" i="12"/>
  <c r="E432" i="12"/>
  <c r="E431" i="12"/>
  <c r="E430" i="12"/>
  <c r="E429" i="12"/>
  <c r="E428" i="12"/>
  <c r="E427" i="12"/>
  <c r="E426" i="12"/>
  <c r="E425" i="12"/>
  <c r="E424" i="12"/>
  <c r="E423" i="12"/>
  <c r="E422" i="12"/>
  <c r="E421" i="12"/>
  <c r="E420" i="12"/>
  <c r="E419" i="12"/>
  <c r="E418" i="12"/>
  <c r="E417" i="12"/>
  <c r="E416" i="12"/>
  <c r="E415" i="12"/>
  <c r="E414" i="12"/>
  <c r="E413" i="12"/>
  <c r="E412" i="12"/>
  <c r="E411" i="12"/>
  <c r="E410" i="12"/>
  <c r="E409" i="12"/>
  <c r="E408" i="12"/>
  <c r="E407" i="12"/>
  <c r="E406" i="12"/>
  <c r="E405" i="12"/>
  <c r="E404" i="12"/>
  <c r="E403" i="12"/>
  <c r="E402" i="12"/>
  <c r="E401" i="12"/>
  <c r="E400" i="12"/>
  <c r="E399" i="12"/>
  <c r="E398" i="12"/>
  <c r="E397" i="12"/>
  <c r="E396" i="12"/>
  <c r="E395" i="12"/>
  <c r="E394" i="12"/>
  <c r="E393" i="12"/>
  <c r="E392" i="12"/>
  <c r="E391" i="12"/>
  <c r="E390" i="12"/>
  <c r="E389" i="12"/>
  <c r="E388" i="12"/>
  <c r="E387" i="12"/>
  <c r="E386" i="12"/>
  <c r="E385" i="12"/>
  <c r="E384" i="12"/>
  <c r="E383" i="12"/>
  <c r="E382" i="12"/>
  <c r="E381" i="12"/>
  <c r="E380" i="12"/>
  <c r="E379" i="12"/>
  <c r="E378" i="12"/>
  <c r="E377" i="12"/>
  <c r="E376" i="12"/>
  <c r="E375" i="12"/>
  <c r="E374" i="12"/>
  <c r="E373" i="12"/>
  <c r="E372" i="12"/>
  <c r="E371" i="12"/>
  <c r="E370" i="12"/>
  <c r="E369" i="12"/>
  <c r="E368" i="12"/>
  <c r="E367" i="12"/>
  <c r="E366" i="12"/>
  <c r="E365" i="12"/>
  <c r="E364" i="12"/>
  <c r="E363" i="12"/>
  <c r="E362" i="12"/>
  <c r="E361" i="12"/>
  <c r="E360" i="12"/>
  <c r="E359" i="12"/>
  <c r="E358" i="12"/>
  <c r="E357" i="12"/>
  <c r="E356" i="12"/>
  <c r="E355" i="12"/>
  <c r="E354" i="12"/>
  <c r="E353" i="12"/>
  <c r="E352" i="12"/>
  <c r="E351" i="12"/>
  <c r="E350" i="12"/>
  <c r="E349" i="12"/>
  <c r="E348" i="12"/>
  <c r="E347" i="12"/>
  <c r="E346" i="12"/>
  <c r="E345" i="12"/>
  <c r="E344" i="12"/>
  <c r="E343" i="12"/>
  <c r="E342" i="12"/>
  <c r="E341" i="12"/>
  <c r="E340" i="12"/>
  <c r="E339" i="12"/>
  <c r="E338" i="12"/>
  <c r="E337" i="12"/>
  <c r="E336" i="12"/>
  <c r="E335" i="12"/>
  <c r="E334" i="12"/>
  <c r="E333" i="12"/>
  <c r="E332" i="12"/>
  <c r="E331" i="12"/>
  <c r="E330" i="12"/>
  <c r="E329" i="12"/>
  <c r="E328" i="12"/>
  <c r="E327" i="12"/>
  <c r="E326" i="12"/>
  <c r="E325" i="12"/>
  <c r="E324" i="12"/>
  <c r="E323" i="12"/>
  <c r="E322" i="12"/>
  <c r="E321" i="12"/>
  <c r="E320" i="12"/>
  <c r="E319" i="12"/>
  <c r="E318" i="12"/>
  <c r="E317" i="12"/>
  <c r="E316" i="12"/>
  <c r="E315" i="12"/>
  <c r="E314" i="12"/>
  <c r="E313" i="12"/>
  <c r="E312" i="12"/>
  <c r="E311" i="12"/>
  <c r="E310" i="12"/>
  <c r="E309" i="12"/>
  <c r="E308" i="12"/>
  <c r="E307" i="12"/>
  <c r="E306" i="12"/>
  <c r="E305" i="12"/>
  <c r="E304" i="12"/>
  <c r="E303" i="12"/>
  <c r="E302" i="12"/>
  <c r="E301" i="12"/>
  <c r="E300" i="12"/>
  <c r="E299" i="12"/>
  <c r="E298" i="12"/>
  <c r="E297" i="12"/>
  <c r="E296" i="12"/>
  <c r="E295" i="12"/>
  <c r="E294" i="12"/>
  <c r="E293" i="12"/>
  <c r="E292" i="12"/>
  <c r="E291" i="12"/>
  <c r="E290" i="12"/>
  <c r="E289" i="12"/>
  <c r="E288" i="12"/>
  <c r="E287" i="12"/>
  <c r="E286" i="12"/>
  <c r="E285" i="12"/>
  <c r="E284" i="12"/>
  <c r="E283" i="12"/>
  <c r="E282" i="12"/>
  <c r="E281" i="12"/>
  <c r="E280" i="12"/>
  <c r="E279" i="12"/>
  <c r="E278" i="12"/>
  <c r="E277" i="12"/>
  <c r="E276" i="12"/>
  <c r="E275" i="12"/>
  <c r="E274" i="12"/>
  <c r="E273" i="12"/>
  <c r="E272" i="12"/>
  <c r="E271" i="12"/>
  <c r="E270" i="12"/>
  <c r="E269" i="12"/>
  <c r="E268" i="12"/>
  <c r="E267" i="12"/>
  <c r="E266" i="12"/>
  <c r="E265" i="12"/>
  <c r="E264" i="12"/>
  <c r="E263" i="12"/>
  <c r="E262" i="12"/>
  <c r="E261" i="12"/>
  <c r="E260" i="12"/>
  <c r="E259" i="12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E226" i="12"/>
  <c r="E225" i="12"/>
  <c r="E224" i="12"/>
  <c r="E223" i="12"/>
  <c r="E222" i="12"/>
  <c r="E221" i="12"/>
  <c r="E220" i="12"/>
  <c r="E219" i="12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E525" i="13" l="1"/>
  <c r="E526" i="15"/>
  <c r="D521" i="11"/>
  <c r="C521" i="11"/>
  <c r="E523" i="11" s="1"/>
  <c r="E521" i="10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2" i="1"/>
  <c r="E519" i="1" l="1"/>
</calcChain>
</file>

<file path=xl/sharedStrings.xml><?xml version="1.0" encoding="utf-8"?>
<sst xmlns="http://schemas.openxmlformats.org/spreadsheetml/2006/main" count="7913" uniqueCount="1601">
  <si>
    <t>District</t>
  </si>
  <si>
    <t>Name</t>
  </si>
  <si>
    <t>Assessed Valuation per ADA</t>
  </si>
  <si>
    <t>(Total Assessed Value / Total Actual ADA)</t>
  </si>
  <si>
    <t xml:space="preserve">NOTES: </t>
  </si>
  <si>
    <t xml:space="preserve">     Special school district in Pemiscot County has been omitted.</t>
  </si>
  <si>
    <t xml:space="preserve">     Students living on the federal military bases are included in the ADA's for 019-152 Belton, 051-155 </t>
  </si>
  <si>
    <t xml:space="preserve">     Knob Noster, and 085-046 Waynesville as appropriate.</t>
  </si>
  <si>
    <t>ADAIR CO. R-I</t>
  </si>
  <si>
    <t>KIRKSVILLE R-III</t>
  </si>
  <si>
    <t>ADAIR CO. R-II</t>
  </si>
  <si>
    <t>NORTH ANDREW CO. R-VI</t>
  </si>
  <si>
    <t>AVENUE CITY R-IX</t>
  </si>
  <si>
    <t>SAVANNAH R-III</t>
  </si>
  <si>
    <t>TARKIO R-I</t>
  </si>
  <si>
    <t>ROCK PORT R-II</t>
  </si>
  <si>
    <t>FAIRFAX R-III</t>
  </si>
  <si>
    <t>COMMUNITY R-VI</t>
  </si>
  <si>
    <t>VAN-FAR R-I</t>
  </si>
  <si>
    <t>MEXICO 59</t>
  </si>
  <si>
    <t>WHEATON R-III</t>
  </si>
  <si>
    <t>SOUTHWEST R-V</t>
  </si>
  <si>
    <t>EXETER R-VI</t>
  </si>
  <si>
    <t>CASSVILLE R-IV</t>
  </si>
  <si>
    <t>PURDY R-II</t>
  </si>
  <si>
    <t>SHELL KNOB 78</t>
  </si>
  <si>
    <t>MONETT R-I</t>
  </si>
  <si>
    <t>LIBERAL R-II</t>
  </si>
  <si>
    <t>GOLDEN CITY R-III</t>
  </si>
  <si>
    <t>LAMAR R-I</t>
  </si>
  <si>
    <t>MIAMI R-I</t>
  </si>
  <si>
    <t>BALLARD R-II</t>
  </si>
  <si>
    <t>ADRIAN R-III</t>
  </si>
  <si>
    <t>RICH HILL R-IV</t>
  </si>
  <si>
    <t>HUME R-VIII</t>
  </si>
  <si>
    <t>HUDSON R-IX</t>
  </si>
  <si>
    <t>BUTLER R-V</t>
  </si>
  <si>
    <t>LINCOLN R-II</t>
  </si>
  <si>
    <t>WARSAW R-IX</t>
  </si>
  <si>
    <t>COLE CAMP R-I</t>
  </si>
  <si>
    <t>MEADOW HEIGHTS R-II</t>
  </si>
  <si>
    <t>LEOPOLD R-III</t>
  </si>
  <si>
    <t>ZALMA R-V</t>
  </si>
  <si>
    <t>WOODLAND R-IV</t>
  </si>
  <si>
    <t>SOUTHERN BOONE CO. R-I</t>
  </si>
  <si>
    <t>HALLSVILLE R-IV</t>
  </si>
  <si>
    <t>STURGEON R-V</t>
  </si>
  <si>
    <t>CENTRALIA R-VI</t>
  </si>
  <si>
    <t>HARRISBURG R-VIII</t>
  </si>
  <si>
    <t>COLUMBIA 93</t>
  </si>
  <si>
    <t>EAST BUCHANAN CO. C-1</t>
  </si>
  <si>
    <t>MID-BUCHANAN CO. R-V</t>
  </si>
  <si>
    <t>BUCHANAN CO. R-IV</t>
  </si>
  <si>
    <t>ST. JOSEPH</t>
  </si>
  <si>
    <t>NEELYVILLE R-IV</t>
  </si>
  <si>
    <t>POPLAR BLUFF R-I</t>
  </si>
  <si>
    <t>TWIN RIVERS R-X</t>
  </si>
  <si>
    <t>BRECKENRIDGE R-I</t>
  </si>
  <si>
    <t>HAMILTON R-II</t>
  </si>
  <si>
    <t>NEW YORK R-IV</t>
  </si>
  <si>
    <t>COWGILL R-VI</t>
  </si>
  <si>
    <t>POLO R-VII</t>
  </si>
  <si>
    <t>MIRABILE C-1</t>
  </si>
  <si>
    <t>BRAYMER C-4</t>
  </si>
  <si>
    <t>KINGSTON 42</t>
  </si>
  <si>
    <t>NORTH CALLAWAY CO. R-I</t>
  </si>
  <si>
    <t>NEW BLOOMFIELD R-III</t>
  </si>
  <si>
    <t>FULTON 58</t>
  </si>
  <si>
    <t>SOUTH CALLAWAY CO. R-II</t>
  </si>
  <si>
    <t>STOUTLAND R-II</t>
  </si>
  <si>
    <t>CAMDENTON R-III</t>
  </si>
  <si>
    <t>CLIMAX SPRINGS R-IV</t>
  </si>
  <si>
    <t>MACKS CREEK R-V</t>
  </si>
  <si>
    <t>JACKSON R-II</t>
  </si>
  <si>
    <t>DELTA R-V</t>
  </si>
  <si>
    <t>OAK RIDGE R-VI</t>
  </si>
  <si>
    <t>CAPE GIRARDEAU 63</t>
  </si>
  <si>
    <t>NELL HOLCOMB R-IV</t>
  </si>
  <si>
    <t>HALE R-I</t>
  </si>
  <si>
    <t>TINA-AVALON R-II</t>
  </si>
  <si>
    <t>BOSWORTH R-V</t>
  </si>
  <si>
    <t>CARROLLTON R-VII</t>
  </si>
  <si>
    <t>NORBORNE R-VIII</t>
  </si>
  <si>
    <t>EAST CARTER CO. R-II</t>
  </si>
  <si>
    <t>VAN BUREN R-I</t>
  </si>
  <si>
    <t>ARCHIE R-V</t>
  </si>
  <si>
    <t>STRASBURG C-3</t>
  </si>
  <si>
    <t>RAYMORE-PECULIAR R-II</t>
  </si>
  <si>
    <t>SHERWOOD CASS R-VIII</t>
  </si>
  <si>
    <t>EAST LYNNE 40</t>
  </si>
  <si>
    <t>PLEASANT HILL R-III</t>
  </si>
  <si>
    <t>HARRISONVILLE R-IX</t>
  </si>
  <si>
    <t>DREXEL R-IV</t>
  </si>
  <si>
    <t>MIDWAY R-I</t>
  </si>
  <si>
    <t>BELTON 124</t>
  </si>
  <si>
    <t>STOCKTON R-I</t>
  </si>
  <si>
    <t>EL DORADO SPRINGS R-II</t>
  </si>
  <si>
    <t>NORTHWESTERN R-I</t>
  </si>
  <si>
    <t>BRUNSWICK R-II</t>
  </si>
  <si>
    <t>KEYTESVILLE R-III</t>
  </si>
  <si>
    <t>SALISBURY R-IV</t>
  </si>
  <si>
    <t>CHADWICK R-I</t>
  </si>
  <si>
    <t>NIXA PUBLIC SCHOOLS</t>
  </si>
  <si>
    <t>SPARTA R-III</t>
  </si>
  <si>
    <t>BILLINGS R-IV</t>
  </si>
  <si>
    <t>CLEVER R-V</t>
  </si>
  <si>
    <t>OZARK R-VI</t>
  </si>
  <si>
    <t>SPOKANE R-VII</t>
  </si>
  <si>
    <t>CLARK CO. R-I</t>
  </si>
  <si>
    <t>KEARNEY R-I</t>
  </si>
  <si>
    <t>SMITHVILLE R-II</t>
  </si>
  <si>
    <t>EXCELSIOR SPRINGS 40</t>
  </si>
  <si>
    <t>LIBERTY 53</t>
  </si>
  <si>
    <t>MISSOURI CITY 56</t>
  </si>
  <si>
    <t>NORTH KANSAS CITY 74</t>
  </si>
  <si>
    <t>CAMERON R-I</t>
  </si>
  <si>
    <t>LATHROP R-II</t>
  </si>
  <si>
    <t>CLINTON CO. R-III</t>
  </si>
  <si>
    <t>COLE CO. R-I</t>
  </si>
  <si>
    <t>BLAIR OAKS R-II</t>
  </si>
  <si>
    <t>COLE CO. R-V</t>
  </si>
  <si>
    <t>JEFFERSON CITY</t>
  </si>
  <si>
    <t>BLACKWATER R-II</t>
  </si>
  <si>
    <t>COOPER CO. R-IV</t>
  </si>
  <si>
    <t>PRAIRIE HOME R-V</t>
  </si>
  <si>
    <t>OTTERVILLE R-VI</t>
  </si>
  <si>
    <t>PILOT GROVE C-4</t>
  </si>
  <si>
    <t>BOONVILLE R-I</t>
  </si>
  <si>
    <t>CRAWFORD CO. R-I</t>
  </si>
  <si>
    <t>CRAWFORD CO. R-II</t>
  </si>
  <si>
    <t>STEELVILLE R-III</t>
  </si>
  <si>
    <t>LOCKWOOD R-I</t>
  </si>
  <si>
    <t>DADEVILLE R-II</t>
  </si>
  <si>
    <t>EVERTON R-III</t>
  </si>
  <si>
    <t>GREENFIELD R-IV</t>
  </si>
  <si>
    <t>DALLAS CO. R-I</t>
  </si>
  <si>
    <t>PATTONSBURG R-II</t>
  </si>
  <si>
    <t>WINSTON R-VI</t>
  </si>
  <si>
    <t>NORTH DAVIESS R-III</t>
  </si>
  <si>
    <t>GALLATIN R-V</t>
  </si>
  <si>
    <t>TRI-COUNTY R-VII</t>
  </si>
  <si>
    <t>OSBORN R-O</t>
  </si>
  <si>
    <t>MAYSVILLE R-I</t>
  </si>
  <si>
    <t>UNION STAR R-II</t>
  </si>
  <si>
    <t>STEWARTSVILLE C-2</t>
  </si>
  <si>
    <t>SALEM R-80</t>
  </si>
  <si>
    <t>OAK HILL R-I</t>
  </si>
  <si>
    <t>GREEN FOREST R-II</t>
  </si>
  <si>
    <t>DENT-PHELPS R-III</t>
  </si>
  <si>
    <t>NORTH WOOD R-IV</t>
  </si>
  <si>
    <t>SKYLINE R-II</t>
  </si>
  <si>
    <t>PLAINVIEW R-VIII</t>
  </si>
  <si>
    <t>AVA R-I</t>
  </si>
  <si>
    <t>MALDEN R-I</t>
  </si>
  <si>
    <t>CAMPBELL R-II</t>
  </si>
  <si>
    <t>HOLCOMB R-III</t>
  </si>
  <si>
    <t>CLARKTON C-4</t>
  </si>
  <si>
    <t>SENATH-HORNERSVILLE C-8</t>
  </si>
  <si>
    <t>SOUTHLAND C-9</t>
  </si>
  <si>
    <t>KENNETT 39</t>
  </si>
  <si>
    <t>FRANKLIN CO. R-II</t>
  </si>
  <si>
    <t>MERAMEC VALLEY R-III</t>
  </si>
  <si>
    <t>UNION R-XI</t>
  </si>
  <si>
    <t>LONEDELL R-XIV</t>
  </si>
  <si>
    <t>SPRING BLUFF R-XV</t>
  </si>
  <si>
    <t>STRAIN-JAPAN R-XVI</t>
  </si>
  <si>
    <t>ST. CLAIR R-XIII</t>
  </si>
  <si>
    <t>SULLIVAN C-2</t>
  </si>
  <si>
    <t>NEW HAVEN</t>
  </si>
  <si>
    <t>WASHINGTON</t>
  </si>
  <si>
    <t>GASCONADE CO. R-II</t>
  </si>
  <si>
    <t>GASCONADE CO. R-I</t>
  </si>
  <si>
    <t>KING CITY R-I</t>
  </si>
  <si>
    <t>STANBERRY R-II</t>
  </si>
  <si>
    <t>ALBANY R-III</t>
  </si>
  <si>
    <t>WILLARD R-II</t>
  </si>
  <si>
    <t>REPUBLIC R-III</t>
  </si>
  <si>
    <t>ASH GROVE R-IV</t>
  </si>
  <si>
    <t>WALNUT GROVE R-V</t>
  </si>
  <si>
    <t>STRAFFORD R-VI</t>
  </si>
  <si>
    <t>LOGAN-ROGERSVILLE R-VIII</t>
  </si>
  <si>
    <t>SPRINGFIELD R-XII</t>
  </si>
  <si>
    <t>FAIR GROVE R-X</t>
  </si>
  <si>
    <t>GRUNDY CO R-V</t>
  </si>
  <si>
    <t>SPICKARD R-II</t>
  </si>
  <si>
    <t>PLEASANT VIEW R-VI</t>
  </si>
  <si>
    <t>LAREDO R-VII</t>
  </si>
  <si>
    <t>TRENTON R-IX</t>
  </si>
  <si>
    <t>CAINSVILLE R-I</t>
  </si>
  <si>
    <t>SOUTH HARRISON CO. R-II</t>
  </si>
  <si>
    <t>NORTH HARRISON R-III</t>
  </si>
  <si>
    <t>GILMAN CITY R-IV</t>
  </si>
  <si>
    <t>RIDGEWAY R-V</t>
  </si>
  <si>
    <t>HENRY CO. R-I</t>
  </si>
  <si>
    <t>SHAWNEE R-III</t>
  </si>
  <si>
    <t>CALHOUN R-VIII</t>
  </si>
  <si>
    <t>LEESVILLE R-IX</t>
  </si>
  <si>
    <t>DAVIS R-XII</t>
  </si>
  <si>
    <t>MONTROSE R-XIV</t>
  </si>
  <si>
    <t>CLINTON</t>
  </si>
  <si>
    <t>HICKORY CO. R-I</t>
  </si>
  <si>
    <t>WHEATLAND R-II</t>
  </si>
  <si>
    <t>WEAUBLEAU R-III</t>
  </si>
  <si>
    <t>HERMITAGE R-IV</t>
  </si>
  <si>
    <t>CRAIG R-III</t>
  </si>
  <si>
    <t>MOUND CITY R-II</t>
  </si>
  <si>
    <t>SOUTH HOLT CO. R-I</t>
  </si>
  <si>
    <t>NEW FRANKLIN R-I</t>
  </si>
  <si>
    <t>FAYETTE R-III</t>
  </si>
  <si>
    <t>GLASGOW</t>
  </si>
  <si>
    <t>HOWELL VALLEY R-I</t>
  </si>
  <si>
    <t>MOUNTAIN VIEW-BIRCH TREE R-III</t>
  </si>
  <si>
    <t>WILLOW SPRINGS R-IV</t>
  </si>
  <si>
    <t>RICHARDS R-V</t>
  </si>
  <si>
    <t>WEST PLAINS R-VII</t>
  </si>
  <si>
    <t>GLENWOOD R-VIII</t>
  </si>
  <si>
    <t>JUNCTION HILL C-12</t>
  </si>
  <si>
    <t>FAIRVIEW R-XI</t>
  </si>
  <si>
    <t>SOUTH IRON CO. R-I</t>
  </si>
  <si>
    <t>ARCADIA VALLEY R-II</t>
  </si>
  <si>
    <t>BELLEVIEW R-III</t>
  </si>
  <si>
    <t>IRON CO. C-4</t>
  </si>
  <si>
    <t>FORT OSAGE R-I</t>
  </si>
  <si>
    <t>BLUE SPRINGS R-IV</t>
  </si>
  <si>
    <t>GRAIN VALLEY R-V</t>
  </si>
  <si>
    <t>OAK GROVE R-VI</t>
  </si>
  <si>
    <t>LEE'S SUMMIT R-VII</t>
  </si>
  <si>
    <t>HICKMAN MILLS C-1</t>
  </si>
  <si>
    <t>RAYTOWN C-2</t>
  </si>
  <si>
    <t>GRANDVIEW C-4</t>
  </si>
  <si>
    <t>LONE JACK C-6</t>
  </si>
  <si>
    <t>INDEPENDENCE 30</t>
  </si>
  <si>
    <t>KANSAS CITY 33</t>
  </si>
  <si>
    <t>CENTER 58</t>
  </si>
  <si>
    <t>CARL JUNCTION R-I</t>
  </si>
  <si>
    <t>AVILLA R-XIII</t>
  </si>
  <si>
    <t>JASPER CO. R-V</t>
  </si>
  <si>
    <t>SARCOXIE R-II</t>
  </si>
  <si>
    <t>CARTHAGE R-IX</t>
  </si>
  <si>
    <t>WEBB CITY R-VII</t>
  </si>
  <si>
    <t>JOPLIN SCHOOLS</t>
  </si>
  <si>
    <t>NORTHWEST R-I</t>
  </si>
  <si>
    <t>GRANDVIEW R-II</t>
  </si>
  <si>
    <t>HILLSBORO R-III</t>
  </si>
  <si>
    <t>DUNKLIN R-V</t>
  </si>
  <si>
    <t>FESTUS R-VI</t>
  </si>
  <si>
    <t>JEFFERSON CO. R-VII</t>
  </si>
  <si>
    <t>SUNRISE R-IX</t>
  </si>
  <si>
    <t>WINDSOR C-1</t>
  </si>
  <si>
    <t>FOX C-6</t>
  </si>
  <si>
    <t>CRYSTAL CITY 47</t>
  </si>
  <si>
    <t>DESOTO 73</t>
  </si>
  <si>
    <t>KINGSVILLE R-I</t>
  </si>
  <si>
    <t>HOLDEN R-III</t>
  </si>
  <si>
    <t>CHILHOWEE R-IV</t>
  </si>
  <si>
    <t>JOHNSON CO. R-VII</t>
  </si>
  <si>
    <t>KNOB NOSTER R-VIII</t>
  </si>
  <si>
    <t>LEETON R-X</t>
  </si>
  <si>
    <t>WARRENSBURG R-VI</t>
  </si>
  <si>
    <t>KNOX CO. R-I</t>
  </si>
  <si>
    <t>LACLEDE CO. R-I</t>
  </si>
  <si>
    <t>GASCONADE C-4</t>
  </si>
  <si>
    <t>LEBANON R-III</t>
  </si>
  <si>
    <t>LACLEDE CO. C-5</t>
  </si>
  <si>
    <t>CONCORDIA R-II</t>
  </si>
  <si>
    <t>LAFAYETTE CO. C-1</t>
  </si>
  <si>
    <t>ODESSA R-VII</t>
  </si>
  <si>
    <t>SANTA FE R-X</t>
  </si>
  <si>
    <t>WELLINGTON-NAPOLEON R-IX</t>
  </si>
  <si>
    <t>LEXINGTON R-V</t>
  </si>
  <si>
    <t>MILLER R-II</t>
  </si>
  <si>
    <t>PIERCE CITY R-VI</t>
  </si>
  <si>
    <t>MARIONVILLE R-IX</t>
  </si>
  <si>
    <t>MT. VERNON R-V</t>
  </si>
  <si>
    <t>AURORA R-VIII</t>
  </si>
  <si>
    <t>VERONA R-VII</t>
  </si>
  <si>
    <t>CANTON R-V</t>
  </si>
  <si>
    <t>LEWIS CO. C-1</t>
  </si>
  <si>
    <t>SILEX R-I</t>
  </si>
  <si>
    <t>ELSBERRY R-II</t>
  </si>
  <si>
    <t>TROY R-III</t>
  </si>
  <si>
    <t>WINFIELD R-IV</t>
  </si>
  <si>
    <t>LINN CO. R-I</t>
  </si>
  <si>
    <t>BUCKLIN R-II</t>
  </si>
  <si>
    <t>MEADVILLE R-IV</t>
  </si>
  <si>
    <t>MARCELINE R-V</t>
  </si>
  <si>
    <t>BROOKFIELD R-III</t>
  </si>
  <si>
    <t>SOUTHWEST LIVINGSTON CO. R-I</t>
  </si>
  <si>
    <t>LIVINGSTON CO. R-III</t>
  </si>
  <si>
    <t>CHILLICOTHE R-II</t>
  </si>
  <si>
    <t>MCDONALD CO. R-I</t>
  </si>
  <si>
    <t>ATLANTA C-3</t>
  </si>
  <si>
    <t>BEVIER C-4</t>
  </si>
  <si>
    <t>LA PLATA R-II</t>
  </si>
  <si>
    <t>MACON CO. R-I</t>
  </si>
  <si>
    <t>CALLAO C-8</t>
  </si>
  <si>
    <t>MACON CO. R-IV</t>
  </si>
  <si>
    <t>MARQUAND-ZION R-VI</t>
  </si>
  <si>
    <t>FREDERICKTOWN R-I</t>
  </si>
  <si>
    <t>MARIES CO. R-I</t>
  </si>
  <si>
    <t>MARIES CO. R-II</t>
  </si>
  <si>
    <t>MARION CO. R-II</t>
  </si>
  <si>
    <t>PALMYRA R-I</t>
  </si>
  <si>
    <t>HANNIBAL 60</t>
  </si>
  <si>
    <t>NORTH MERCER CO. R-III</t>
  </si>
  <si>
    <t>PRINCETON R-V</t>
  </si>
  <si>
    <t>ELDON R-I</t>
  </si>
  <si>
    <t>MILLER CO. R-III</t>
  </si>
  <si>
    <t>ST. ELIZABETH R-IV</t>
  </si>
  <si>
    <t>SCHOOL OF THE OSAGE</t>
  </si>
  <si>
    <t>IBERIA R-V</t>
  </si>
  <si>
    <t>EAST PRAIRIE R-II</t>
  </si>
  <si>
    <t>CHARLESTON R-I</t>
  </si>
  <si>
    <t>MONITEAU CO. R-I</t>
  </si>
  <si>
    <t>HIGH POINT R-III</t>
  </si>
  <si>
    <t>MONITEAU CO. R-V</t>
  </si>
  <si>
    <t>TIPTON R-VI</t>
  </si>
  <si>
    <t>JAMESTOWN C-1</t>
  </si>
  <si>
    <t>CLARKSBURG C-2</t>
  </si>
  <si>
    <t>MIDDLE GROVE C-1</t>
  </si>
  <si>
    <t>MONROE CITY R-I</t>
  </si>
  <si>
    <t>HOLLIDAY C-2</t>
  </si>
  <si>
    <t>MADISON C-3</t>
  </si>
  <si>
    <t>PARIS R-II</t>
  </si>
  <si>
    <t>WELLSVILLE MIDDLETOWN R-I</t>
  </si>
  <si>
    <t>MONTGOMERY CO. R-II</t>
  </si>
  <si>
    <t>MORGAN CO. R-I</t>
  </si>
  <si>
    <t>MORGAN CO. R-II</t>
  </si>
  <si>
    <t>RISCO R-II</t>
  </si>
  <si>
    <t>PORTAGEVILLE</t>
  </si>
  <si>
    <t>GIDEON 37</t>
  </si>
  <si>
    <t>NEW MADRID CO. R-I</t>
  </si>
  <si>
    <t>EAST NEWTON CO. R-VI</t>
  </si>
  <si>
    <t>DIAMOND R-IV</t>
  </si>
  <si>
    <t>WESTVIEW C-6</t>
  </si>
  <si>
    <t>SENECA R-VII</t>
  </si>
  <si>
    <t>NEOSHO R-V</t>
  </si>
  <si>
    <t>NODAWAY-HOLT R-VII</t>
  </si>
  <si>
    <t>WEST NODAWAY CO. R-I</t>
  </si>
  <si>
    <t>NORTHEAST NODAWAY CO. R-V</t>
  </si>
  <si>
    <t>JEFFERSON C-123</t>
  </si>
  <si>
    <t>NORTH NODAWAY CO. R-VI</t>
  </si>
  <si>
    <t>MARYVILLE R-II</t>
  </si>
  <si>
    <t>SOUTH NODAWAY CO. R-IV</t>
  </si>
  <si>
    <t>COUCH R-I</t>
  </si>
  <si>
    <t>THAYER R-II</t>
  </si>
  <si>
    <t>OREGON-HOWELL R-III</t>
  </si>
  <si>
    <t>ALTON R-IV</t>
  </si>
  <si>
    <t>OSAGE CO. R-I</t>
  </si>
  <si>
    <t>OSAGE CO. R-II</t>
  </si>
  <si>
    <t>OSAGE CO. R-III</t>
  </si>
  <si>
    <t>THORNFIELD R-I</t>
  </si>
  <si>
    <t>BAKERSFIELD R-IV</t>
  </si>
  <si>
    <t>GAINESVILLE R-V</t>
  </si>
  <si>
    <t>DORA R-III</t>
  </si>
  <si>
    <t>LUTIE R-VI</t>
  </si>
  <si>
    <t>NORTH PEMISCOT CO. R-I</t>
  </si>
  <si>
    <t>HAYTI R-II</t>
  </si>
  <si>
    <t>PEMISCOT CO. R-III</t>
  </si>
  <si>
    <t>COOTER R-IV</t>
  </si>
  <si>
    <t>SOUTH PEMISCOT CO. R-V</t>
  </si>
  <si>
    <t>DELTA C-7</t>
  </si>
  <si>
    <t>CARUTHERSVILLE 18</t>
  </si>
  <si>
    <t>PERRY CO. 32</t>
  </si>
  <si>
    <t>ALTENBURG 48</t>
  </si>
  <si>
    <t>PETTIS CO. R-V</t>
  </si>
  <si>
    <t>LA MONTE R-IV</t>
  </si>
  <si>
    <t>SMITHTON R-VI</t>
  </si>
  <si>
    <t>GREEN RIDGE R-VIII</t>
  </si>
  <si>
    <t>PETTIS CO. R-XII</t>
  </si>
  <si>
    <t>SEDALIA 200</t>
  </si>
  <si>
    <t>ST. JAMES R-I</t>
  </si>
  <si>
    <t>NEWBURG R-II</t>
  </si>
  <si>
    <t>ROLLA 31</t>
  </si>
  <si>
    <t>PHELPS CO. R-III</t>
  </si>
  <si>
    <t>BOWLING GREEN R-I</t>
  </si>
  <si>
    <t>PIKE CO. R-III</t>
  </si>
  <si>
    <t>BONCL R-X</t>
  </si>
  <si>
    <t>LOUISIANA R-II</t>
  </si>
  <si>
    <t>NORTH PLATTE CO. R-I</t>
  </si>
  <si>
    <t>WEST PLATTE CO. R-II</t>
  </si>
  <si>
    <t>PLATTE CO. R-III</t>
  </si>
  <si>
    <t>PARK HILL</t>
  </si>
  <si>
    <t>BOLIVAR R-I</t>
  </si>
  <si>
    <t>FAIR PLAY R-II</t>
  </si>
  <si>
    <t>HALFWAY R-III</t>
  </si>
  <si>
    <t>HUMANSVILLE R-IV</t>
  </si>
  <si>
    <t>MARION C. EARLY R-V</t>
  </si>
  <si>
    <t>PLEASANT HOPE R-VI</t>
  </si>
  <si>
    <t>SWEDEBORG R-III</t>
  </si>
  <si>
    <t>RICHLAND R-IV</t>
  </si>
  <si>
    <t>LAQUEY R-V</t>
  </si>
  <si>
    <t>WAYNESVILLE R-VI</t>
  </si>
  <si>
    <t>DIXON R-I</t>
  </si>
  <si>
    <t>CROCKER R-II</t>
  </si>
  <si>
    <t>PUTNAM CO. R-I</t>
  </si>
  <si>
    <t>RALLS CO. R-II</t>
  </si>
  <si>
    <t>NORTHEAST RANDOLPH CO. R-IV</t>
  </si>
  <si>
    <t>RENICK R-V</t>
  </si>
  <si>
    <t>HIGBEE R-VIII</t>
  </si>
  <si>
    <t>WESTRAN R-I</t>
  </si>
  <si>
    <t>MOBERLY</t>
  </si>
  <si>
    <t>LAWSON R-XIV</t>
  </si>
  <si>
    <t>ORRICK R-XI</t>
  </si>
  <si>
    <t>HARDIN-CENTRAL C-2</t>
  </si>
  <si>
    <t>RICHMOND R-XVI</t>
  </si>
  <si>
    <t>CENTERVILLE R-I</t>
  </si>
  <si>
    <t>SOUTHERN REYNOLDS CO. R-II</t>
  </si>
  <si>
    <t>BUNKER R-III</t>
  </si>
  <si>
    <t>LESTERVILLE R-IV</t>
  </si>
  <si>
    <t>NAYLOR R-II</t>
  </si>
  <si>
    <t>DONIPHAN R-I</t>
  </si>
  <si>
    <t>RIPLEY CO. R-IV</t>
  </si>
  <si>
    <t>RIPLEY CO. R-III</t>
  </si>
  <si>
    <t>FT. ZUMWALT R-II</t>
  </si>
  <si>
    <t>FRANCIS HOWELL R-III</t>
  </si>
  <si>
    <t>WENTZVILLE R-IV</t>
  </si>
  <si>
    <t>ST. CHARLES R-VI</t>
  </si>
  <si>
    <t>ORCHARD FARM R-V</t>
  </si>
  <si>
    <t>APPLETON CITY R-II</t>
  </si>
  <si>
    <t>ROSCOE C-1</t>
  </si>
  <si>
    <t>LAKELAND R-III</t>
  </si>
  <si>
    <t>OSCEOLA</t>
  </si>
  <si>
    <t>BISMARCK R-V</t>
  </si>
  <si>
    <t>FARMINGTON R-VII</t>
  </si>
  <si>
    <t>NORTH ST. FRANCOIS CO. R-I</t>
  </si>
  <si>
    <t>CENTRAL R-III</t>
  </si>
  <si>
    <t>WEST ST. FRANCOIS CO. R-IV</t>
  </si>
  <si>
    <t>STE. GENEVIEVE CO. R-II</t>
  </si>
  <si>
    <t>HAZELWOOD</t>
  </si>
  <si>
    <t>FERGUSON-FLORISSANT R-II</t>
  </si>
  <si>
    <t>PATTONVILLE R-III</t>
  </si>
  <si>
    <t>ROCKWOOD R-VI</t>
  </si>
  <si>
    <t>KIRKWOOD R-VII</t>
  </si>
  <si>
    <t>LINDBERGH SCHOOLS</t>
  </si>
  <si>
    <t>MEHLVILLE R-IX</t>
  </si>
  <si>
    <t>PARKWAY C-2</t>
  </si>
  <si>
    <t>AFFTON 101</t>
  </si>
  <si>
    <t>BAYLESS</t>
  </si>
  <si>
    <t>BRENTWOOD</t>
  </si>
  <si>
    <t>CLAYTON</t>
  </si>
  <si>
    <t>HANCOCK PLACE</t>
  </si>
  <si>
    <t>JENNINGS</t>
  </si>
  <si>
    <t>LADUE</t>
  </si>
  <si>
    <t>MAPLEWOOD-RICHMOND HEIGHTS</t>
  </si>
  <si>
    <t>RITENOUR</t>
  </si>
  <si>
    <t>RIVERVIEW GARDENS</t>
  </si>
  <si>
    <t>UNIVERSITY CITY</t>
  </si>
  <si>
    <t>VALLEY PARK</t>
  </si>
  <si>
    <t>WEBSTER GROVES</t>
  </si>
  <si>
    <t>OREARVILLE R-IV</t>
  </si>
  <si>
    <t>MALTA BEND R-V</t>
  </si>
  <si>
    <t>HARDEMAN R-X</t>
  </si>
  <si>
    <t>GILLIAM C-4</t>
  </si>
  <si>
    <t>MARSHALL</t>
  </si>
  <si>
    <t>SLATER</t>
  </si>
  <si>
    <t>SWEET SPRINGS R-VII</t>
  </si>
  <si>
    <t>SCHUYLER CO. R-I</t>
  </si>
  <si>
    <t>SCOTLAND CO. R-I</t>
  </si>
  <si>
    <t>SCOTT CITY R-I</t>
  </si>
  <si>
    <t>CHAFFEE R-II</t>
  </si>
  <si>
    <t>SCOTT CO. R-IV</t>
  </si>
  <si>
    <t>SCOTT CO. CENTRAL</t>
  </si>
  <si>
    <t>SIKESTON R-6</t>
  </si>
  <si>
    <t>KELSO C-7</t>
  </si>
  <si>
    <t>ORAN R-III</t>
  </si>
  <si>
    <t>WINONA R-III</t>
  </si>
  <si>
    <t>EMINENCE R-I</t>
  </si>
  <si>
    <t>NORTH SHELBY</t>
  </si>
  <si>
    <t>SHELBY CO. R-IV</t>
  </si>
  <si>
    <t>RICHLAND R-I</t>
  </si>
  <si>
    <t>BELL CITY R-II</t>
  </si>
  <si>
    <t>ADVANCE R-IV</t>
  </si>
  <si>
    <t>PUXICO R-VIII</t>
  </si>
  <si>
    <t>BLOOMFIELD R-XIV</t>
  </si>
  <si>
    <t>DEXTER R-XI</t>
  </si>
  <si>
    <t>BERNIE R-XIII</t>
  </si>
  <si>
    <t>HURLEY R-I</t>
  </si>
  <si>
    <t>GALENA R-II</t>
  </si>
  <si>
    <t>CRANE R-III</t>
  </si>
  <si>
    <t>REEDS SPRING R-IV</t>
  </si>
  <si>
    <t>BLUE EYE R-V</t>
  </si>
  <si>
    <t>GREEN CITY R-I</t>
  </si>
  <si>
    <t>MILAN C-2</t>
  </si>
  <si>
    <t>NEWTOWN-HARRIS R-III</t>
  </si>
  <si>
    <t>BRADLEYVILLE R-I</t>
  </si>
  <si>
    <t>TANEYVILLE R-II</t>
  </si>
  <si>
    <t>FORSYTH R-III</t>
  </si>
  <si>
    <t>BRANSON R-IV</t>
  </si>
  <si>
    <t>HOLLISTER R-V</t>
  </si>
  <si>
    <t>KIRBYVILLE R-VI</t>
  </si>
  <si>
    <t>MARK TWAIN R-VIII</t>
  </si>
  <si>
    <t>SUCCESS R-VI</t>
  </si>
  <si>
    <t>HOUSTON R-I</t>
  </si>
  <si>
    <t>SUMMERSVILLE R-II</t>
  </si>
  <si>
    <t>LICKING R-VIII</t>
  </si>
  <si>
    <t>CABOOL R-IV</t>
  </si>
  <si>
    <t>PLATO R-V</t>
  </si>
  <si>
    <t>RAYMONDVILLE R-VII</t>
  </si>
  <si>
    <t>NEVADA R-V</t>
  </si>
  <si>
    <t>BRONAUGH R-VII</t>
  </si>
  <si>
    <t>SHELDON R-VIII</t>
  </si>
  <si>
    <t>NORTHEAST VERNON CO. R-I</t>
  </si>
  <si>
    <t>WARREN CO. R-III</t>
  </si>
  <si>
    <t>KINGSTON K-14</t>
  </si>
  <si>
    <t>POTOSI R-III</t>
  </si>
  <si>
    <t>RICHWOODS R-VII</t>
  </si>
  <si>
    <t>VALLEY R-VI</t>
  </si>
  <si>
    <t>GREENVILLE R-II</t>
  </si>
  <si>
    <t>CLEARWATER R-I</t>
  </si>
  <si>
    <t>NIANGUA R-V</t>
  </si>
  <si>
    <t>FORDLAND R-III</t>
  </si>
  <si>
    <t>MARSHFIELD R-I</t>
  </si>
  <si>
    <t>SEYMOUR R-II</t>
  </si>
  <si>
    <t>WORTH CO. R-III</t>
  </si>
  <si>
    <t>NORWOOD R-I</t>
  </si>
  <si>
    <t>HARTVILLE R-II</t>
  </si>
  <si>
    <t>MOUNTAIN GROVE R-III</t>
  </si>
  <si>
    <t>MANSFIELD R-IV</t>
  </si>
  <si>
    <t>MANES R-V</t>
  </si>
  <si>
    <t>ST. LOUIS CITY</t>
  </si>
  <si>
    <t>NORMANDY SCHOOLS COLLABORATIVE</t>
  </si>
  <si>
    <t>WRIGHT CITY R-II OF WARREN CO.</t>
  </si>
  <si>
    <t>December 2015 Assessed Valuation</t>
  </si>
  <si>
    <t>001-090</t>
  </si>
  <si>
    <t>001-091</t>
  </si>
  <si>
    <t>001-092</t>
  </si>
  <si>
    <t>002-089</t>
  </si>
  <si>
    <t>002-090</t>
  </si>
  <si>
    <t>002-097</t>
  </si>
  <si>
    <t>003-031</t>
  </si>
  <si>
    <t>003-032</t>
  </si>
  <si>
    <t>003-033</t>
  </si>
  <si>
    <t>004-106</t>
  </si>
  <si>
    <t>004-109</t>
  </si>
  <si>
    <t>004-110</t>
  </si>
  <si>
    <t>005-120</t>
  </si>
  <si>
    <t>005-121</t>
  </si>
  <si>
    <t>005-122</t>
  </si>
  <si>
    <t>005-123</t>
  </si>
  <si>
    <t>005-124</t>
  </si>
  <si>
    <t>005-127</t>
  </si>
  <si>
    <t>005-128</t>
  </si>
  <si>
    <t>006-101</t>
  </si>
  <si>
    <t>006-103</t>
  </si>
  <si>
    <t>006-104</t>
  </si>
  <si>
    <t>007-121</t>
  </si>
  <si>
    <t>007-122</t>
  </si>
  <si>
    <t>007-123</t>
  </si>
  <si>
    <t>007-124</t>
  </si>
  <si>
    <t>007-125</t>
  </si>
  <si>
    <t>007-126</t>
  </si>
  <si>
    <t>007-129</t>
  </si>
  <si>
    <t>008-106</t>
  </si>
  <si>
    <t>008-107</t>
  </si>
  <si>
    <t>008-111</t>
  </si>
  <si>
    <t>009-077</t>
  </si>
  <si>
    <t>009-078</t>
  </si>
  <si>
    <t>009-079</t>
  </si>
  <si>
    <t>009-080</t>
  </si>
  <si>
    <t>010-087</t>
  </si>
  <si>
    <t>010-089</t>
  </si>
  <si>
    <t>010-090</t>
  </si>
  <si>
    <t>010-091</t>
  </si>
  <si>
    <t>010-092</t>
  </si>
  <si>
    <t>010-093</t>
  </si>
  <si>
    <t>011-076</t>
  </si>
  <si>
    <t>011-078</t>
  </si>
  <si>
    <t>011-079</t>
  </si>
  <si>
    <t>011-082</t>
  </si>
  <si>
    <t>012-108</t>
  </si>
  <si>
    <t>012-109</t>
  </si>
  <si>
    <t>012-110</t>
  </si>
  <si>
    <t>013-054</t>
  </si>
  <si>
    <t>013-055</t>
  </si>
  <si>
    <t>013-057</t>
  </si>
  <si>
    <t>013-058</t>
  </si>
  <si>
    <t>013-059</t>
  </si>
  <si>
    <t>013-060</t>
  </si>
  <si>
    <t>013-061</t>
  </si>
  <si>
    <t>013-062</t>
  </si>
  <si>
    <t>014-126</t>
  </si>
  <si>
    <t>014-127</t>
  </si>
  <si>
    <t>014-129</t>
  </si>
  <si>
    <t>014-130</t>
  </si>
  <si>
    <t>015-001</t>
  </si>
  <si>
    <t>015-002</t>
  </si>
  <si>
    <t>015-003</t>
  </si>
  <si>
    <t>015-004</t>
  </si>
  <si>
    <t>016-090</t>
  </si>
  <si>
    <t>016-092</t>
  </si>
  <si>
    <t>016-094</t>
  </si>
  <si>
    <t>016-096</t>
  </si>
  <si>
    <t>016-097</t>
  </si>
  <si>
    <t>017-121</t>
  </si>
  <si>
    <t>017-122</t>
  </si>
  <si>
    <t>017-124</t>
  </si>
  <si>
    <t>017-125</t>
  </si>
  <si>
    <t>017-126</t>
  </si>
  <si>
    <t>018-047</t>
  </si>
  <si>
    <t>018-050</t>
  </si>
  <si>
    <t>019-139</t>
  </si>
  <si>
    <t>019-140</t>
  </si>
  <si>
    <t>019-142</t>
  </si>
  <si>
    <t>019-144</t>
  </si>
  <si>
    <t>019-147</t>
  </si>
  <si>
    <t>019-148</t>
  </si>
  <si>
    <t>019-149</t>
  </si>
  <si>
    <t>019-150</t>
  </si>
  <si>
    <t>019-151</t>
  </si>
  <si>
    <t>019-152</t>
  </si>
  <si>
    <t>020-001</t>
  </si>
  <si>
    <t>020-002</t>
  </si>
  <si>
    <t>021-148</t>
  </si>
  <si>
    <t>021-149</t>
  </si>
  <si>
    <t>021-150</t>
  </si>
  <si>
    <t>021-151</t>
  </si>
  <si>
    <t>022-088</t>
  </si>
  <si>
    <t>022-089</t>
  </si>
  <si>
    <t>022-090</t>
  </si>
  <si>
    <t>022-091</t>
  </si>
  <si>
    <t>022-092</t>
  </si>
  <si>
    <t>022-093</t>
  </si>
  <si>
    <t>022-094</t>
  </si>
  <si>
    <t>023-101</t>
  </si>
  <si>
    <t>024-086</t>
  </si>
  <si>
    <t>024-087</t>
  </si>
  <si>
    <t>024-089</t>
  </si>
  <si>
    <t>024-090</t>
  </si>
  <si>
    <t>024-091</t>
  </si>
  <si>
    <t>024-093</t>
  </si>
  <si>
    <t>025-001</t>
  </si>
  <si>
    <t>025-002</t>
  </si>
  <si>
    <t>025-003</t>
  </si>
  <si>
    <t>026-001</t>
  </si>
  <si>
    <t>026-002</t>
  </si>
  <si>
    <t>026-005</t>
  </si>
  <si>
    <t>026-006</t>
  </si>
  <si>
    <t>027-055</t>
  </si>
  <si>
    <t>027-056</t>
  </si>
  <si>
    <t>027-057</t>
  </si>
  <si>
    <t>027-058</t>
  </si>
  <si>
    <t>027-059</t>
  </si>
  <si>
    <t>027-061</t>
  </si>
  <si>
    <t>028-101</t>
  </si>
  <si>
    <t>028-102</t>
  </si>
  <si>
    <t>028-103</t>
  </si>
  <si>
    <t>029-001</t>
  </si>
  <si>
    <t>029-002</t>
  </si>
  <si>
    <t>029-003</t>
  </si>
  <si>
    <t>029-004</t>
  </si>
  <si>
    <t>030-093</t>
  </si>
  <si>
    <t>031-116</t>
  </si>
  <si>
    <t>031-117</t>
  </si>
  <si>
    <t>031-118</t>
  </si>
  <si>
    <t>031-121</t>
  </si>
  <si>
    <t>031-122</t>
  </si>
  <si>
    <t>032-054</t>
  </si>
  <si>
    <t>032-055</t>
  </si>
  <si>
    <t>032-056</t>
  </si>
  <si>
    <t>032-058</t>
  </si>
  <si>
    <t>033-090</t>
  </si>
  <si>
    <t>033-091</t>
  </si>
  <si>
    <t>033-092</t>
  </si>
  <si>
    <t>033-093</t>
  </si>
  <si>
    <t>033-094</t>
  </si>
  <si>
    <t>034-121</t>
  </si>
  <si>
    <t>034-122</t>
  </si>
  <si>
    <t>034-124</t>
  </si>
  <si>
    <t>035-092</t>
  </si>
  <si>
    <t>035-093</t>
  </si>
  <si>
    <t>035-094</t>
  </si>
  <si>
    <t>035-097</t>
  </si>
  <si>
    <t>035-098</t>
  </si>
  <si>
    <t>035-099</t>
  </si>
  <si>
    <t>035-102</t>
  </si>
  <si>
    <t>036-123</t>
  </si>
  <si>
    <t>036-126</t>
  </si>
  <si>
    <t>036-131</t>
  </si>
  <si>
    <t>036-133</t>
  </si>
  <si>
    <t>036-134</t>
  </si>
  <si>
    <t>036-135</t>
  </si>
  <si>
    <t>036-136</t>
  </si>
  <si>
    <t>036-137</t>
  </si>
  <si>
    <t>036-138</t>
  </si>
  <si>
    <t>036-139</t>
  </si>
  <si>
    <t>037-037</t>
  </si>
  <si>
    <t>037-039</t>
  </si>
  <si>
    <t>038-044</t>
  </si>
  <si>
    <t>038-045</t>
  </si>
  <si>
    <t>038-046</t>
  </si>
  <si>
    <t>039-133</t>
  </si>
  <si>
    <t>039-134</t>
  </si>
  <si>
    <t>039-135</t>
  </si>
  <si>
    <t>039-136</t>
  </si>
  <si>
    <t>039-137</t>
  </si>
  <si>
    <t>039-139</t>
  </si>
  <si>
    <t>039-141</t>
  </si>
  <si>
    <t>039-142</t>
  </si>
  <si>
    <t>040-100</t>
  </si>
  <si>
    <t>040-101</t>
  </si>
  <si>
    <t>040-103</t>
  </si>
  <si>
    <t>040-104</t>
  </si>
  <si>
    <t>040-107</t>
  </si>
  <si>
    <t>041-001</t>
  </si>
  <si>
    <t>041-002</t>
  </si>
  <si>
    <t>041-003</t>
  </si>
  <si>
    <t>041-004</t>
  </si>
  <si>
    <t>041-005</t>
  </si>
  <si>
    <t>042-111</t>
  </si>
  <si>
    <t>042-113</t>
  </si>
  <si>
    <t>042-117</t>
  </si>
  <si>
    <t>042-118</t>
  </si>
  <si>
    <t>042-119</t>
  </si>
  <si>
    <t>042-121</t>
  </si>
  <si>
    <t>042-124</t>
  </si>
  <si>
    <t>043-001</t>
  </si>
  <si>
    <t>043-002</t>
  </si>
  <si>
    <t>043-003</t>
  </si>
  <si>
    <t>043-004</t>
  </si>
  <si>
    <t>044-078</t>
  </si>
  <si>
    <t>044-083</t>
  </si>
  <si>
    <t>044-084</t>
  </si>
  <si>
    <t>045-076</t>
  </si>
  <si>
    <t>045-077</t>
  </si>
  <si>
    <t>045-078</t>
  </si>
  <si>
    <t>046-128</t>
  </si>
  <si>
    <t>046-130</t>
  </si>
  <si>
    <t>046-131</t>
  </si>
  <si>
    <t>046-132</t>
  </si>
  <si>
    <t>046-134</t>
  </si>
  <si>
    <t>046-135</t>
  </si>
  <si>
    <t>046-137</t>
  </si>
  <si>
    <t>046-140</t>
  </si>
  <si>
    <t>047-060</t>
  </si>
  <si>
    <t>047-062</t>
  </si>
  <si>
    <t>047-064</t>
  </si>
  <si>
    <t>047-065</t>
  </si>
  <si>
    <t>048-066</t>
  </si>
  <si>
    <t>048-068</t>
  </si>
  <si>
    <t>048-069</t>
  </si>
  <si>
    <t>048-070</t>
  </si>
  <si>
    <t>048-071</t>
  </si>
  <si>
    <t>048-072</t>
  </si>
  <si>
    <t>048-073</t>
  </si>
  <si>
    <t>048-074</t>
  </si>
  <si>
    <t>048-075</t>
  </si>
  <si>
    <t>048-077</t>
  </si>
  <si>
    <t>048-078</t>
  </si>
  <si>
    <t>048-080</t>
  </si>
  <si>
    <t>049-132</t>
  </si>
  <si>
    <t>049-135</t>
  </si>
  <si>
    <t>049-137</t>
  </si>
  <si>
    <t>049-140</t>
  </si>
  <si>
    <t>049-142</t>
  </si>
  <si>
    <t>049-144</t>
  </si>
  <si>
    <t>049-148</t>
  </si>
  <si>
    <t>050-001</t>
  </si>
  <si>
    <t>050-002</t>
  </si>
  <si>
    <t>050-003</t>
  </si>
  <si>
    <t>050-005</t>
  </si>
  <si>
    <t>050-006</t>
  </si>
  <si>
    <t>050-007</t>
  </si>
  <si>
    <t>050-009</t>
  </si>
  <si>
    <t>050-010</t>
  </si>
  <si>
    <t>050-012</t>
  </si>
  <si>
    <t>050-013</t>
  </si>
  <si>
    <t>050-014</t>
  </si>
  <si>
    <t>051-150</t>
  </si>
  <si>
    <t>051-152</t>
  </si>
  <si>
    <t>051-153</t>
  </si>
  <si>
    <t>051-154</t>
  </si>
  <si>
    <t>051-155</t>
  </si>
  <si>
    <t>051-156</t>
  </si>
  <si>
    <t>051-159</t>
  </si>
  <si>
    <t>052-096</t>
  </si>
  <si>
    <t>053-111</t>
  </si>
  <si>
    <t>053-112</t>
  </si>
  <si>
    <t>053-113</t>
  </si>
  <si>
    <t>053-114</t>
  </si>
  <si>
    <t>054-037</t>
  </si>
  <si>
    <t>054-039</t>
  </si>
  <si>
    <t>054-041</t>
  </si>
  <si>
    <t>054-042</t>
  </si>
  <si>
    <t>054-043</t>
  </si>
  <si>
    <t>054-045</t>
  </si>
  <si>
    <t>055-104</t>
  </si>
  <si>
    <t>055-105</t>
  </si>
  <si>
    <t>055-106</t>
  </si>
  <si>
    <t>055-108</t>
  </si>
  <si>
    <t>055-110</t>
  </si>
  <si>
    <t>055-111</t>
  </si>
  <si>
    <t>056-015</t>
  </si>
  <si>
    <t>056-017</t>
  </si>
  <si>
    <t>057-001</t>
  </si>
  <si>
    <t>057-002</t>
  </si>
  <si>
    <t>057-003</t>
  </si>
  <si>
    <t>057-004</t>
  </si>
  <si>
    <t>058-106</t>
  </si>
  <si>
    <t>058-107</t>
  </si>
  <si>
    <t>058-108</t>
  </si>
  <si>
    <t>058-109</t>
  </si>
  <si>
    <t>058-112</t>
  </si>
  <si>
    <t>059-113</t>
  </si>
  <si>
    <t>059-114</t>
  </si>
  <si>
    <t>059-117</t>
  </si>
  <si>
    <t>060-077</t>
  </si>
  <si>
    <t>061-150</t>
  </si>
  <si>
    <t>061-151</t>
  </si>
  <si>
    <t>061-154</t>
  </si>
  <si>
    <t>061-156</t>
  </si>
  <si>
    <t>061-157</t>
  </si>
  <si>
    <t>061-158</t>
  </si>
  <si>
    <t>062-070</t>
  </si>
  <si>
    <t>062-072</t>
  </si>
  <si>
    <t>063-066</t>
  </si>
  <si>
    <t>063-067</t>
  </si>
  <si>
    <t>064-072</t>
  </si>
  <si>
    <t>064-074</t>
  </si>
  <si>
    <t>064-075</t>
  </si>
  <si>
    <t>065-096</t>
  </si>
  <si>
    <t>065-098</t>
  </si>
  <si>
    <t>066-102</t>
  </si>
  <si>
    <t>066-103</t>
  </si>
  <si>
    <t>066-104</t>
  </si>
  <si>
    <t>066-105</t>
  </si>
  <si>
    <t>066-107</t>
  </si>
  <si>
    <t>067-055</t>
  </si>
  <si>
    <t>067-061</t>
  </si>
  <si>
    <t>068-070</t>
  </si>
  <si>
    <t>068-071</t>
  </si>
  <si>
    <t>068-072</t>
  </si>
  <si>
    <t>068-073</t>
  </si>
  <si>
    <t>068-074</t>
  </si>
  <si>
    <t>068-075</t>
  </si>
  <si>
    <t>069-104</t>
  </si>
  <si>
    <t>069-106</t>
  </si>
  <si>
    <t>069-107</t>
  </si>
  <si>
    <t>069-108</t>
  </si>
  <si>
    <t>069-109</t>
  </si>
  <si>
    <t>070-092</t>
  </si>
  <si>
    <t>070-093</t>
  </si>
  <si>
    <t>071-091</t>
  </si>
  <si>
    <t>071-092</t>
  </si>
  <si>
    <t>072-066</t>
  </si>
  <si>
    <t>072-068</t>
  </si>
  <si>
    <t>072-073</t>
  </si>
  <si>
    <t>072-074</t>
  </si>
  <si>
    <t>073-099</t>
  </si>
  <si>
    <t>073-102</t>
  </si>
  <si>
    <t>073-105</t>
  </si>
  <si>
    <t>073-106</t>
  </si>
  <si>
    <t>073-108</t>
  </si>
  <si>
    <t>074-187</t>
  </si>
  <si>
    <t>074-190</t>
  </si>
  <si>
    <t>074-194</t>
  </si>
  <si>
    <t>074-195</t>
  </si>
  <si>
    <t>074-197</t>
  </si>
  <si>
    <t>074-201</t>
  </si>
  <si>
    <t>074-202</t>
  </si>
  <si>
    <t>075-084</t>
  </si>
  <si>
    <t>075-085</t>
  </si>
  <si>
    <t>075-086</t>
  </si>
  <si>
    <t>075-087</t>
  </si>
  <si>
    <t>076-081</t>
  </si>
  <si>
    <t>076-082</t>
  </si>
  <si>
    <t>076-083</t>
  </si>
  <si>
    <t>077-100</t>
  </si>
  <si>
    <t>077-101</t>
  </si>
  <si>
    <t>077-102</t>
  </si>
  <si>
    <t>077-103</t>
  </si>
  <si>
    <t>077-104</t>
  </si>
  <si>
    <t>078-001</t>
  </si>
  <si>
    <t>078-002</t>
  </si>
  <si>
    <t>078-003</t>
  </si>
  <si>
    <t>078-004</t>
  </si>
  <si>
    <t>078-005</t>
  </si>
  <si>
    <t>078-009</t>
  </si>
  <si>
    <t>078-012</t>
  </si>
  <si>
    <t>079-077</t>
  </si>
  <si>
    <t>079-078</t>
  </si>
  <si>
    <t>080-116</t>
  </si>
  <si>
    <t>080-118</t>
  </si>
  <si>
    <t>080-119</t>
  </si>
  <si>
    <t>080-121</t>
  </si>
  <si>
    <t>080-122</t>
  </si>
  <si>
    <t>080-125</t>
  </si>
  <si>
    <t>081-094</t>
  </si>
  <si>
    <t>081-095</t>
  </si>
  <si>
    <t>081-096</t>
  </si>
  <si>
    <t>081-097</t>
  </si>
  <si>
    <t>082-100</t>
  </si>
  <si>
    <t>082-101</t>
  </si>
  <si>
    <t>082-105</t>
  </si>
  <si>
    <t>082-108</t>
  </si>
  <si>
    <t>083-001</t>
  </si>
  <si>
    <t>083-002</t>
  </si>
  <si>
    <t>083-003</t>
  </si>
  <si>
    <t>083-005</t>
  </si>
  <si>
    <t>084-001</t>
  </si>
  <si>
    <t>084-002</t>
  </si>
  <si>
    <t>084-003</t>
  </si>
  <si>
    <t>084-004</t>
  </si>
  <si>
    <t>084-005</t>
  </si>
  <si>
    <t>084-006</t>
  </si>
  <si>
    <t>085-043</t>
  </si>
  <si>
    <t>085-044</t>
  </si>
  <si>
    <t>085-045</t>
  </si>
  <si>
    <t>085-046</t>
  </si>
  <si>
    <t>085-048</t>
  </si>
  <si>
    <t>085-049</t>
  </si>
  <si>
    <t>086-100</t>
  </si>
  <si>
    <t>087-083</t>
  </si>
  <si>
    <t>088-072</t>
  </si>
  <si>
    <t>088-073</t>
  </si>
  <si>
    <t>088-075</t>
  </si>
  <si>
    <t>088-080</t>
  </si>
  <si>
    <t>088-081</t>
  </si>
  <si>
    <t>089-080</t>
  </si>
  <si>
    <t>089-087</t>
  </si>
  <si>
    <t>089-088</t>
  </si>
  <si>
    <t>089-089</t>
  </si>
  <si>
    <t>090-075</t>
  </si>
  <si>
    <t>090-076</t>
  </si>
  <si>
    <t>090-077</t>
  </si>
  <si>
    <t>090-078</t>
  </si>
  <si>
    <t>091-091</t>
  </si>
  <si>
    <t>091-092</t>
  </si>
  <si>
    <t>091-093</t>
  </si>
  <si>
    <t>091-095</t>
  </si>
  <si>
    <t>092-087</t>
  </si>
  <si>
    <t>092-088</t>
  </si>
  <si>
    <t>092-089</t>
  </si>
  <si>
    <t>092-090</t>
  </si>
  <si>
    <t>092-091</t>
  </si>
  <si>
    <t>093-120</t>
  </si>
  <si>
    <t>093-121</t>
  </si>
  <si>
    <t>093-123</t>
  </si>
  <si>
    <t>093-124</t>
  </si>
  <si>
    <t>094-076</t>
  </si>
  <si>
    <t>094-078</t>
  </si>
  <si>
    <t>094-083</t>
  </si>
  <si>
    <t>094-086</t>
  </si>
  <si>
    <t>094-087</t>
  </si>
  <si>
    <t>095-059</t>
  </si>
  <si>
    <t>096-088</t>
  </si>
  <si>
    <t>096-089</t>
  </si>
  <si>
    <t>096-090</t>
  </si>
  <si>
    <t>096-091</t>
  </si>
  <si>
    <t>096-092</t>
  </si>
  <si>
    <t>096-093</t>
  </si>
  <si>
    <t>096-094</t>
  </si>
  <si>
    <t>096-095</t>
  </si>
  <si>
    <t>096-098</t>
  </si>
  <si>
    <t>096-099</t>
  </si>
  <si>
    <t>096-101</t>
  </si>
  <si>
    <t>096-102</t>
  </si>
  <si>
    <t>096-103</t>
  </si>
  <si>
    <t>096-104</t>
  </si>
  <si>
    <t>096-106</t>
  </si>
  <si>
    <t>096-107</t>
  </si>
  <si>
    <t>096-109</t>
  </si>
  <si>
    <t>096-110</t>
  </si>
  <si>
    <t>096-111</t>
  </si>
  <si>
    <t>096-112</t>
  </si>
  <si>
    <t>096-113</t>
  </si>
  <si>
    <t>096-114</t>
  </si>
  <si>
    <t>097-116</t>
  </si>
  <si>
    <t>097-118</t>
  </si>
  <si>
    <t>097-119</t>
  </si>
  <si>
    <t>097-122</t>
  </si>
  <si>
    <t>097-127</t>
  </si>
  <si>
    <t>097-129</t>
  </si>
  <si>
    <t>097-130</t>
  </si>
  <si>
    <t>097-131</t>
  </si>
  <si>
    <t>098-080</t>
  </si>
  <si>
    <t>099-082</t>
  </si>
  <si>
    <t>100-059</t>
  </si>
  <si>
    <t>100-060</t>
  </si>
  <si>
    <t>100-061</t>
  </si>
  <si>
    <t>100-062</t>
  </si>
  <si>
    <t>100-063</t>
  </si>
  <si>
    <t>100-064</t>
  </si>
  <si>
    <t>100-065</t>
  </si>
  <si>
    <t>101-105</t>
  </si>
  <si>
    <t>101-107</t>
  </si>
  <si>
    <t>102-081</t>
  </si>
  <si>
    <t>102-085</t>
  </si>
  <si>
    <t>103-127</t>
  </si>
  <si>
    <t>103-128</t>
  </si>
  <si>
    <t>103-129</t>
  </si>
  <si>
    <t>103-130</t>
  </si>
  <si>
    <t>103-131</t>
  </si>
  <si>
    <t>103-132</t>
  </si>
  <si>
    <t>103-135</t>
  </si>
  <si>
    <t>104-041</t>
  </si>
  <si>
    <t>104-042</t>
  </si>
  <si>
    <t>104-043</t>
  </si>
  <si>
    <t>104-044</t>
  </si>
  <si>
    <t>104-045</t>
  </si>
  <si>
    <t>105-123</t>
  </si>
  <si>
    <t>105-124</t>
  </si>
  <si>
    <t>105-125</t>
  </si>
  <si>
    <t>106-001</t>
  </si>
  <si>
    <t>106-002</t>
  </si>
  <si>
    <t>106-003</t>
  </si>
  <si>
    <t>106-004</t>
  </si>
  <si>
    <t>106-005</t>
  </si>
  <si>
    <t>106-006</t>
  </si>
  <si>
    <t>106-008</t>
  </si>
  <si>
    <t>107-151</t>
  </si>
  <si>
    <t>107-152</t>
  </si>
  <si>
    <t>107-153</t>
  </si>
  <si>
    <t>107-154</t>
  </si>
  <si>
    <t>107-155</t>
  </si>
  <si>
    <t>107-156</t>
  </si>
  <si>
    <t>107-158</t>
  </si>
  <si>
    <t>108-142</t>
  </si>
  <si>
    <t>108-143</t>
  </si>
  <si>
    <t>108-144</t>
  </si>
  <si>
    <t>108-147</t>
  </si>
  <si>
    <t>109-002</t>
  </si>
  <si>
    <t>109-003</t>
  </si>
  <si>
    <t>110-014</t>
  </si>
  <si>
    <t>110-029</t>
  </si>
  <si>
    <t>110-030</t>
  </si>
  <si>
    <t>110-031</t>
  </si>
  <si>
    <t>111-086</t>
  </si>
  <si>
    <t>111-087</t>
  </si>
  <si>
    <t>112-099</t>
  </si>
  <si>
    <t>112-101</t>
  </si>
  <si>
    <t>112-102</t>
  </si>
  <si>
    <t>112-103</t>
  </si>
  <si>
    <t>113-001</t>
  </si>
  <si>
    <t>114-112</t>
  </si>
  <si>
    <t>114-113</t>
  </si>
  <si>
    <t>114-114</t>
  </si>
  <si>
    <t>114-115</t>
  </si>
  <si>
    <t>114-116</t>
  </si>
  <si>
    <t>115-115</t>
  </si>
  <si>
    <t>2016 ADA</t>
  </si>
  <si>
    <t xml:space="preserve">      St. Louis Desegregation Students have been allocatted under the educating district. </t>
  </si>
  <si>
    <t>December 2014 Assessed Valuation</t>
  </si>
  <si>
    <t>ADA</t>
  </si>
  <si>
    <t>LURAY 33</t>
  </si>
  <si>
    <t>GORIN R-III</t>
  </si>
  <si>
    <t xml:space="preserve">      St. Louis Desegregation Students have not been allocatted to the appropropiate educating </t>
  </si>
  <si>
    <t xml:space="preserve">      district for this report.</t>
  </si>
  <si>
    <t>State Average Assessed Value Per ADA:</t>
  </si>
  <si>
    <t>December 2012 Assessed Valuation</t>
  </si>
  <si>
    <t>NORMANDY</t>
  </si>
  <si>
    <t>WRIGHT CITY R-II</t>
  </si>
  <si>
    <t>TOTALS:</t>
  </si>
  <si>
    <t>December 2011 Assessed Valuation</t>
  </si>
  <si>
    <t>Adair Co. R-I</t>
  </si>
  <si>
    <t>Kirksville R-III</t>
  </si>
  <si>
    <t>Adair Co. R-II</t>
  </si>
  <si>
    <t>North Andrew Co. R-VI</t>
  </si>
  <si>
    <t>Avenue City R-IX</t>
  </si>
  <si>
    <t>Savannah R-III</t>
  </si>
  <si>
    <t>Tarkio R-I</t>
  </si>
  <si>
    <t>Rock Port R-II</t>
  </si>
  <si>
    <t>Fairfax R-III</t>
  </si>
  <si>
    <t>Community R-VI</t>
  </si>
  <si>
    <t>Van-Far R-I</t>
  </si>
  <si>
    <t>Mexico 59</t>
  </si>
  <si>
    <t>Wheaton R-III</t>
  </si>
  <si>
    <t>Southwest R-V</t>
  </si>
  <si>
    <t>Exeter R-VI</t>
  </si>
  <si>
    <t>Cassville R-IV</t>
  </si>
  <si>
    <t>Purdy R-II</t>
  </si>
  <si>
    <t>Shell Knob 78</t>
  </si>
  <si>
    <t>Monett R-I</t>
  </si>
  <si>
    <t>Liberal R-II</t>
  </si>
  <si>
    <t>Golden City R-III</t>
  </si>
  <si>
    <t>Lamar R-I</t>
  </si>
  <si>
    <t>Miami R-I</t>
  </si>
  <si>
    <t>Ballard R-II</t>
  </si>
  <si>
    <t>Adrian R-III</t>
  </si>
  <si>
    <t>Rich Hill R-IV</t>
  </si>
  <si>
    <t>Hume R-VIII</t>
  </si>
  <si>
    <t>Hudson R-IX</t>
  </si>
  <si>
    <t>Butler R-V</t>
  </si>
  <si>
    <t>Lincoln R-II</t>
  </si>
  <si>
    <t>Warsaw R-IX</t>
  </si>
  <si>
    <t>Cole Camp R-I</t>
  </si>
  <si>
    <t>Meadow Heights R-II</t>
  </si>
  <si>
    <t>Leopold R-III</t>
  </si>
  <si>
    <t>Zalma R-V</t>
  </si>
  <si>
    <t>Woodland R-IV</t>
  </si>
  <si>
    <t>Southern Boone Co. R-I</t>
  </si>
  <si>
    <t>Hallsville R-IV</t>
  </si>
  <si>
    <t>Sturgeon R-V</t>
  </si>
  <si>
    <t>Centralia R-VI</t>
  </si>
  <si>
    <t>Harrisburg R-VIII</t>
  </si>
  <si>
    <t>Columbia 93</t>
  </si>
  <si>
    <t>East Buchanan Co. C-1</t>
  </si>
  <si>
    <t>Mid-Buchanan Co. R-V</t>
  </si>
  <si>
    <t>Buchanan Co. R-IV</t>
  </si>
  <si>
    <t>St. Joseph</t>
  </si>
  <si>
    <t>Neelyville R-IV</t>
  </si>
  <si>
    <t>Poplar Bluff R-I</t>
  </si>
  <si>
    <t>Twin Rivers R-X</t>
  </si>
  <si>
    <t>Breckenridge R-I</t>
  </si>
  <si>
    <t>Hamilton R-II</t>
  </si>
  <si>
    <t>New York R-IV</t>
  </si>
  <si>
    <t>Cowgill R-VI</t>
  </si>
  <si>
    <t>Polo R-VII</t>
  </si>
  <si>
    <t>Mirabile C-1</t>
  </si>
  <si>
    <t>Braymer C-4</t>
  </si>
  <si>
    <t>Kingston 42</t>
  </si>
  <si>
    <t>North Callaway Co. R-I</t>
  </si>
  <si>
    <t>New Bloomfield R-III</t>
  </si>
  <si>
    <t>Fulton 58</t>
  </si>
  <si>
    <t>South Callaway Co. R-II</t>
  </si>
  <si>
    <t>Stoutland R-II</t>
  </si>
  <si>
    <t>Camdenton R-III</t>
  </si>
  <si>
    <t>Climax Springs R-IV</t>
  </si>
  <si>
    <t>Macks Creek R-V</t>
  </si>
  <si>
    <t>Jackson R-II</t>
  </si>
  <si>
    <t>Delta R-V</t>
  </si>
  <si>
    <t>Oak Ridge R-VI</t>
  </si>
  <si>
    <t>Cape Girardeau 63</t>
  </si>
  <si>
    <t>Nell Holcomb R-IV</t>
  </si>
  <si>
    <t>Hale R-I</t>
  </si>
  <si>
    <t>Tina-Avalon R-II</t>
  </si>
  <si>
    <t>Bosworth R-V</t>
  </si>
  <si>
    <t>Carrollton R-VII</t>
  </si>
  <si>
    <t>Norborne R-VIII</t>
  </si>
  <si>
    <t>East Carter Co. R-II</t>
  </si>
  <si>
    <t>Van Buren R-I</t>
  </si>
  <si>
    <t>Archie R-V</t>
  </si>
  <si>
    <t>Strasburg C-3</t>
  </si>
  <si>
    <t>Raymore-Peculiar R-II</t>
  </si>
  <si>
    <t>Sherwood Cass R-VIII</t>
  </si>
  <si>
    <t>East Lynne 40</t>
  </si>
  <si>
    <t>Pleasant Hill R-III</t>
  </si>
  <si>
    <t>Harrisonville R-IX</t>
  </si>
  <si>
    <t>Drexel R-IV</t>
  </si>
  <si>
    <t>Midway R-I</t>
  </si>
  <si>
    <t>Belton 124</t>
  </si>
  <si>
    <t>Stockton R-I</t>
  </si>
  <si>
    <t>El Dorado Springs R-II</t>
  </si>
  <si>
    <t>Northwestern R-I</t>
  </si>
  <si>
    <t>Brunswick R-II</t>
  </si>
  <si>
    <t>Keytesville R-III</t>
  </si>
  <si>
    <t>Salisbury R-IV</t>
  </si>
  <si>
    <t>Chadwick R-I</t>
  </si>
  <si>
    <t>Nixa R-II</t>
  </si>
  <si>
    <t>Sparta R-III</t>
  </si>
  <si>
    <t>Billings R-IV</t>
  </si>
  <si>
    <t>Clever R-V</t>
  </si>
  <si>
    <t>Ozark R-VI</t>
  </si>
  <si>
    <t>Spokane R-VII</t>
  </si>
  <si>
    <t>Revere C-3</t>
  </si>
  <si>
    <t>Luray 33</t>
  </si>
  <si>
    <t>Clark Co. R-I</t>
  </si>
  <si>
    <t>Kearney R-I</t>
  </si>
  <si>
    <t>Smithville R-II</t>
  </si>
  <si>
    <t>Excelsior Springs 40</t>
  </si>
  <si>
    <t>Liberty 53</t>
  </si>
  <si>
    <t>Missouri City 56</t>
  </si>
  <si>
    <t>North Kansas City 74</t>
  </si>
  <si>
    <t>Cameron R-I</t>
  </si>
  <si>
    <t>Lathrop R-II</t>
  </si>
  <si>
    <t>Clinton Co. R-III</t>
  </si>
  <si>
    <t>Cole Co. R-I</t>
  </si>
  <si>
    <t>Blair Oaks R-II</t>
  </si>
  <si>
    <t>Cole Co. R-V</t>
  </si>
  <si>
    <t>Jefferson City</t>
  </si>
  <si>
    <t>Blackwater R-II</t>
  </si>
  <si>
    <t>Cooper Co. R-IV</t>
  </si>
  <si>
    <t>Prairie Home R-V</t>
  </si>
  <si>
    <t>Otterville R-VI</t>
  </si>
  <si>
    <t>Pilot Grove C-4</t>
  </si>
  <si>
    <t>Boonville R-I</t>
  </si>
  <si>
    <t>Crawford Co. R-I</t>
  </si>
  <si>
    <t>Crawford Co. R-II</t>
  </si>
  <si>
    <t>Steelville R-III</t>
  </si>
  <si>
    <t>Lockwood R-I</t>
  </si>
  <si>
    <t>Dadeville R-II</t>
  </si>
  <si>
    <t>Everton R-III</t>
  </si>
  <si>
    <t>Greenfield R-IV</t>
  </si>
  <si>
    <t>Dallas Co. R-I</t>
  </si>
  <si>
    <t>Pattonsburg R-II</t>
  </si>
  <si>
    <t>Winston R-VI</t>
  </si>
  <si>
    <t>North Daviess R-III</t>
  </si>
  <si>
    <t>Gallatin R-V</t>
  </si>
  <si>
    <t>Tri-County R-VII</t>
  </si>
  <si>
    <t>Osborn R-0</t>
  </si>
  <si>
    <t>Maysville R-I</t>
  </si>
  <si>
    <t>Union Star R-II</t>
  </si>
  <si>
    <t>Stewartsville C-2</t>
  </si>
  <si>
    <t>Salem R-80</t>
  </si>
  <si>
    <t>Oak Hill R-I</t>
  </si>
  <si>
    <t>Green Forest R-II</t>
  </si>
  <si>
    <t>Dent-Phelps R-III</t>
  </si>
  <si>
    <t>North Wood R-IV</t>
  </si>
  <si>
    <t>Skyline R-II</t>
  </si>
  <si>
    <t>Plainview R-VIII</t>
  </si>
  <si>
    <t>Ava R-I</t>
  </si>
  <si>
    <t>Malden R-I</t>
  </si>
  <si>
    <t>Campbell R-II</t>
  </si>
  <si>
    <t>Holcomb R-III</t>
  </si>
  <si>
    <t>Clarkton C-4</t>
  </si>
  <si>
    <t>Senath-Hornersville C-8</t>
  </si>
  <si>
    <t>Southland C-9</t>
  </si>
  <si>
    <t>Kennett 39</t>
  </si>
  <si>
    <t>Franklin Co. R-II</t>
  </si>
  <si>
    <t>Meramec Valley R-III</t>
  </si>
  <si>
    <t>Union R-XI</t>
  </si>
  <si>
    <t>Lonedell R-XIV</t>
  </si>
  <si>
    <t>Spring Bluff R-XV</t>
  </si>
  <si>
    <t>Strain-Japan R-XVI</t>
  </si>
  <si>
    <t>St. Clair R-XIII</t>
  </si>
  <si>
    <t>Sullivan</t>
  </si>
  <si>
    <t>New Haven</t>
  </si>
  <si>
    <t>Washington</t>
  </si>
  <si>
    <t>Gasconade Co. R-II</t>
  </si>
  <si>
    <t>Gasconade Co. R-I</t>
  </si>
  <si>
    <t>King City R-I</t>
  </si>
  <si>
    <t>Stanberry R-II</t>
  </si>
  <si>
    <t>Albany R-III</t>
  </si>
  <si>
    <t>Willard R-II</t>
  </si>
  <si>
    <t>Republic R-III</t>
  </si>
  <si>
    <t>Ash Grove R-IV</t>
  </si>
  <si>
    <t>Walnut Grove R-V</t>
  </si>
  <si>
    <t>Strafford R-VI</t>
  </si>
  <si>
    <t>Logan-Rogersville R-VIII</t>
  </si>
  <si>
    <t>Springfield R-XII</t>
  </si>
  <si>
    <t>Fair Grove R-X</t>
  </si>
  <si>
    <t>Grundy Co. R-V</t>
  </si>
  <si>
    <t>Spickard R-II</t>
  </si>
  <si>
    <t>Pleasant View R-VI</t>
  </si>
  <si>
    <t>Laredo R-VII</t>
  </si>
  <si>
    <t>Trenton R-IX</t>
  </si>
  <si>
    <t>Cainsville R-I</t>
  </si>
  <si>
    <t>South Harrison Co. R-II</t>
  </si>
  <si>
    <t>North Harrison Co. R-III</t>
  </si>
  <si>
    <t>Gilman City R-IV</t>
  </si>
  <si>
    <t>Ridgeway R-V</t>
  </si>
  <si>
    <t>Henry Co. R-I</t>
  </si>
  <si>
    <t>Shawnee R-III</t>
  </si>
  <si>
    <t>Calhoun R-VIII</t>
  </si>
  <si>
    <t>Leesville R-IX</t>
  </si>
  <si>
    <t>Davis R-XII</t>
  </si>
  <si>
    <t>Montrose R-XIV</t>
  </si>
  <si>
    <t>Clinton</t>
  </si>
  <si>
    <t>Hickory Co. R-I</t>
  </si>
  <si>
    <t>Wheatland R-II</t>
  </si>
  <si>
    <t>Weaubleau R-III</t>
  </si>
  <si>
    <t>Hermitage R-IV</t>
  </si>
  <si>
    <t>Craig R-III</t>
  </si>
  <si>
    <t>Mound City R-II</t>
  </si>
  <si>
    <t>South Holt Co. R-I</t>
  </si>
  <si>
    <t>New Franklin R-I</t>
  </si>
  <si>
    <t>Fayette R-III</t>
  </si>
  <si>
    <t>Howard Co. R-II</t>
  </si>
  <si>
    <t>Howell Valley R-I</t>
  </si>
  <si>
    <t>Mountain View-Birch Tree R-III</t>
  </si>
  <si>
    <t>Willow Springs R-IV</t>
  </si>
  <si>
    <t>Richards R-V</t>
  </si>
  <si>
    <t>West Plains R-VII</t>
  </si>
  <si>
    <t>Glenwood R-VIII</t>
  </si>
  <si>
    <t>Junction Hill C-12</t>
  </si>
  <si>
    <t>Fairview R-XI</t>
  </si>
  <si>
    <t>South Iron Co. R-I</t>
  </si>
  <si>
    <t>Arcadia Valley R-II</t>
  </si>
  <si>
    <t>Belleview R-III</t>
  </si>
  <si>
    <t>Iron Co. C-4</t>
  </si>
  <si>
    <t>Fort Osage R-I</t>
  </si>
  <si>
    <t>Blue Springs R-IV</t>
  </si>
  <si>
    <t>Grain Valley R-V</t>
  </si>
  <si>
    <t>Oak Grove R-VI</t>
  </si>
  <si>
    <t>Lee's Summit R-VII</t>
  </si>
  <si>
    <t>Hickman Mills C-1</t>
  </si>
  <si>
    <t>Raytown C-2</t>
  </si>
  <si>
    <t>Grandview C-4</t>
  </si>
  <si>
    <t>Lone Jack C-6</t>
  </si>
  <si>
    <t>Independence 30</t>
  </si>
  <si>
    <t>Kansas City 33</t>
  </si>
  <si>
    <t>Center 58</t>
  </si>
  <si>
    <t>Carl Junction R-I</t>
  </si>
  <si>
    <t>Avilla R-XIII</t>
  </si>
  <si>
    <t>Jasper Co. R-V</t>
  </si>
  <si>
    <t>Sarcoxie R-II</t>
  </si>
  <si>
    <t>Carthage R-IX</t>
  </si>
  <si>
    <t>Webb City R-VII</t>
  </si>
  <si>
    <t>Joplin R-VIII</t>
  </si>
  <si>
    <t>Northwest R-I</t>
  </si>
  <si>
    <t>Grandview R-II</t>
  </si>
  <si>
    <t>Hillsboro R-III</t>
  </si>
  <si>
    <t>Dunklin R-V</t>
  </si>
  <si>
    <t>Festus R-VI</t>
  </si>
  <si>
    <t>Jefferson Co. R-VII</t>
  </si>
  <si>
    <t>Sunrise R-IX</t>
  </si>
  <si>
    <t>Windsor C-1</t>
  </si>
  <si>
    <t>Fox C-6</t>
  </si>
  <si>
    <t>Crystal City 47</t>
  </si>
  <si>
    <t>DeSoto 73</t>
  </si>
  <si>
    <t>Kingsville R-I</t>
  </si>
  <si>
    <t>Holden R-III</t>
  </si>
  <si>
    <t>Chilhowee R-IV</t>
  </si>
  <si>
    <t>Johnson Co. R-VII</t>
  </si>
  <si>
    <t>Knob Noster R-VIII</t>
  </si>
  <si>
    <t>Leeton R-X</t>
  </si>
  <si>
    <t>Warrensburg R-VI</t>
  </si>
  <si>
    <t>Knox Co. R-I</t>
  </si>
  <si>
    <t>Laclede Co. R-I</t>
  </si>
  <si>
    <t>Gasconade C-4</t>
  </si>
  <si>
    <t>Lebanon R-III</t>
  </si>
  <si>
    <t>Laclede Co. C-5</t>
  </si>
  <si>
    <t>Concordia R-II</t>
  </si>
  <si>
    <t>Lafayette Co. C-1</t>
  </si>
  <si>
    <t>Odessa R-VII</t>
  </si>
  <si>
    <t>Santa Fe R-X</t>
  </si>
  <si>
    <t>Wellington-Napoleon R-IX</t>
  </si>
  <si>
    <t>Lexington R-V</t>
  </si>
  <si>
    <t>Miller R-II</t>
  </si>
  <si>
    <t>Pierce City R-VI</t>
  </si>
  <si>
    <t>Marionville R-IX</t>
  </si>
  <si>
    <t>Mt. Vernon R-V</t>
  </si>
  <si>
    <t>Aurora R-VIII</t>
  </si>
  <si>
    <t>Verona R-VII</t>
  </si>
  <si>
    <t>Canton R-V</t>
  </si>
  <si>
    <t>Lewis Co. C-1</t>
  </si>
  <si>
    <t>Silex R-I</t>
  </si>
  <si>
    <t>Elsberry R-II</t>
  </si>
  <si>
    <t>Troy R-III</t>
  </si>
  <si>
    <t>Winfield R-IV</t>
  </si>
  <si>
    <t>Linn Co. R-I</t>
  </si>
  <si>
    <t>Bucklin R-II</t>
  </si>
  <si>
    <t>Meadville R-IV</t>
  </si>
  <si>
    <t>Marceline R-V</t>
  </si>
  <si>
    <t>Brookfield R-III</t>
  </si>
  <si>
    <t>Southwest Livingston Co. R-I</t>
  </si>
  <si>
    <t>Livingston Co. R-III</t>
  </si>
  <si>
    <t>Chillicothe R-II</t>
  </si>
  <si>
    <t>McDonald Co. R-I</t>
  </si>
  <si>
    <t>Atlanta C-3</t>
  </si>
  <si>
    <t>Bevier C-4</t>
  </si>
  <si>
    <t>La Plata R-II</t>
  </si>
  <si>
    <t>Macon Co. R-I</t>
  </si>
  <si>
    <t>Callao C-8</t>
  </si>
  <si>
    <t>Macon Co. R-IV</t>
  </si>
  <si>
    <t>Marquand-Zion R-VI</t>
  </si>
  <si>
    <t>Fredericktown R-I</t>
  </si>
  <si>
    <t>Maries Co. R-I</t>
  </si>
  <si>
    <t>Maries Co. R-II</t>
  </si>
  <si>
    <t>Marion Co. R-II</t>
  </si>
  <si>
    <t>Palmyra R-I</t>
  </si>
  <si>
    <t>Hannibal 60</t>
  </si>
  <si>
    <t>North Mercer Co. R-III</t>
  </si>
  <si>
    <t>Princeton R-V</t>
  </si>
  <si>
    <t>Eldon R-I</t>
  </si>
  <si>
    <t>Miller Co. R-III</t>
  </si>
  <si>
    <t>St. Elizabeth R-IV</t>
  </si>
  <si>
    <t>School of the Osage R-II</t>
  </si>
  <si>
    <t>Iberia R-V</t>
  </si>
  <si>
    <t>East Prairie R-II</t>
  </si>
  <si>
    <t>Charleston R-I</t>
  </si>
  <si>
    <t>Moniteau Co. R-I</t>
  </si>
  <si>
    <t>High Point R-III</t>
  </si>
  <si>
    <t>Moniteau Co. R-V</t>
  </si>
  <si>
    <t>Moniteau Co. R-VI</t>
  </si>
  <si>
    <t>Moniteau Co. C-1</t>
  </si>
  <si>
    <t>Clarksburg C-2</t>
  </si>
  <si>
    <t>Middle Grove C-1</t>
  </si>
  <si>
    <t>Monroe City R-I</t>
  </si>
  <si>
    <t>Holliday C-2</t>
  </si>
  <si>
    <t>Madison C-3</t>
  </si>
  <si>
    <t>Paris R-II</t>
  </si>
  <si>
    <t>Wellsville-Middletown R-I</t>
  </si>
  <si>
    <t>Montgomery Co. R-II</t>
  </si>
  <si>
    <t>Morgan Co. R-I</t>
  </si>
  <si>
    <t>Morgan Co. R-II</t>
  </si>
  <si>
    <t>Risco R-II</t>
  </si>
  <si>
    <t>Portageville</t>
  </si>
  <si>
    <t>Gideon 37</t>
  </si>
  <si>
    <t>New Madrid Co. R-I</t>
  </si>
  <si>
    <t>East Newton Co. R-VI</t>
  </si>
  <si>
    <t>Diamond R-IV</t>
  </si>
  <si>
    <t>Westview C-6</t>
  </si>
  <si>
    <t>Seneca R-VII</t>
  </si>
  <si>
    <t>Neosho R-V</t>
  </si>
  <si>
    <t>Nodaway-Holt R-VII</t>
  </si>
  <si>
    <t>West Nodaway Co. R-I</t>
  </si>
  <si>
    <t>Northeast Nodaway Co. R-V</t>
  </si>
  <si>
    <t>Jefferson C-123</t>
  </si>
  <si>
    <t>North Nodaway Co. R-VI</t>
  </si>
  <si>
    <t>Maryville R-II</t>
  </si>
  <si>
    <t>South Nodaway Co. R-IV</t>
  </si>
  <si>
    <t>Couch R-I</t>
  </si>
  <si>
    <t>Thayer R-II</t>
  </si>
  <si>
    <t>Oregon-Howell R-III</t>
  </si>
  <si>
    <t>Alton R-IV</t>
  </si>
  <si>
    <t>Osage Co. R-I</t>
  </si>
  <si>
    <t>Osage Co. R-II</t>
  </si>
  <si>
    <t>Osage Co. R-III</t>
  </si>
  <si>
    <t>Thornfield R-I</t>
  </si>
  <si>
    <t>Bakersfield R-IV</t>
  </si>
  <si>
    <t>Gainesville R-V</t>
  </si>
  <si>
    <t>Dora R-III</t>
  </si>
  <si>
    <t>Lutie R-VI</t>
  </si>
  <si>
    <t>North Pemiscot Co. R-I</t>
  </si>
  <si>
    <t>Hayti R-II</t>
  </si>
  <si>
    <t>Pemiscot Co. R-III</t>
  </si>
  <si>
    <t>Cooter R-IV</t>
  </si>
  <si>
    <t>South Pemiscot Co. R-V</t>
  </si>
  <si>
    <t>Delta C-7</t>
  </si>
  <si>
    <t>Caruthersville 18</t>
  </si>
  <si>
    <t>Perry Co. 32</t>
  </si>
  <si>
    <t>Altenburg 48</t>
  </si>
  <si>
    <t>Pettis Co. R-V</t>
  </si>
  <si>
    <t>La Monte R-IV</t>
  </si>
  <si>
    <t>Smithton R-VI</t>
  </si>
  <si>
    <t>Green Ridge R-VIII</t>
  </si>
  <si>
    <t>Pettis Co. R-XII</t>
  </si>
  <si>
    <t>Sedalia 200</t>
  </si>
  <si>
    <t>St. James R-I</t>
  </si>
  <si>
    <t>Newburg R-II</t>
  </si>
  <si>
    <t>Rolla 31</t>
  </si>
  <si>
    <t>Phelps Co. R-III</t>
  </si>
  <si>
    <t>Bowling Green R-I</t>
  </si>
  <si>
    <t>Pike Co. R-III</t>
  </si>
  <si>
    <t>Boncl R-X</t>
  </si>
  <si>
    <t>Louisiana R-II</t>
  </si>
  <si>
    <t>North Platte Co. R-I</t>
  </si>
  <si>
    <t>West Platte Co. R-II</t>
  </si>
  <si>
    <t>Platte Co. R-III</t>
  </si>
  <si>
    <t>Park Hill</t>
  </si>
  <si>
    <t>Bolivar R-I</t>
  </si>
  <si>
    <t>Fair Play R-II</t>
  </si>
  <si>
    <t>Halfway R-III</t>
  </si>
  <si>
    <t>Humansville R-IV</t>
  </si>
  <si>
    <t>Marion C. Early R-V</t>
  </si>
  <si>
    <t>Pleasant Hope R-VI</t>
  </si>
  <si>
    <t>Swedeborg R-III</t>
  </si>
  <si>
    <t>Richland R-IV</t>
  </si>
  <si>
    <t>Laquey R-V</t>
  </si>
  <si>
    <t>Waynesville R-VI</t>
  </si>
  <si>
    <t>Dixon R-I</t>
  </si>
  <si>
    <t>Crocker R-II</t>
  </si>
  <si>
    <t>Putnam Co. R-I</t>
  </si>
  <si>
    <t>Ralls County R-II</t>
  </si>
  <si>
    <t>Northeast Randolph Co. R-IV</t>
  </si>
  <si>
    <t>Renick R-V</t>
  </si>
  <si>
    <t>Higbee R-VIII</t>
  </si>
  <si>
    <t>Westran R-I</t>
  </si>
  <si>
    <t>Moberly</t>
  </si>
  <si>
    <t>Stet R-XV</t>
  </si>
  <si>
    <t>Lawson R-XIV</t>
  </si>
  <si>
    <t>Orrick R-XI</t>
  </si>
  <si>
    <t>Hardin-Central C-2</t>
  </si>
  <si>
    <t>Richmond R-XVI</t>
  </si>
  <si>
    <t>Centerville R-I</t>
  </si>
  <si>
    <t>Southern Reynolds Co. R-II</t>
  </si>
  <si>
    <t>Bunker R-III</t>
  </si>
  <si>
    <t>Lesterville R-IV</t>
  </si>
  <si>
    <t>Naylor R-II</t>
  </si>
  <si>
    <t>Doniphan R-I</t>
  </si>
  <si>
    <t>Ripley Co. R-IV</t>
  </si>
  <si>
    <t>Ripley Co. R-III</t>
  </si>
  <si>
    <t>Fort Zumwalt R-II</t>
  </si>
  <si>
    <t>Francis Howell R-III</t>
  </si>
  <si>
    <t>Wentzville R-IV</t>
  </si>
  <si>
    <t>St. Charles R-VI</t>
  </si>
  <si>
    <t>Orchard Farm R-V</t>
  </si>
  <si>
    <t>Appleton City R-II</t>
  </si>
  <si>
    <t>Roscoe C-1</t>
  </si>
  <si>
    <t>Lakeland R-III</t>
  </si>
  <si>
    <t>Osceola</t>
  </si>
  <si>
    <t>Bismarck R-V</t>
  </si>
  <si>
    <t>Farmington R-VII</t>
  </si>
  <si>
    <t>North St. Francois Co. R-I</t>
  </si>
  <si>
    <t>Central R-III</t>
  </si>
  <si>
    <t>West St. Francois Co. R-IV</t>
  </si>
  <si>
    <t>Ste. Genevieve Co. R-II</t>
  </si>
  <si>
    <t>Hazelwood</t>
  </si>
  <si>
    <t>Ferguson-Florissant R-II</t>
  </si>
  <si>
    <t>Pattonville R-III</t>
  </si>
  <si>
    <t>Rockwood R-VI</t>
  </si>
  <si>
    <t>Kirkwood R-VII</t>
  </si>
  <si>
    <t>Lindbergh R-VIII</t>
  </si>
  <si>
    <t>Mehlville R-IX</t>
  </si>
  <si>
    <t>Parkway C-2</t>
  </si>
  <si>
    <t>Affton 101</t>
  </si>
  <si>
    <t>Bayless</t>
  </si>
  <si>
    <t>Brentwood</t>
  </si>
  <si>
    <t>Clayton</t>
  </si>
  <si>
    <t>Hancock Place</t>
  </si>
  <si>
    <t>Jennings</t>
  </si>
  <si>
    <t>Ladue</t>
  </si>
  <si>
    <t>Maplewood-Richmond Heights</t>
  </si>
  <si>
    <t>Normandy</t>
  </si>
  <si>
    <t>Ritenour</t>
  </si>
  <si>
    <t>Riverview Gardens</t>
  </si>
  <si>
    <t>University City</t>
  </si>
  <si>
    <t>Valley Park</t>
  </si>
  <si>
    <t>Webster Groves</t>
  </si>
  <si>
    <t>Orearville R-IV</t>
  </si>
  <si>
    <t>Malta Bend R-V</t>
  </si>
  <si>
    <t>Hardeman R-X</t>
  </si>
  <si>
    <t>Gilliam C-4</t>
  </si>
  <si>
    <t>Marshall</t>
  </si>
  <si>
    <t>Slater</t>
  </si>
  <si>
    <t>Sweet Springs R-VII</t>
  </si>
  <si>
    <t>Schuyler Co. R-I</t>
  </si>
  <si>
    <t>Gorin R-III</t>
  </si>
  <si>
    <t>Scotland Co. R-I</t>
  </si>
  <si>
    <t>Scott City R-I</t>
  </si>
  <si>
    <t>Chaffee R-II</t>
  </si>
  <si>
    <t>Scott Co. R-IV</t>
  </si>
  <si>
    <t>Scott Co. Central</t>
  </si>
  <si>
    <t>Sikeston R-6</t>
  </si>
  <si>
    <t>Kelso C-7</t>
  </si>
  <si>
    <t>Oran R-III</t>
  </si>
  <si>
    <t>Winona R-III</t>
  </si>
  <si>
    <t>Eminence R-I</t>
  </si>
  <si>
    <t>North Shelby</t>
  </si>
  <si>
    <t>Shelby Co. R-IV</t>
  </si>
  <si>
    <t>Richland R-I</t>
  </si>
  <si>
    <t>Bell City R-II</t>
  </si>
  <si>
    <t>Advance R-IV</t>
  </si>
  <si>
    <t>Puxico R-VIII</t>
  </si>
  <si>
    <t>Bloomfield R-XIV</t>
  </si>
  <si>
    <t>Dexter R-XI</t>
  </si>
  <si>
    <t>Bernie R-XIII</t>
  </si>
  <si>
    <t>Hurley R-I</t>
  </si>
  <si>
    <t>Galena R-II</t>
  </si>
  <si>
    <t>Crane R-III</t>
  </si>
  <si>
    <t>Reeds Spring R-IV</t>
  </si>
  <si>
    <t>Blue Eye R-V</t>
  </si>
  <si>
    <t>Green City R-I</t>
  </si>
  <si>
    <t>Milan C-2</t>
  </si>
  <si>
    <t>Newtown-Harris R-III</t>
  </si>
  <si>
    <t>Bradleyville R-I</t>
  </si>
  <si>
    <t>Taneyville R-II</t>
  </si>
  <si>
    <t>Forsyth R-III</t>
  </si>
  <si>
    <t>Branson R-IV</t>
  </si>
  <si>
    <t>Hollister R-V</t>
  </si>
  <si>
    <t>Kirbyville R-VI</t>
  </si>
  <si>
    <t>Mark Twain R-VIII</t>
  </si>
  <si>
    <t>Success R-VI</t>
  </si>
  <si>
    <t>Houston R-I</t>
  </si>
  <si>
    <t>Summersville R-II</t>
  </si>
  <si>
    <t>Licking R-VIII</t>
  </si>
  <si>
    <t>Cabool R-IV</t>
  </si>
  <si>
    <t>Plato R-V</t>
  </si>
  <si>
    <t>Raymondville R-VII</t>
  </si>
  <si>
    <t>Nevada R-V</t>
  </si>
  <si>
    <t>Bronaugh R-VII</t>
  </si>
  <si>
    <t>Sheldon R-VIII</t>
  </si>
  <si>
    <t>Northeast Vernon Co. R-I</t>
  </si>
  <si>
    <t>Wright City R-II</t>
  </si>
  <si>
    <t>Warren Co. R-III</t>
  </si>
  <si>
    <t>Kingston K-14</t>
  </si>
  <si>
    <t>Potosi R-III</t>
  </si>
  <si>
    <t>Richwoods R-VII</t>
  </si>
  <si>
    <t>Valley R-VI</t>
  </si>
  <si>
    <t>Greenville R-II</t>
  </si>
  <si>
    <t>Clearwater R-I</t>
  </si>
  <si>
    <t>Niangua R-V</t>
  </si>
  <si>
    <t>Fordland R-III</t>
  </si>
  <si>
    <t>Marshfield R-I</t>
  </si>
  <si>
    <t>Seymour R-II</t>
  </si>
  <si>
    <t>Worth Co. R-III</t>
  </si>
  <si>
    <t>Norwood R-I</t>
  </si>
  <si>
    <t>Hartville R-II</t>
  </si>
  <si>
    <t>Mountain Grove R-III</t>
  </si>
  <si>
    <t>Mansfield R-IV</t>
  </si>
  <si>
    <t>Manes R-V</t>
  </si>
  <si>
    <t>St. Louis City</t>
  </si>
  <si>
    <t>December 2010 Assessed Valuation</t>
  </si>
  <si>
    <t>December 2009 Assessed Valuation</t>
  </si>
  <si>
    <t>Wellston</t>
  </si>
  <si>
    <t>December 2013 Assessed Valuation</t>
  </si>
  <si>
    <t>SULLIVAN</t>
  </si>
  <si>
    <t>GRUNDY CO. R-V</t>
  </si>
  <si>
    <t>NEOSHO SCHOOL DISTRICT</t>
  </si>
  <si>
    <t>096-119*</t>
  </si>
  <si>
    <t>SPECL. SCH. DST. ST. LOUIS CO.</t>
  </si>
  <si>
    <t>December 2016 Assessed Valuation</t>
  </si>
  <si>
    <t>2017 ADA</t>
  </si>
  <si>
    <t>096-119</t>
  </si>
  <si>
    <t>2018 ADA</t>
  </si>
  <si>
    <t>ST. LOUIS CITY &amp; Charters</t>
  </si>
  <si>
    <t>KANSAS CITY 33 &amp; Charters</t>
  </si>
  <si>
    <t>KANSAS CITY 33 &amp; CHARTERS</t>
  </si>
  <si>
    <t>ST. LOUIS CITY &amp; CHARTERS</t>
  </si>
  <si>
    <t>2015 ADA</t>
  </si>
  <si>
    <t>2014 ADA</t>
  </si>
  <si>
    <t>December 2017 Assessed Valuation</t>
  </si>
  <si>
    <t>December 2018 Assessed Valuation</t>
  </si>
  <si>
    <t xml:space="preserve">     Students living on the federal military bases are included in the ADA's for 019152 Belton, 051155 </t>
  </si>
  <si>
    <t xml:space="preserve">     Knob Noster, and 085046 Waynesville as appropriate.</t>
  </si>
  <si>
    <t>2019 ADA</t>
  </si>
  <si>
    <t>December 2019 Assessed Valuation</t>
  </si>
  <si>
    <t>2020 ADA</t>
  </si>
  <si>
    <t>December 2020 Assessed Valuation</t>
  </si>
  <si>
    <t>2021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</si>
</sst>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000\-000"/>
    <numFmt numFmtId="165" formatCode="#,##0.0000"/>
    <numFmt numFmtId="166" formatCode="&quot;$&quot;#,##0.00"/>
    <numFmt numFmtId="167" formatCode="_(* #,##0.0000_);_(* \(#,##0.0000\);_(* &quot;-&quot;??_);_(@_)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>
      <alignment vertical="top"/>
    </xf>
    <xf numFmtId="0" fontId="2" fillId="0" borderId="0"/>
    <xf numFmtId="43" fontId="4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 applyAlignment="1">
      <alignment horizontal="center" wrapText="1"/>
    </xf>
    <xf numFmtId="165" fontId="0" fillId="0" borderId="0" xfId="0" applyNumberFormat="1"/>
    <xf numFmtId="4" fontId="0" fillId="0" borderId="0" xfId="0" applyNumberFormat="1"/>
    <xf numFmtId="165" fontId="3" fillId="0" borderId="0" xfId="0" applyNumberFormat="1" applyFont="1"/>
    <xf numFmtId="4" fontId="3" fillId="0" borderId="1" xfId="0" applyNumberFormat="1" applyFont="1" applyBorder="1"/>
    <xf numFmtId="16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NumberFormat="1" applyFont="1" applyBorder="1" applyAlignment="1">
      <alignment horizontal="center" wrapText="1"/>
    </xf>
    <xf numFmtId="165" fontId="3" fillId="0" borderId="2" xfId="0" applyNumberFormat="1" applyFont="1" applyBorder="1" applyAlignment="1">
      <alignment horizontal="center" wrapText="1"/>
    </xf>
    <xf numFmtId="4" fontId="3" fillId="0" borderId="2" xfId="0" applyNumberFormat="1" applyFont="1" applyBorder="1" applyAlignment="1">
      <alignment horizontal="center" wrapText="1"/>
    </xf>
    <xf numFmtId="164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0" fontId="0" fillId="0" borderId="0" xfId="0"/>
    <xf numFmtId="165" fontId="0" fillId="0" borderId="0" xfId="0" applyNumberFormat="1"/>
    <xf numFmtId="164" fontId="0" fillId="0" borderId="0" xfId="0" applyNumberFormat="1" applyAlignment="1">
      <alignment horizontal="center"/>
    </xf>
    <xf numFmtId="4" fontId="0" fillId="0" borderId="0" xfId="0" applyNumberFormat="1"/>
    <xf numFmtId="0" fontId="0" fillId="0" borderId="0" xfId="0" applyAlignment="1">
      <alignment horizontal="center"/>
    </xf>
    <xf numFmtId="165" fontId="3" fillId="0" borderId="0" xfId="0" applyNumberFormat="1" applyFont="1"/>
    <xf numFmtId="3" fontId="0" fillId="0" borderId="0" xfId="0" applyNumberFormat="1"/>
    <xf numFmtId="164" fontId="0" fillId="0" borderId="0" xfId="0" applyNumberFormat="1"/>
    <xf numFmtId="3" fontId="3" fillId="0" borderId="2" xfId="0" applyNumberFormat="1" applyFont="1" applyBorder="1" applyAlignment="1">
      <alignment horizontal="center" wrapText="1"/>
    </xf>
    <xf numFmtId="3" fontId="0" fillId="0" borderId="0" xfId="0" applyNumberFormat="1" applyAlignment="1">
      <alignment horizontal="center"/>
    </xf>
    <xf numFmtId="4" fontId="3" fillId="0" borderId="0" xfId="0" applyNumberFormat="1" applyFont="1" applyBorder="1"/>
    <xf numFmtId="0" fontId="3" fillId="0" borderId="0" xfId="0" applyFont="1"/>
    <xf numFmtId="4" fontId="3" fillId="0" borderId="0" xfId="0" applyNumberFormat="1" applyFont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3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/>
    <xf numFmtId="166" fontId="0" fillId="0" borderId="0" xfId="0" applyNumberFormat="1"/>
    <xf numFmtId="164" fontId="0" fillId="0" borderId="0" xfId="0" applyNumberFormat="1" applyAlignment="1">
      <alignment wrapText="1"/>
    </xf>
    <xf numFmtId="164" fontId="0" fillId="0" borderId="0" xfId="0" applyNumberFormat="1" applyAlignment="1"/>
    <xf numFmtId="167" fontId="3" fillId="0" borderId="2" xfId="3" applyNumberFormat="1" applyFont="1" applyBorder="1" applyAlignment="1">
      <alignment horizontal="center" wrapText="1"/>
    </xf>
    <xf numFmtId="167" fontId="0" fillId="0" borderId="0" xfId="3" applyNumberFormat="1" applyFont="1"/>
    <xf numFmtId="167" fontId="3" fillId="0" borderId="0" xfId="3" applyNumberFormat="1" applyFont="1"/>
  </cellXfs>
  <cellStyles count="4">
    <cellStyle name="Comma" xfId="3" builtinId="3"/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28"/>
  <sheetViews>
    <sheetView tabSelected="1" view="pageLayout" zoomScaleNormal="100" workbookViewId="0">
      <selection activeCell="C2" sqref="C2"/>
    </sheetView>
  </sheetViews>
  <sheetFormatPr defaultColWidth="9.140625" defaultRowHeight="15" x14ac:dyDescent="0.25"/>
  <cols>
    <col min="1" max="1" width="12.28515625" style="15" bestFit="1" customWidth="1"/>
    <col min="2" max="2" width="35.28515625" style="13" bestFit="1" customWidth="1"/>
    <col min="3" max="3" width="25.140625" style="30" bestFit="1" customWidth="1"/>
    <col min="4" max="4" width="12.5703125" style="34" bestFit="1" customWidth="1"/>
    <col min="5" max="5" width="11.85546875" style="30" customWidth="1"/>
    <col min="6" max="16384" width="9.140625" style="13"/>
  </cols>
  <sheetData>
    <row r="1" spans="1:5" ht="45.75" thickBot="1" x14ac:dyDescent="0.3">
      <c r="A1" s="6" t="s">
        <v>0</v>
      </c>
      <c r="B1" s="7" t="s">
        <v>1</v>
      </c>
      <c r="C1" s="21" t="s">
        <v>1599</v>
      </c>
      <c r="D1" s="33" t="s">
        <v>1600</v>
      </c>
      <c r="E1" s="10" t="s">
        <v>2</v>
      </c>
    </row>
    <row r="2" spans="1:5" x14ac:dyDescent="0.25">
      <c r="A2" s="15">
        <v>1090</v>
      </c>
      <c r="B2" s="13" t="s">
        <v>8</v>
      </c>
      <c r="C2" s="16">
        <v>17695223</v>
      </c>
      <c r="D2" s="34">
        <v>194.63200000000001</v>
      </c>
      <c r="E2" s="16">
        <v>90916.308726211515</v>
      </c>
    </row>
    <row r="3" spans="1:5" x14ac:dyDescent="0.25">
      <c r="A3" s="15">
        <v>1091</v>
      </c>
      <c r="B3" s="13" t="s">
        <v>9</v>
      </c>
      <c r="C3" s="16">
        <v>252160241</v>
      </c>
      <c r="D3" s="34">
        <v>2130.1082000000001</v>
      </c>
      <c r="E3" s="16">
        <v>118379.0762365968</v>
      </c>
    </row>
    <row r="4" spans="1:5" x14ac:dyDescent="0.25">
      <c r="A4" s="15">
        <v>1092</v>
      </c>
      <c r="B4" s="13" t="s">
        <v>10</v>
      </c>
      <c r="C4" s="16">
        <v>15988849</v>
      </c>
      <c r="D4" s="34">
        <v>129.0583</v>
      </c>
      <c r="E4" s="16">
        <v>123888.57593816127</v>
      </c>
    </row>
    <row r="5" spans="1:5" x14ac:dyDescent="0.25">
      <c r="A5" s="15">
        <v>2089</v>
      </c>
      <c r="B5" s="13" t="s">
        <v>11</v>
      </c>
      <c r="C5" s="16">
        <v>24303528</v>
      </c>
      <c r="D5" s="34">
        <v>308.5976</v>
      </c>
      <c r="E5" s="16">
        <v>78754.7537634771</v>
      </c>
    </row>
    <row r="6" spans="1:5" x14ac:dyDescent="0.25">
      <c r="A6" s="15">
        <v>2090</v>
      </c>
      <c r="B6" s="13" t="s">
        <v>12</v>
      </c>
      <c r="C6" s="16">
        <v>26879307</v>
      </c>
      <c r="D6" s="34">
        <v>211.97659999999999</v>
      </c>
      <c r="E6" s="16">
        <v>126803.18016233869</v>
      </c>
    </row>
    <row r="7" spans="1:5" x14ac:dyDescent="0.25">
      <c r="A7" s="15">
        <v>2097</v>
      </c>
      <c r="B7" s="13" t="s">
        <v>13</v>
      </c>
      <c r="C7" s="16">
        <v>193869998</v>
      </c>
      <c r="D7" s="34">
        <v>2146.5747000000001</v>
      </c>
      <c r="E7" s="16">
        <v>90315.980152006814</v>
      </c>
    </row>
    <row r="8" spans="1:5" x14ac:dyDescent="0.25">
      <c r="A8" s="15">
        <v>3031</v>
      </c>
      <c r="B8" s="13" t="s">
        <v>14</v>
      </c>
      <c r="C8" s="16">
        <v>63779204</v>
      </c>
      <c r="D8" s="34">
        <v>291.97140000000002</v>
      </c>
      <c r="E8" s="16">
        <v>218443.32698339631</v>
      </c>
    </row>
    <row r="9" spans="1:5" x14ac:dyDescent="0.25">
      <c r="A9" s="15">
        <v>3032</v>
      </c>
      <c r="B9" s="13" t="s">
        <v>15</v>
      </c>
      <c r="C9" s="16">
        <v>48090081</v>
      </c>
      <c r="D9" s="34">
        <v>311.55880000000002</v>
      </c>
      <c r="E9" s="16">
        <v>154353.14617979014</v>
      </c>
    </row>
    <row r="10" spans="1:5" x14ac:dyDescent="0.25">
      <c r="A10" s="15">
        <v>3033</v>
      </c>
      <c r="B10" s="13" t="s">
        <v>16</v>
      </c>
      <c r="C10" s="16">
        <v>22481037</v>
      </c>
      <c r="D10" s="34">
        <v>118.3807</v>
      </c>
      <c r="E10" s="16">
        <v>189904.57904033342</v>
      </c>
    </row>
    <row r="11" spans="1:5" x14ac:dyDescent="0.25">
      <c r="A11" s="15">
        <v>4106</v>
      </c>
      <c r="B11" s="13" t="s">
        <v>17</v>
      </c>
      <c r="C11" s="16">
        <v>34895531</v>
      </c>
      <c r="D11" s="34">
        <v>284.66829999999999</v>
      </c>
      <c r="E11" s="16">
        <v>122583.1292068699</v>
      </c>
    </row>
    <row r="12" spans="1:5" x14ac:dyDescent="0.25">
      <c r="A12" s="15">
        <v>4109</v>
      </c>
      <c r="B12" s="13" t="s">
        <v>18</v>
      </c>
      <c r="C12" s="16">
        <v>46515308</v>
      </c>
      <c r="D12" s="34">
        <v>486.04379999999998</v>
      </c>
      <c r="E12" s="16">
        <v>95701.885303340983</v>
      </c>
    </row>
    <row r="13" spans="1:5" x14ac:dyDescent="0.25">
      <c r="A13" s="15">
        <v>4110</v>
      </c>
      <c r="B13" s="13" t="s">
        <v>19</v>
      </c>
      <c r="C13" s="16">
        <v>208945015</v>
      </c>
      <c r="D13" s="34">
        <v>1858.6422</v>
      </c>
      <c r="E13" s="16">
        <v>112418.09477908121</v>
      </c>
    </row>
    <row r="14" spans="1:5" x14ac:dyDescent="0.25">
      <c r="A14" s="15">
        <v>5120</v>
      </c>
      <c r="B14" s="13" t="s">
        <v>20</v>
      </c>
      <c r="C14" s="16">
        <v>22148740</v>
      </c>
      <c r="D14" s="34">
        <v>431.13319999999999</v>
      </c>
      <c r="E14" s="16">
        <v>51373.31107880349</v>
      </c>
    </row>
    <row r="15" spans="1:5" x14ac:dyDescent="0.25">
      <c r="A15" s="15">
        <v>5121</v>
      </c>
      <c r="B15" s="13" t="s">
        <v>21</v>
      </c>
      <c r="C15" s="16">
        <v>40717478</v>
      </c>
      <c r="D15" s="34">
        <v>691.67830000000004</v>
      </c>
      <c r="E15" s="16">
        <v>58867.652780201432</v>
      </c>
    </row>
    <row r="16" spans="1:5" x14ac:dyDescent="0.25">
      <c r="A16" s="15">
        <v>5122</v>
      </c>
      <c r="B16" s="13" t="s">
        <v>22</v>
      </c>
      <c r="C16" s="16">
        <v>16505129</v>
      </c>
      <c r="D16" s="34">
        <v>286.97629999999998</v>
      </c>
      <c r="E16" s="16">
        <v>57513.909685224884</v>
      </c>
    </row>
    <row r="17" spans="1:5" x14ac:dyDescent="0.25">
      <c r="A17" s="15">
        <v>5123</v>
      </c>
      <c r="B17" s="13" t="s">
        <v>23</v>
      </c>
      <c r="C17" s="16">
        <v>191562816</v>
      </c>
      <c r="D17" s="34">
        <v>1656.8376000000001</v>
      </c>
      <c r="E17" s="16">
        <v>115619.54895277605</v>
      </c>
    </row>
    <row r="18" spans="1:5" x14ac:dyDescent="0.25">
      <c r="A18" s="15">
        <v>5124</v>
      </c>
      <c r="B18" s="13" t="s">
        <v>24</v>
      </c>
      <c r="C18" s="16">
        <v>32083854</v>
      </c>
      <c r="D18" s="34">
        <v>569.06280000000004</v>
      </c>
      <c r="E18" s="16">
        <v>56380.164017046969</v>
      </c>
    </row>
    <row r="19" spans="1:5" x14ac:dyDescent="0.25">
      <c r="A19" s="15">
        <v>5127</v>
      </c>
      <c r="B19" s="13" t="s">
        <v>25</v>
      </c>
      <c r="C19" s="16">
        <v>79559568</v>
      </c>
      <c r="D19" s="34">
        <v>134.6747</v>
      </c>
      <c r="E19" s="16">
        <v>590753.63078588631</v>
      </c>
    </row>
    <row r="20" spans="1:5" x14ac:dyDescent="0.25">
      <c r="A20" s="15">
        <v>5128</v>
      </c>
      <c r="B20" s="13" t="s">
        <v>26</v>
      </c>
      <c r="C20" s="16">
        <v>202588616</v>
      </c>
      <c r="D20" s="34">
        <v>2172.9681</v>
      </c>
      <c r="E20" s="16">
        <v>93231.288577130967</v>
      </c>
    </row>
    <row r="21" spans="1:5" x14ac:dyDescent="0.25">
      <c r="A21" s="15">
        <v>6101</v>
      </c>
      <c r="B21" s="13" t="s">
        <v>27</v>
      </c>
      <c r="C21" s="16">
        <v>37151298</v>
      </c>
      <c r="D21" s="34">
        <v>286.58429999999998</v>
      </c>
      <c r="E21" s="16">
        <v>129634.79855665506</v>
      </c>
    </row>
    <row r="22" spans="1:5" x14ac:dyDescent="0.25">
      <c r="A22" s="15">
        <v>6103</v>
      </c>
      <c r="B22" s="13" t="s">
        <v>28</v>
      </c>
      <c r="C22" s="16">
        <v>20176532</v>
      </c>
      <c r="D22" s="34">
        <v>166.40260000000001</v>
      </c>
      <c r="E22" s="16">
        <v>121251.30256378205</v>
      </c>
    </row>
    <row r="23" spans="1:5" x14ac:dyDescent="0.25">
      <c r="A23" s="15">
        <v>6104</v>
      </c>
      <c r="B23" s="13" t="s">
        <v>29</v>
      </c>
      <c r="C23" s="16">
        <v>104496735</v>
      </c>
      <c r="D23" s="34">
        <v>1125.1162999999999</v>
      </c>
      <c r="E23" s="16">
        <v>92876.385312345054</v>
      </c>
    </row>
    <row r="24" spans="1:5" x14ac:dyDescent="0.25">
      <c r="A24" s="15">
        <v>7121</v>
      </c>
      <c r="B24" s="13" t="s">
        <v>30</v>
      </c>
      <c r="C24" s="16">
        <v>18456293</v>
      </c>
      <c r="D24" s="34">
        <v>151.3271</v>
      </c>
      <c r="E24" s="16">
        <v>121962.90684219812</v>
      </c>
    </row>
    <row r="25" spans="1:5" x14ac:dyDescent="0.25">
      <c r="A25" s="15">
        <v>7122</v>
      </c>
      <c r="B25" s="13" t="s">
        <v>31</v>
      </c>
      <c r="C25" s="16">
        <v>12422828</v>
      </c>
      <c r="D25" s="34">
        <v>110.2355</v>
      </c>
      <c r="E25" s="16">
        <v>112693.53338987894</v>
      </c>
    </row>
    <row r="26" spans="1:5" x14ac:dyDescent="0.25">
      <c r="A26" s="15">
        <v>7123</v>
      </c>
      <c r="B26" s="13" t="s">
        <v>32</v>
      </c>
      <c r="C26" s="16">
        <v>46386464</v>
      </c>
      <c r="D26" s="34">
        <v>630.83309999999994</v>
      </c>
      <c r="E26" s="16">
        <v>73532.070527053831</v>
      </c>
    </row>
    <row r="27" spans="1:5" x14ac:dyDescent="0.25">
      <c r="A27" s="15">
        <v>7124</v>
      </c>
      <c r="B27" s="13" t="s">
        <v>33</v>
      </c>
      <c r="C27" s="16">
        <v>24854580</v>
      </c>
      <c r="D27" s="34">
        <v>307.755</v>
      </c>
      <c r="E27" s="16">
        <v>80760.929960520545</v>
      </c>
    </row>
    <row r="28" spans="1:5" x14ac:dyDescent="0.25">
      <c r="A28" s="15">
        <v>7125</v>
      </c>
      <c r="B28" s="13" t="s">
        <v>34</v>
      </c>
      <c r="C28" s="16">
        <v>8498491</v>
      </c>
      <c r="D28" s="34">
        <v>126.158</v>
      </c>
      <c r="E28" s="16">
        <v>67363.869116504706</v>
      </c>
    </row>
    <row r="29" spans="1:5" x14ac:dyDescent="0.25">
      <c r="A29" s="15">
        <v>7126</v>
      </c>
      <c r="B29" s="13" t="s">
        <v>35</v>
      </c>
      <c r="C29" s="16">
        <v>7833492</v>
      </c>
      <c r="D29" s="34">
        <v>60.640500000000003</v>
      </c>
      <c r="E29" s="16">
        <v>129179.21191283053</v>
      </c>
    </row>
    <row r="30" spans="1:5" x14ac:dyDescent="0.25">
      <c r="A30" s="15">
        <v>7129</v>
      </c>
      <c r="B30" s="13" t="s">
        <v>36</v>
      </c>
      <c r="C30" s="16">
        <v>78042565</v>
      </c>
      <c r="D30" s="34">
        <v>848.36829999999998</v>
      </c>
      <c r="E30" s="16">
        <v>91991.373322176238</v>
      </c>
    </row>
    <row r="31" spans="1:5" x14ac:dyDescent="0.25">
      <c r="A31" s="15">
        <v>8106</v>
      </c>
      <c r="B31" s="13" t="s">
        <v>37</v>
      </c>
      <c r="C31" s="16">
        <v>49115074</v>
      </c>
      <c r="D31" s="34">
        <v>447.54860000000002</v>
      </c>
      <c r="E31" s="16">
        <v>109742.43691076231</v>
      </c>
    </row>
    <row r="32" spans="1:5" x14ac:dyDescent="0.25">
      <c r="A32" s="15">
        <v>8107</v>
      </c>
      <c r="B32" s="13" t="s">
        <v>38</v>
      </c>
      <c r="C32" s="16">
        <v>161089309</v>
      </c>
      <c r="D32" s="34">
        <v>1062.9897000000001</v>
      </c>
      <c r="E32" s="16">
        <v>151543.62173029521</v>
      </c>
    </row>
    <row r="33" spans="1:5" x14ac:dyDescent="0.25">
      <c r="A33" s="15">
        <v>8111</v>
      </c>
      <c r="B33" s="13" t="s">
        <v>39</v>
      </c>
      <c r="C33" s="16">
        <v>64021942</v>
      </c>
      <c r="D33" s="34">
        <v>590.62390000000005</v>
      </c>
      <c r="E33" s="16">
        <v>108397.1407184843</v>
      </c>
    </row>
    <row r="34" spans="1:5" x14ac:dyDescent="0.25">
      <c r="A34" s="15">
        <v>9077</v>
      </c>
      <c r="B34" s="13" t="s">
        <v>40</v>
      </c>
      <c r="C34" s="16">
        <v>45188842</v>
      </c>
      <c r="D34" s="34">
        <v>495.24630000000002</v>
      </c>
      <c r="E34" s="16">
        <v>91245.188505194281</v>
      </c>
    </row>
    <row r="35" spans="1:5" x14ac:dyDescent="0.25">
      <c r="A35" s="15">
        <v>9078</v>
      </c>
      <c r="B35" s="13" t="s">
        <v>41</v>
      </c>
      <c r="C35" s="16">
        <v>11148190</v>
      </c>
      <c r="D35" s="34">
        <v>170.3724</v>
      </c>
      <c r="E35" s="16">
        <v>65434.248739819363</v>
      </c>
    </row>
    <row r="36" spans="1:5" x14ac:dyDescent="0.25">
      <c r="A36" s="15">
        <v>9079</v>
      </c>
      <c r="B36" s="13" t="s">
        <v>42</v>
      </c>
      <c r="C36" s="16">
        <v>15254834</v>
      </c>
      <c r="D36" s="34">
        <v>211.4324</v>
      </c>
      <c r="E36" s="16">
        <v>72149.935393061794</v>
      </c>
    </row>
    <row r="37" spans="1:5" x14ac:dyDescent="0.25">
      <c r="A37" s="15">
        <v>9080</v>
      </c>
      <c r="B37" s="13" t="s">
        <v>43</v>
      </c>
      <c r="C37" s="16">
        <v>63751895</v>
      </c>
      <c r="D37" s="34">
        <v>775.93200000000002</v>
      </c>
      <c r="E37" s="16">
        <v>82161.703602893031</v>
      </c>
    </row>
    <row r="38" spans="1:5" x14ac:dyDescent="0.25">
      <c r="A38" s="15">
        <v>10087</v>
      </c>
      <c r="B38" s="13" t="s">
        <v>44</v>
      </c>
      <c r="C38" s="16">
        <v>153979534</v>
      </c>
      <c r="D38" s="34">
        <v>1723.0097000000001</v>
      </c>
      <c r="E38" s="16">
        <v>89366.608905335816</v>
      </c>
    </row>
    <row r="39" spans="1:5" x14ac:dyDescent="0.25">
      <c r="A39" s="15">
        <v>10089</v>
      </c>
      <c r="B39" s="13" t="s">
        <v>45</v>
      </c>
      <c r="C39" s="16">
        <v>96986412</v>
      </c>
      <c r="D39" s="34">
        <v>1305.7827</v>
      </c>
      <c r="E39" s="16">
        <v>74274.54200457703</v>
      </c>
    </row>
    <row r="40" spans="1:5" x14ac:dyDescent="0.25">
      <c r="A40" s="15">
        <v>10090</v>
      </c>
      <c r="B40" s="13" t="s">
        <v>46</v>
      </c>
      <c r="C40" s="16">
        <v>41711787</v>
      </c>
      <c r="D40" s="34">
        <v>357.51900000000001</v>
      </c>
      <c r="E40" s="16">
        <v>116670.12662264104</v>
      </c>
    </row>
    <row r="41" spans="1:5" x14ac:dyDescent="0.25">
      <c r="A41" s="15">
        <v>10091</v>
      </c>
      <c r="B41" s="13" t="s">
        <v>47</v>
      </c>
      <c r="C41" s="16">
        <v>114970562</v>
      </c>
      <c r="D41" s="34">
        <v>1256.6872000000001</v>
      </c>
      <c r="E41" s="16">
        <v>91487.016021170581</v>
      </c>
    </row>
    <row r="42" spans="1:5" x14ac:dyDescent="0.25">
      <c r="A42" s="15">
        <v>10092</v>
      </c>
      <c r="B42" s="13" t="s">
        <v>48</v>
      </c>
      <c r="C42" s="16">
        <v>46733603</v>
      </c>
      <c r="D42" s="34">
        <v>537.06889999999999</v>
      </c>
      <c r="E42" s="16">
        <v>87016.029042083799</v>
      </c>
    </row>
    <row r="43" spans="1:5" x14ac:dyDescent="0.25">
      <c r="A43" s="15">
        <v>10093</v>
      </c>
      <c r="B43" s="13" t="s">
        <v>49</v>
      </c>
      <c r="C43" s="16">
        <v>2669900913</v>
      </c>
      <c r="D43" s="34">
        <v>15571.3668</v>
      </c>
      <c r="E43" s="16">
        <v>171462.20670879065</v>
      </c>
    </row>
    <row r="44" spans="1:5" x14ac:dyDescent="0.25">
      <c r="A44" s="15">
        <v>11076</v>
      </c>
      <c r="B44" s="13" t="s">
        <v>50</v>
      </c>
      <c r="C44" s="16">
        <v>60595037</v>
      </c>
      <c r="D44" s="34">
        <v>649.10440000000006</v>
      </c>
      <c r="E44" s="16">
        <v>93351.758207154344</v>
      </c>
    </row>
    <row r="45" spans="1:5" x14ac:dyDescent="0.25">
      <c r="A45" s="15">
        <v>11078</v>
      </c>
      <c r="B45" s="13" t="s">
        <v>51</v>
      </c>
      <c r="C45" s="16">
        <v>71580030</v>
      </c>
      <c r="D45" s="34">
        <v>712.64179999999999</v>
      </c>
      <c r="E45" s="16">
        <v>100443.21003904066</v>
      </c>
    </row>
    <row r="46" spans="1:5" x14ac:dyDescent="0.25">
      <c r="A46" s="15">
        <v>11079</v>
      </c>
      <c r="B46" s="13" t="s">
        <v>52</v>
      </c>
      <c r="C46" s="16">
        <v>22843813</v>
      </c>
      <c r="D46" s="34">
        <v>238.2561</v>
      </c>
      <c r="E46" s="16">
        <v>95879.236670120925</v>
      </c>
    </row>
    <row r="47" spans="1:5" x14ac:dyDescent="0.25">
      <c r="A47" s="15">
        <v>11082</v>
      </c>
      <c r="B47" s="13" t="s">
        <v>53</v>
      </c>
      <c r="C47" s="16">
        <v>1122544711</v>
      </c>
      <c r="D47" s="34">
        <v>9307.8984</v>
      </c>
      <c r="E47" s="16">
        <v>120601.30684279923</v>
      </c>
    </row>
    <row r="48" spans="1:5" x14ac:dyDescent="0.25">
      <c r="A48" s="15">
        <v>12108</v>
      </c>
      <c r="B48" s="13" t="s">
        <v>54</v>
      </c>
      <c r="C48" s="16">
        <v>41448418</v>
      </c>
      <c r="D48" s="34">
        <v>571.30340000000001</v>
      </c>
      <c r="E48" s="16">
        <v>72550.62371412458</v>
      </c>
    </row>
    <row r="49" spans="1:5" x14ac:dyDescent="0.25">
      <c r="A49" s="15">
        <v>12109</v>
      </c>
      <c r="B49" s="13" t="s">
        <v>55</v>
      </c>
      <c r="C49" s="16">
        <v>472249699</v>
      </c>
      <c r="D49" s="34">
        <v>4493.8775999999998</v>
      </c>
      <c r="E49" s="16">
        <v>105087.35240140943</v>
      </c>
    </row>
    <row r="50" spans="1:5" x14ac:dyDescent="0.25">
      <c r="A50" s="15">
        <v>12110</v>
      </c>
      <c r="B50" s="13" t="s">
        <v>56</v>
      </c>
      <c r="C50" s="16">
        <v>69197814</v>
      </c>
      <c r="D50" s="34">
        <v>779.15689999999995</v>
      </c>
      <c r="E50" s="16">
        <v>88811.141889393533</v>
      </c>
    </row>
    <row r="51" spans="1:5" x14ac:dyDescent="0.25">
      <c r="A51" s="15">
        <v>13054</v>
      </c>
      <c r="B51" s="13" t="s">
        <v>57</v>
      </c>
      <c r="C51" s="16">
        <v>7703862</v>
      </c>
      <c r="D51" s="34">
        <v>53.246899999999997</v>
      </c>
      <c r="E51" s="16">
        <v>144681.88758406593</v>
      </c>
    </row>
    <row r="52" spans="1:5" x14ac:dyDescent="0.25">
      <c r="A52" s="15">
        <v>13055</v>
      </c>
      <c r="B52" s="13" t="s">
        <v>58</v>
      </c>
      <c r="C52" s="16">
        <v>44988615</v>
      </c>
      <c r="D52" s="34">
        <v>564.29300000000001</v>
      </c>
      <c r="E52" s="16">
        <v>79725.630124775606</v>
      </c>
    </row>
    <row r="53" spans="1:5" x14ac:dyDescent="0.25">
      <c r="A53" s="15">
        <v>13057</v>
      </c>
      <c r="B53" s="13" t="s">
        <v>59</v>
      </c>
      <c r="C53" s="16">
        <v>4651130</v>
      </c>
      <c r="D53" s="34">
        <v>32.5809</v>
      </c>
      <c r="E53" s="16">
        <v>142756.33883655761</v>
      </c>
    </row>
    <row r="54" spans="1:5" x14ac:dyDescent="0.25">
      <c r="A54" s="15">
        <v>13058</v>
      </c>
      <c r="B54" s="13" t="s">
        <v>60</v>
      </c>
      <c r="C54" s="16">
        <v>4512040</v>
      </c>
      <c r="D54" s="34">
        <v>51.814100000000003</v>
      </c>
      <c r="E54" s="16">
        <v>87081.315703640503</v>
      </c>
    </row>
    <row r="55" spans="1:5" x14ac:dyDescent="0.25">
      <c r="A55" s="15">
        <v>13059</v>
      </c>
      <c r="B55" s="13" t="s">
        <v>61</v>
      </c>
      <c r="C55" s="16">
        <v>28188264</v>
      </c>
      <c r="D55" s="34">
        <v>316.98349999999999</v>
      </c>
      <c r="E55" s="16">
        <v>88926.597125717904</v>
      </c>
    </row>
    <row r="56" spans="1:5" x14ac:dyDescent="0.25">
      <c r="A56" s="15">
        <v>13060</v>
      </c>
      <c r="B56" s="13" t="s">
        <v>62</v>
      </c>
      <c r="C56" s="16">
        <v>5738440</v>
      </c>
      <c r="D56" s="34">
        <v>43.5884</v>
      </c>
      <c r="E56" s="16">
        <v>131650.62264272146</v>
      </c>
    </row>
    <row r="57" spans="1:5" x14ac:dyDescent="0.25">
      <c r="A57" s="15">
        <v>13061</v>
      </c>
      <c r="B57" s="13" t="s">
        <v>63</v>
      </c>
      <c r="C57" s="16">
        <v>21338231</v>
      </c>
      <c r="D57" s="34">
        <v>265.61130000000003</v>
      </c>
      <c r="E57" s="16">
        <v>80336.307227892787</v>
      </c>
    </row>
    <row r="58" spans="1:5" x14ac:dyDescent="0.25">
      <c r="A58" s="15">
        <v>13062</v>
      </c>
      <c r="B58" s="13" t="s">
        <v>64</v>
      </c>
      <c r="C58" s="16">
        <v>5386370</v>
      </c>
      <c r="D58" s="34">
        <v>33.0565</v>
      </c>
      <c r="E58" s="16">
        <v>162944.35285042276</v>
      </c>
    </row>
    <row r="59" spans="1:5" x14ac:dyDescent="0.25">
      <c r="A59" s="15">
        <v>14126</v>
      </c>
      <c r="B59" s="13" t="s">
        <v>65</v>
      </c>
      <c r="C59" s="16">
        <v>118836054</v>
      </c>
      <c r="D59" s="34">
        <v>947.88409999999999</v>
      </c>
      <c r="E59" s="16">
        <v>125369.81472734905</v>
      </c>
    </row>
    <row r="60" spans="1:5" x14ac:dyDescent="0.25">
      <c r="A60" s="15">
        <v>14127</v>
      </c>
      <c r="B60" s="13" t="s">
        <v>66</v>
      </c>
      <c r="C60" s="16">
        <v>58882360</v>
      </c>
      <c r="D60" s="34">
        <v>638.72149999999999</v>
      </c>
      <c r="E60" s="16">
        <v>92187.84712899127</v>
      </c>
    </row>
    <row r="61" spans="1:5" x14ac:dyDescent="0.25">
      <c r="A61" s="15">
        <v>14129</v>
      </c>
      <c r="B61" s="13" t="s">
        <v>67</v>
      </c>
      <c r="C61" s="16">
        <v>229835684</v>
      </c>
      <c r="D61" s="34">
        <v>1781.9616000000001</v>
      </c>
      <c r="E61" s="16">
        <v>128979.03299375249</v>
      </c>
    </row>
    <row r="62" spans="1:5" x14ac:dyDescent="0.25">
      <c r="A62" s="15">
        <v>14130</v>
      </c>
      <c r="B62" s="13" t="s">
        <v>68</v>
      </c>
      <c r="C62" s="16">
        <v>316050012</v>
      </c>
      <c r="D62" s="34">
        <v>736.37249999999995</v>
      </c>
      <c r="E62" s="16">
        <v>429198.55372111266</v>
      </c>
    </row>
    <row r="63" spans="1:5" x14ac:dyDescent="0.25">
      <c r="A63" s="15">
        <v>15001</v>
      </c>
      <c r="B63" s="13" t="s">
        <v>69</v>
      </c>
      <c r="C63" s="16">
        <v>27882145</v>
      </c>
      <c r="D63" s="34">
        <v>367.7919</v>
      </c>
      <c r="E63" s="16">
        <v>75809.567856170834</v>
      </c>
    </row>
    <row r="64" spans="1:5" x14ac:dyDescent="0.25">
      <c r="A64" s="15">
        <v>15002</v>
      </c>
      <c r="B64" s="13" t="s">
        <v>70</v>
      </c>
      <c r="C64" s="16">
        <v>1215341965</v>
      </c>
      <c r="D64" s="34">
        <v>3396.4915999999998</v>
      </c>
      <c r="E64" s="16">
        <v>357822.75009895506</v>
      </c>
    </row>
    <row r="65" spans="1:5" x14ac:dyDescent="0.25">
      <c r="A65" s="15">
        <v>15003</v>
      </c>
      <c r="B65" s="13" t="s">
        <v>71</v>
      </c>
      <c r="C65" s="16">
        <v>98418176</v>
      </c>
      <c r="D65" s="34">
        <v>166.90090000000001</v>
      </c>
      <c r="E65" s="16">
        <v>589680.31927928491</v>
      </c>
    </row>
    <row r="66" spans="1:5" x14ac:dyDescent="0.25">
      <c r="A66" s="15">
        <v>15004</v>
      </c>
      <c r="B66" s="13" t="s">
        <v>72</v>
      </c>
      <c r="C66" s="16">
        <v>35013900</v>
      </c>
      <c r="D66" s="34">
        <v>294.21440000000001</v>
      </c>
      <c r="E66" s="16">
        <v>119008.11109177524</v>
      </c>
    </row>
    <row r="67" spans="1:5" x14ac:dyDescent="0.25">
      <c r="A67" s="15">
        <v>16090</v>
      </c>
      <c r="B67" s="13" t="s">
        <v>73</v>
      </c>
      <c r="C67" s="16">
        <v>568035177</v>
      </c>
      <c r="D67" s="34">
        <v>4794.3455999999996</v>
      </c>
      <c r="E67" s="16">
        <v>118480.23158781046</v>
      </c>
    </row>
    <row r="68" spans="1:5" x14ac:dyDescent="0.25">
      <c r="A68" s="15">
        <v>16092</v>
      </c>
      <c r="B68" s="13" t="s">
        <v>74</v>
      </c>
      <c r="C68" s="16">
        <v>24569494</v>
      </c>
      <c r="D68" s="34">
        <v>208.14779999999999</v>
      </c>
      <c r="E68" s="16">
        <v>118038.69173731359</v>
      </c>
    </row>
    <row r="69" spans="1:5" x14ac:dyDescent="0.25">
      <c r="A69" s="15">
        <v>16094</v>
      </c>
      <c r="B69" s="13" t="s">
        <v>75</v>
      </c>
      <c r="C69" s="16">
        <v>31149900</v>
      </c>
      <c r="D69" s="34">
        <v>294.9683</v>
      </c>
      <c r="E69" s="16">
        <v>105604.22933583033</v>
      </c>
    </row>
    <row r="70" spans="1:5" x14ac:dyDescent="0.25">
      <c r="A70" s="15">
        <v>16096</v>
      </c>
      <c r="B70" s="13" t="s">
        <v>76</v>
      </c>
      <c r="C70" s="16">
        <v>688361498</v>
      </c>
      <c r="D70" s="34">
        <v>3607.1206999999999</v>
      </c>
      <c r="E70" s="16">
        <v>190834.06274705473</v>
      </c>
    </row>
    <row r="71" spans="1:5" x14ac:dyDescent="0.25">
      <c r="A71" s="15">
        <v>16097</v>
      </c>
      <c r="B71" s="13" t="s">
        <v>77</v>
      </c>
      <c r="C71" s="16">
        <v>55844861</v>
      </c>
      <c r="D71" s="34">
        <v>303.52910000000003</v>
      </c>
      <c r="E71" s="16">
        <v>183985.19614758517</v>
      </c>
    </row>
    <row r="72" spans="1:5" x14ac:dyDescent="0.25">
      <c r="A72" s="15">
        <v>17121</v>
      </c>
      <c r="B72" s="13" t="s">
        <v>78</v>
      </c>
      <c r="C72" s="16">
        <v>9666469</v>
      </c>
      <c r="D72" s="34">
        <v>117.7681</v>
      </c>
      <c r="E72" s="16">
        <v>82080.537938541922</v>
      </c>
    </row>
    <row r="73" spans="1:5" x14ac:dyDescent="0.25">
      <c r="A73" s="15">
        <v>17122</v>
      </c>
      <c r="B73" s="13" t="s">
        <v>79</v>
      </c>
      <c r="C73" s="16">
        <v>12082274</v>
      </c>
      <c r="D73" s="34">
        <v>130.45310000000001</v>
      </c>
      <c r="E73" s="16">
        <v>92617.760712470612</v>
      </c>
    </row>
    <row r="74" spans="1:5" x14ac:dyDescent="0.25">
      <c r="A74" s="15">
        <v>17124</v>
      </c>
      <c r="B74" s="13" t="s">
        <v>80</v>
      </c>
      <c r="C74" s="16">
        <v>8451535</v>
      </c>
      <c r="D74" s="34">
        <v>43.602800000000002</v>
      </c>
      <c r="E74" s="16">
        <v>193830.09806709661</v>
      </c>
    </row>
    <row r="75" spans="1:5" x14ac:dyDescent="0.25">
      <c r="A75" s="15">
        <v>17125</v>
      </c>
      <c r="B75" s="13" t="s">
        <v>81</v>
      </c>
      <c r="C75" s="16">
        <v>70277618</v>
      </c>
      <c r="D75" s="34">
        <v>769.3836</v>
      </c>
      <c r="E75" s="16">
        <v>91342.755421352878</v>
      </c>
    </row>
    <row r="76" spans="1:5" x14ac:dyDescent="0.25">
      <c r="A76" s="15">
        <v>17126</v>
      </c>
      <c r="B76" s="13" t="s">
        <v>82</v>
      </c>
      <c r="C76" s="16">
        <v>18278287</v>
      </c>
      <c r="D76" s="34">
        <v>139.3039</v>
      </c>
      <c r="E76" s="16">
        <v>131211.59565525444</v>
      </c>
    </row>
    <row r="77" spans="1:5" x14ac:dyDescent="0.25">
      <c r="A77" s="15">
        <v>18047</v>
      </c>
      <c r="B77" s="13" t="s">
        <v>83</v>
      </c>
      <c r="C77" s="16">
        <v>42119737</v>
      </c>
      <c r="D77" s="34">
        <v>562.4692</v>
      </c>
      <c r="E77" s="16">
        <v>74883.632739357112</v>
      </c>
    </row>
    <row r="78" spans="1:5" x14ac:dyDescent="0.25">
      <c r="A78" s="15">
        <v>18050</v>
      </c>
      <c r="B78" s="13" t="s">
        <v>84</v>
      </c>
      <c r="C78" s="16">
        <v>43437133</v>
      </c>
      <c r="D78" s="34">
        <v>454.2747</v>
      </c>
      <c r="E78" s="16">
        <v>95618.648804346798</v>
      </c>
    </row>
    <row r="79" spans="1:5" x14ac:dyDescent="0.25">
      <c r="A79" s="15">
        <v>19139</v>
      </c>
      <c r="B79" s="13" t="s">
        <v>85</v>
      </c>
      <c r="C79" s="16">
        <v>40243843</v>
      </c>
      <c r="D79" s="34">
        <v>465.72210000000001</v>
      </c>
      <c r="E79" s="16">
        <v>86411.709901677415</v>
      </c>
    </row>
    <row r="80" spans="1:5" x14ac:dyDescent="0.25">
      <c r="A80" s="15">
        <v>19140</v>
      </c>
      <c r="B80" s="13" t="s">
        <v>86</v>
      </c>
      <c r="C80" s="16">
        <v>16435795</v>
      </c>
      <c r="D80" s="34">
        <v>148.69049999999999</v>
      </c>
      <c r="E80" s="16">
        <v>110536.95427750933</v>
      </c>
    </row>
    <row r="81" spans="1:5" x14ac:dyDescent="0.25">
      <c r="A81" s="15">
        <v>19142</v>
      </c>
      <c r="B81" s="13" t="s">
        <v>87</v>
      </c>
      <c r="C81" s="16">
        <v>667301296</v>
      </c>
      <c r="D81" s="34">
        <v>5895.1557000000003</v>
      </c>
      <c r="E81" s="16">
        <v>113194.85522663973</v>
      </c>
    </row>
    <row r="82" spans="1:5" x14ac:dyDescent="0.25">
      <c r="A82" s="15">
        <v>19144</v>
      </c>
      <c r="B82" s="13" t="s">
        <v>88</v>
      </c>
      <c r="C82" s="16">
        <v>64361990</v>
      </c>
      <c r="D82" s="34">
        <v>725.95669999999996</v>
      </c>
      <c r="E82" s="16">
        <v>88658.166527011883</v>
      </c>
    </row>
    <row r="83" spans="1:5" x14ac:dyDescent="0.25">
      <c r="A83" s="15">
        <v>19147</v>
      </c>
      <c r="B83" s="13" t="s">
        <v>89</v>
      </c>
      <c r="C83" s="16">
        <v>17733759</v>
      </c>
      <c r="D83" s="34">
        <v>150.2749</v>
      </c>
      <c r="E83" s="16">
        <v>118008.78922561252</v>
      </c>
    </row>
    <row r="84" spans="1:5" x14ac:dyDescent="0.25">
      <c r="A84" s="15">
        <v>19148</v>
      </c>
      <c r="B84" s="13" t="s">
        <v>90</v>
      </c>
      <c r="C84" s="16">
        <v>188428971</v>
      </c>
      <c r="D84" s="34">
        <v>1995.9683</v>
      </c>
      <c r="E84" s="16">
        <v>94404.791398741159</v>
      </c>
    </row>
    <row r="85" spans="1:5" x14ac:dyDescent="0.25">
      <c r="A85" s="15">
        <v>19149</v>
      </c>
      <c r="B85" s="13" t="s">
        <v>91</v>
      </c>
      <c r="C85" s="16">
        <v>231743862</v>
      </c>
      <c r="D85" s="34">
        <v>1772.8497</v>
      </c>
      <c r="E85" s="16">
        <v>130718.27916376668</v>
      </c>
    </row>
    <row r="86" spans="1:5" x14ac:dyDescent="0.25">
      <c r="A86" s="15">
        <v>19150</v>
      </c>
      <c r="B86" s="13" t="s">
        <v>92</v>
      </c>
      <c r="C86" s="16">
        <v>22942760</v>
      </c>
      <c r="D86" s="34">
        <v>256.32389999999998</v>
      </c>
      <c r="E86" s="16">
        <v>89506.909031892865</v>
      </c>
    </row>
    <row r="87" spans="1:5" x14ac:dyDescent="0.25">
      <c r="A87" s="15">
        <v>19151</v>
      </c>
      <c r="B87" s="13" t="s">
        <v>93</v>
      </c>
      <c r="C87" s="16">
        <v>50461289</v>
      </c>
      <c r="D87" s="34">
        <v>415.04180000000002</v>
      </c>
      <c r="E87" s="16">
        <v>121581.22145769413</v>
      </c>
    </row>
    <row r="88" spans="1:5" x14ac:dyDescent="0.25">
      <c r="A88" s="15">
        <v>19152</v>
      </c>
      <c r="B88" s="13" t="s">
        <v>94</v>
      </c>
      <c r="C88" s="16">
        <v>401043398</v>
      </c>
      <c r="D88" s="34">
        <v>4144.2829000000002</v>
      </c>
      <c r="E88" s="16">
        <v>96770.275504116769</v>
      </c>
    </row>
    <row r="89" spans="1:5" x14ac:dyDescent="0.25">
      <c r="A89" s="15">
        <v>20001</v>
      </c>
      <c r="B89" s="13" t="s">
        <v>95</v>
      </c>
      <c r="C89" s="16">
        <v>100269017</v>
      </c>
      <c r="D89" s="34">
        <v>807.24969999999996</v>
      </c>
      <c r="E89" s="16">
        <v>124210.65873421817</v>
      </c>
    </row>
    <row r="90" spans="1:5" x14ac:dyDescent="0.25">
      <c r="A90" s="15">
        <v>20002</v>
      </c>
      <c r="B90" s="13" t="s">
        <v>96</v>
      </c>
      <c r="C90" s="16">
        <v>95587863</v>
      </c>
      <c r="D90" s="34">
        <v>1090.5163</v>
      </c>
      <c r="E90" s="16">
        <v>87653.768219695572</v>
      </c>
    </row>
    <row r="91" spans="1:5" x14ac:dyDescent="0.25">
      <c r="A91" s="15">
        <v>21148</v>
      </c>
      <c r="B91" s="13" t="s">
        <v>97</v>
      </c>
      <c r="C91" s="16">
        <v>18496870</v>
      </c>
      <c r="D91" s="34">
        <v>144.1369</v>
      </c>
      <c r="E91" s="16">
        <v>128328.48493342094</v>
      </c>
    </row>
    <row r="92" spans="1:5" x14ac:dyDescent="0.25">
      <c r="A92" s="15">
        <v>21149</v>
      </c>
      <c r="B92" s="13" t="s">
        <v>98</v>
      </c>
      <c r="C92" s="16">
        <v>23692221</v>
      </c>
      <c r="D92" s="34">
        <v>217.20830000000001</v>
      </c>
      <c r="E92" s="16">
        <v>109076.03899114352</v>
      </c>
    </row>
    <row r="93" spans="1:5" x14ac:dyDescent="0.25">
      <c r="A93" s="15">
        <v>21150</v>
      </c>
      <c r="B93" s="13" t="s">
        <v>99</v>
      </c>
      <c r="C93" s="16">
        <v>20220150</v>
      </c>
      <c r="D93" s="34">
        <v>107.60720000000001</v>
      </c>
      <c r="E93" s="16">
        <v>187907.03596041899</v>
      </c>
    </row>
    <row r="94" spans="1:5" x14ac:dyDescent="0.25">
      <c r="A94" s="15">
        <v>21151</v>
      </c>
      <c r="B94" s="13" t="s">
        <v>100</v>
      </c>
      <c r="C94" s="16">
        <v>56980394</v>
      </c>
      <c r="D94" s="34">
        <v>407.02839999999998</v>
      </c>
      <c r="E94" s="16">
        <v>139991.19963127881</v>
      </c>
    </row>
    <row r="95" spans="1:5" x14ac:dyDescent="0.25">
      <c r="A95" s="15">
        <v>22088</v>
      </c>
      <c r="B95" s="13" t="s">
        <v>101</v>
      </c>
      <c r="C95" s="16">
        <v>15007777</v>
      </c>
      <c r="D95" s="34">
        <v>228.9128</v>
      </c>
      <c r="E95" s="16">
        <v>65561.108858919208</v>
      </c>
    </row>
    <row r="96" spans="1:5" x14ac:dyDescent="0.25">
      <c r="A96" s="15">
        <v>22089</v>
      </c>
      <c r="B96" s="13" t="s">
        <v>102</v>
      </c>
      <c r="C96" s="16">
        <v>530845545</v>
      </c>
      <c r="D96" s="34">
        <v>5818.3055999999997</v>
      </c>
      <c r="E96" s="16">
        <v>91237.136976785827</v>
      </c>
    </row>
    <row r="97" spans="1:5" x14ac:dyDescent="0.25">
      <c r="A97" s="15">
        <v>22090</v>
      </c>
      <c r="B97" s="13" t="s">
        <v>103</v>
      </c>
      <c r="C97" s="16">
        <v>45599765</v>
      </c>
      <c r="D97" s="34">
        <v>686.7944</v>
      </c>
      <c r="E97" s="16">
        <v>66395.073984295741</v>
      </c>
    </row>
    <row r="98" spans="1:5" x14ac:dyDescent="0.25">
      <c r="A98" s="15">
        <v>22091</v>
      </c>
      <c r="B98" s="13" t="s">
        <v>104</v>
      </c>
      <c r="C98" s="16">
        <v>39336247</v>
      </c>
      <c r="D98" s="34">
        <v>343.62860000000001</v>
      </c>
      <c r="E98" s="16">
        <v>114473.14629806715</v>
      </c>
    </row>
    <row r="99" spans="1:5" x14ac:dyDescent="0.25">
      <c r="A99" s="15">
        <v>22092</v>
      </c>
      <c r="B99" s="13" t="s">
        <v>105</v>
      </c>
      <c r="C99" s="16">
        <v>82229140</v>
      </c>
      <c r="D99" s="34">
        <v>1154.8307</v>
      </c>
      <c r="E99" s="16">
        <v>71204.497767508263</v>
      </c>
    </row>
    <row r="100" spans="1:5" x14ac:dyDescent="0.25">
      <c r="A100" s="15">
        <v>22093</v>
      </c>
      <c r="B100" s="13" t="s">
        <v>106</v>
      </c>
      <c r="C100" s="16">
        <v>516923716</v>
      </c>
      <c r="D100" s="34">
        <v>5290.8062</v>
      </c>
      <c r="E100" s="16">
        <v>97702.258684130225</v>
      </c>
    </row>
    <row r="101" spans="1:5" x14ac:dyDescent="0.25">
      <c r="A101" s="15">
        <v>22094</v>
      </c>
      <c r="B101" s="13" t="s">
        <v>107</v>
      </c>
      <c r="C101" s="16">
        <v>74124811</v>
      </c>
      <c r="D101" s="34">
        <v>628.82299999999998</v>
      </c>
      <c r="E101" s="16">
        <v>117878.65742824292</v>
      </c>
    </row>
    <row r="102" spans="1:5" x14ac:dyDescent="0.25">
      <c r="A102" s="15">
        <v>23101</v>
      </c>
      <c r="B102" s="13" t="s">
        <v>108</v>
      </c>
      <c r="C102" s="16">
        <v>98606990</v>
      </c>
      <c r="D102" s="34">
        <v>965.36030000000005</v>
      </c>
      <c r="E102" s="16">
        <v>102145.2715633738</v>
      </c>
    </row>
    <row r="103" spans="1:5" x14ac:dyDescent="0.25">
      <c r="A103" s="15">
        <v>24086</v>
      </c>
      <c r="B103" s="13" t="s">
        <v>109</v>
      </c>
      <c r="C103" s="16">
        <v>406181855</v>
      </c>
      <c r="D103" s="34">
        <v>3223.5832999999998</v>
      </c>
      <c r="E103" s="16">
        <v>126003.21356671628</v>
      </c>
    </row>
    <row r="104" spans="1:5" x14ac:dyDescent="0.25">
      <c r="A104" s="15">
        <v>24087</v>
      </c>
      <c r="B104" s="13" t="s">
        <v>110</v>
      </c>
      <c r="C104" s="16">
        <v>283989519</v>
      </c>
      <c r="D104" s="34">
        <v>2508.5248999999999</v>
      </c>
      <c r="E104" s="16">
        <v>113209.76682352247</v>
      </c>
    </row>
    <row r="105" spans="1:5" x14ac:dyDescent="0.25">
      <c r="A105" s="15">
        <v>24089</v>
      </c>
      <c r="B105" s="13" t="s">
        <v>111</v>
      </c>
      <c r="C105" s="16">
        <v>242919947</v>
      </c>
      <c r="D105" s="34">
        <v>2449.4294</v>
      </c>
      <c r="E105" s="16">
        <v>99174.096220123756</v>
      </c>
    </row>
    <row r="106" spans="1:5" x14ac:dyDescent="0.25">
      <c r="A106" s="15">
        <v>24090</v>
      </c>
      <c r="B106" s="13" t="s">
        <v>112</v>
      </c>
      <c r="C106" s="16">
        <v>1093514313</v>
      </c>
      <c r="D106" s="34">
        <v>12015.433199999999</v>
      </c>
      <c r="E106" s="16">
        <v>91009.145887474122</v>
      </c>
    </row>
    <row r="107" spans="1:5" x14ac:dyDescent="0.25">
      <c r="A107" s="15">
        <v>24091</v>
      </c>
      <c r="B107" s="13" t="s">
        <v>113</v>
      </c>
      <c r="C107" s="16">
        <v>7675344</v>
      </c>
      <c r="D107" s="34">
        <v>29.023</v>
      </c>
      <c r="E107" s="16">
        <v>264457.29249216139</v>
      </c>
    </row>
    <row r="108" spans="1:5" x14ac:dyDescent="0.25">
      <c r="A108" s="15">
        <v>24093</v>
      </c>
      <c r="B108" s="13" t="s">
        <v>114</v>
      </c>
      <c r="C108" s="16">
        <v>2449251711</v>
      </c>
      <c r="D108" s="34">
        <v>19977.413100000002</v>
      </c>
      <c r="E108" s="16">
        <v>122601.04442651785</v>
      </c>
    </row>
    <row r="109" spans="1:5" x14ac:dyDescent="0.25">
      <c r="A109" s="15">
        <v>25001</v>
      </c>
      <c r="B109" s="13" t="s">
        <v>115</v>
      </c>
      <c r="C109" s="16">
        <v>122919477</v>
      </c>
      <c r="D109" s="34">
        <v>1351.0953999999999</v>
      </c>
      <c r="E109" s="16">
        <v>90977.64450978073</v>
      </c>
    </row>
    <row r="110" spans="1:5" x14ac:dyDescent="0.25">
      <c r="A110" s="15">
        <v>25002</v>
      </c>
      <c r="B110" s="13" t="s">
        <v>116</v>
      </c>
      <c r="C110" s="16">
        <v>67765974</v>
      </c>
      <c r="D110" s="34">
        <v>784.25019999999995</v>
      </c>
      <c r="E110" s="16">
        <v>86408.615515813712</v>
      </c>
    </row>
    <row r="111" spans="1:5" x14ac:dyDescent="0.25">
      <c r="A111" s="15">
        <v>25003</v>
      </c>
      <c r="B111" s="13" t="s">
        <v>117</v>
      </c>
      <c r="C111" s="16">
        <v>81231374</v>
      </c>
      <c r="D111" s="34">
        <v>568.74580000000003</v>
      </c>
      <c r="E111" s="16">
        <v>142825.44855715855</v>
      </c>
    </row>
    <row r="112" spans="1:5" x14ac:dyDescent="0.25">
      <c r="A112" s="15">
        <v>26001</v>
      </c>
      <c r="B112" s="13" t="s">
        <v>118</v>
      </c>
      <c r="C112" s="16">
        <v>62893350</v>
      </c>
      <c r="D112" s="34">
        <v>569.97239999999999</v>
      </c>
      <c r="E112" s="16">
        <v>110344.55352574967</v>
      </c>
    </row>
    <row r="113" spans="1:5" x14ac:dyDescent="0.25">
      <c r="A113" s="15">
        <v>26002</v>
      </c>
      <c r="B113" s="13" t="s">
        <v>119</v>
      </c>
      <c r="C113" s="16">
        <v>119628505</v>
      </c>
      <c r="D113" s="34">
        <v>1201.8951999999999</v>
      </c>
      <c r="E113" s="16">
        <v>99533.224693800265</v>
      </c>
    </row>
    <row r="114" spans="1:5" x14ac:dyDescent="0.25">
      <c r="A114" s="15">
        <v>26005</v>
      </c>
      <c r="B114" s="13" t="s">
        <v>120</v>
      </c>
      <c r="C114" s="16">
        <v>72463365</v>
      </c>
      <c r="D114" s="34">
        <v>582.01869999999997</v>
      </c>
      <c r="E114" s="16">
        <v>124503.49962982289</v>
      </c>
    </row>
    <row r="115" spans="1:5" x14ac:dyDescent="0.25">
      <c r="A115" s="15">
        <v>26006</v>
      </c>
      <c r="B115" s="13" t="s">
        <v>121</v>
      </c>
      <c r="C115" s="16">
        <v>1368136521</v>
      </c>
      <c r="D115" s="34">
        <v>7332.6508000000003</v>
      </c>
      <c r="E115" s="16">
        <v>186581.4366886256</v>
      </c>
    </row>
    <row r="116" spans="1:5" x14ac:dyDescent="0.25">
      <c r="A116" s="15">
        <v>27055</v>
      </c>
      <c r="B116" s="13" t="s">
        <v>122</v>
      </c>
      <c r="C116" s="16">
        <v>10086982</v>
      </c>
      <c r="D116" s="34">
        <v>125.4102</v>
      </c>
      <c r="E116" s="16">
        <v>80431.910642037095</v>
      </c>
    </row>
    <row r="117" spans="1:5" x14ac:dyDescent="0.25">
      <c r="A117" s="15">
        <v>27056</v>
      </c>
      <c r="B117" s="13" t="s">
        <v>123</v>
      </c>
      <c r="C117" s="16">
        <v>10494444</v>
      </c>
      <c r="D117" s="34">
        <v>94.274900000000002</v>
      </c>
      <c r="E117" s="16">
        <v>111317.47686818018</v>
      </c>
    </row>
    <row r="118" spans="1:5" x14ac:dyDescent="0.25">
      <c r="A118" s="15">
        <v>27057</v>
      </c>
      <c r="B118" s="13" t="s">
        <v>124</v>
      </c>
      <c r="C118" s="16">
        <v>15846630</v>
      </c>
      <c r="D118" s="34">
        <v>147.34790000000001</v>
      </c>
      <c r="E118" s="16">
        <v>107545.6793072721</v>
      </c>
    </row>
    <row r="119" spans="1:5" x14ac:dyDescent="0.25">
      <c r="A119" s="15">
        <v>27058</v>
      </c>
      <c r="B119" s="13" t="s">
        <v>125</v>
      </c>
      <c r="C119" s="16">
        <v>17390369</v>
      </c>
      <c r="D119" s="34">
        <v>202.6902</v>
      </c>
      <c r="E119" s="16">
        <v>85797.779073679936</v>
      </c>
    </row>
    <row r="120" spans="1:5" x14ac:dyDescent="0.25">
      <c r="A120" s="15">
        <v>27059</v>
      </c>
      <c r="B120" s="13" t="s">
        <v>126</v>
      </c>
      <c r="C120" s="16">
        <v>22012172</v>
      </c>
      <c r="D120" s="34">
        <v>195.74709999999999</v>
      </c>
      <c r="E120" s="16">
        <v>112452.0976300543</v>
      </c>
    </row>
    <row r="121" spans="1:5" x14ac:dyDescent="0.25">
      <c r="A121" s="15">
        <v>27061</v>
      </c>
      <c r="B121" s="13" t="s">
        <v>127</v>
      </c>
      <c r="C121" s="16">
        <v>152890848</v>
      </c>
      <c r="D121" s="34">
        <v>1396.9321</v>
      </c>
      <c r="E121" s="16">
        <v>109447.5873236788</v>
      </c>
    </row>
    <row r="122" spans="1:5" x14ac:dyDescent="0.25">
      <c r="A122" s="15">
        <v>28101</v>
      </c>
      <c r="B122" s="13" t="s">
        <v>128</v>
      </c>
      <c r="C122" s="16">
        <v>73726704</v>
      </c>
      <c r="D122" s="34">
        <v>809.68920000000003</v>
      </c>
      <c r="E122" s="16">
        <v>91055.560578058838</v>
      </c>
    </row>
    <row r="123" spans="1:5" x14ac:dyDescent="0.25">
      <c r="A123" s="15">
        <v>28102</v>
      </c>
      <c r="B123" s="13" t="s">
        <v>129</v>
      </c>
      <c r="C123" s="16">
        <v>128169027</v>
      </c>
      <c r="D123" s="34">
        <v>1233.7374</v>
      </c>
      <c r="E123" s="16">
        <v>103886.79714175804</v>
      </c>
    </row>
    <row r="124" spans="1:5" x14ac:dyDescent="0.25">
      <c r="A124" s="15">
        <v>28103</v>
      </c>
      <c r="B124" s="13" t="s">
        <v>130</v>
      </c>
      <c r="C124" s="16">
        <v>67137380</v>
      </c>
      <c r="D124" s="34">
        <v>862.38480000000004</v>
      </c>
      <c r="E124" s="16">
        <v>77850.838743911067</v>
      </c>
    </row>
    <row r="125" spans="1:5" x14ac:dyDescent="0.25">
      <c r="A125" s="15">
        <v>29001</v>
      </c>
      <c r="B125" s="13" t="s">
        <v>131</v>
      </c>
      <c r="C125" s="16">
        <v>34501425</v>
      </c>
      <c r="D125" s="34">
        <v>226.22309999999999</v>
      </c>
      <c r="E125" s="16">
        <v>152510.61894209744</v>
      </c>
    </row>
    <row r="126" spans="1:5" x14ac:dyDescent="0.25">
      <c r="A126" s="15">
        <v>29002</v>
      </c>
      <c r="B126" s="13" t="s">
        <v>132</v>
      </c>
      <c r="C126" s="16">
        <v>12749958</v>
      </c>
      <c r="D126" s="34">
        <v>164.35040000000001</v>
      </c>
      <c r="E126" s="16">
        <v>77577.894547260003</v>
      </c>
    </row>
    <row r="127" spans="1:5" x14ac:dyDescent="0.25">
      <c r="A127" s="15">
        <v>29003</v>
      </c>
      <c r="B127" s="13" t="s">
        <v>133</v>
      </c>
      <c r="C127" s="16">
        <v>12355069</v>
      </c>
      <c r="D127" s="34">
        <v>143.7312</v>
      </c>
      <c r="E127" s="16">
        <v>85959.548100899454</v>
      </c>
    </row>
    <row r="128" spans="1:5" x14ac:dyDescent="0.25">
      <c r="A128" s="15">
        <v>29004</v>
      </c>
      <c r="B128" s="13" t="s">
        <v>134</v>
      </c>
      <c r="C128" s="16">
        <v>41769594</v>
      </c>
      <c r="D128" s="34">
        <v>315.14319999999998</v>
      </c>
      <c r="E128" s="16">
        <v>132541.63186767159</v>
      </c>
    </row>
    <row r="129" spans="1:5" x14ac:dyDescent="0.25">
      <c r="A129" s="15">
        <v>30093</v>
      </c>
      <c r="B129" s="13" t="s">
        <v>135</v>
      </c>
      <c r="C129" s="16">
        <v>136283915</v>
      </c>
      <c r="D129" s="34">
        <v>1506.0503000000001</v>
      </c>
      <c r="E129" s="16">
        <v>90490.945089948189</v>
      </c>
    </row>
    <row r="130" spans="1:5" x14ac:dyDescent="0.25">
      <c r="A130" s="15">
        <v>31116</v>
      </c>
      <c r="B130" s="13" t="s">
        <v>136</v>
      </c>
      <c r="C130" s="16">
        <v>15046288</v>
      </c>
      <c r="D130" s="34">
        <v>190.94059999999999</v>
      </c>
      <c r="E130" s="16">
        <v>78800.883625588278</v>
      </c>
    </row>
    <row r="131" spans="1:5" x14ac:dyDescent="0.25">
      <c r="A131" s="15">
        <v>31117</v>
      </c>
      <c r="B131" s="13" t="s">
        <v>137</v>
      </c>
      <c r="C131" s="16">
        <v>26113704</v>
      </c>
      <c r="D131" s="34">
        <v>121.87949999999999</v>
      </c>
      <c r="E131" s="16">
        <v>214258.37815219132</v>
      </c>
    </row>
    <row r="132" spans="1:5" x14ac:dyDescent="0.25">
      <c r="A132" s="15">
        <v>31118</v>
      </c>
      <c r="B132" s="13" t="s">
        <v>138</v>
      </c>
      <c r="C132" s="16">
        <v>12082512</v>
      </c>
      <c r="D132" s="34">
        <v>45.005699999999997</v>
      </c>
      <c r="E132" s="16">
        <v>268466.26094028092</v>
      </c>
    </row>
    <row r="133" spans="1:5" x14ac:dyDescent="0.25">
      <c r="A133" s="15">
        <v>31121</v>
      </c>
      <c r="B133" s="13" t="s">
        <v>139</v>
      </c>
      <c r="C133" s="16">
        <v>48071859</v>
      </c>
      <c r="D133" s="34">
        <v>509.19330000000002</v>
      </c>
      <c r="E133" s="16">
        <v>94407.878108372592</v>
      </c>
    </row>
    <row r="134" spans="1:5" x14ac:dyDescent="0.25">
      <c r="A134" s="15">
        <v>31122</v>
      </c>
      <c r="B134" s="13" t="s">
        <v>140</v>
      </c>
      <c r="C134" s="16">
        <v>23038328</v>
      </c>
      <c r="D134" s="34">
        <v>138.2552</v>
      </c>
      <c r="E134" s="16">
        <v>166636.24948645692</v>
      </c>
    </row>
    <row r="135" spans="1:5" x14ac:dyDescent="0.25">
      <c r="A135" s="15">
        <v>32054</v>
      </c>
      <c r="B135" s="13" t="s">
        <v>141</v>
      </c>
      <c r="C135" s="16">
        <v>20422516</v>
      </c>
      <c r="D135" s="34">
        <v>94.063000000000002</v>
      </c>
      <c r="E135" s="16">
        <v>217115.29506819896</v>
      </c>
    </row>
    <row r="136" spans="1:5" x14ac:dyDescent="0.25">
      <c r="A136" s="15">
        <v>32055</v>
      </c>
      <c r="B136" s="13" t="s">
        <v>142</v>
      </c>
      <c r="C136" s="16">
        <v>71461493</v>
      </c>
      <c r="D136" s="34">
        <v>484.92189999999999</v>
      </c>
      <c r="E136" s="16">
        <v>147367.01518326972</v>
      </c>
    </row>
    <row r="137" spans="1:5" x14ac:dyDescent="0.25">
      <c r="A137" s="15">
        <v>32056</v>
      </c>
      <c r="B137" s="13" t="s">
        <v>143</v>
      </c>
      <c r="C137" s="16">
        <v>28567307</v>
      </c>
      <c r="D137" s="34">
        <v>145.28659999999999</v>
      </c>
      <c r="E137" s="16">
        <v>196627.26638244683</v>
      </c>
    </row>
    <row r="138" spans="1:5" x14ac:dyDescent="0.25">
      <c r="A138" s="15">
        <v>32058</v>
      </c>
      <c r="B138" s="13" t="s">
        <v>144</v>
      </c>
      <c r="C138" s="16">
        <v>19553085</v>
      </c>
      <c r="D138" s="34">
        <v>235.2465</v>
      </c>
      <c r="E138" s="16">
        <v>83117.432140329402</v>
      </c>
    </row>
    <row r="139" spans="1:5" x14ac:dyDescent="0.25">
      <c r="A139" s="15">
        <v>33090</v>
      </c>
      <c r="B139" s="13" t="s">
        <v>145</v>
      </c>
      <c r="C139" s="16">
        <v>71850488</v>
      </c>
      <c r="D139" s="34">
        <v>948.92370000000005</v>
      </c>
      <c r="E139" s="16">
        <v>75717.877001069734</v>
      </c>
    </row>
    <row r="140" spans="1:5" x14ac:dyDescent="0.25">
      <c r="A140" s="15">
        <v>33091</v>
      </c>
      <c r="B140" s="13" t="s">
        <v>146</v>
      </c>
      <c r="C140" s="16">
        <v>16072584</v>
      </c>
      <c r="D140" s="34">
        <v>158.0146</v>
      </c>
      <c r="E140" s="16">
        <v>101715.8161334459</v>
      </c>
    </row>
    <row r="141" spans="1:5" x14ac:dyDescent="0.25">
      <c r="A141" s="15">
        <v>33092</v>
      </c>
      <c r="B141" s="13" t="s">
        <v>147</v>
      </c>
      <c r="C141" s="16">
        <v>22407710</v>
      </c>
      <c r="D141" s="34">
        <v>256.87610000000001</v>
      </c>
      <c r="E141" s="16">
        <v>87231.587524102084</v>
      </c>
    </row>
    <row r="142" spans="1:5" x14ac:dyDescent="0.25">
      <c r="A142" s="15">
        <v>33093</v>
      </c>
      <c r="B142" s="13" t="s">
        <v>148</v>
      </c>
      <c r="C142" s="16">
        <v>36216662</v>
      </c>
      <c r="D142" s="34">
        <v>316.61320000000001</v>
      </c>
      <c r="E142" s="16">
        <v>114387.71977921325</v>
      </c>
    </row>
    <row r="143" spans="1:5" x14ac:dyDescent="0.25">
      <c r="A143" s="15">
        <v>33094</v>
      </c>
      <c r="B143" s="13" t="s">
        <v>149</v>
      </c>
      <c r="C143" s="16">
        <v>21555230</v>
      </c>
      <c r="D143" s="34">
        <v>246.99889999999999</v>
      </c>
      <c r="E143" s="16">
        <v>87268.52629708068</v>
      </c>
    </row>
    <row r="144" spans="1:5" x14ac:dyDescent="0.25">
      <c r="A144" s="15">
        <v>34121</v>
      </c>
      <c r="B144" s="13" t="s">
        <v>150</v>
      </c>
      <c r="C144" s="16">
        <v>11211284</v>
      </c>
      <c r="D144" s="34">
        <v>93.799099999999996</v>
      </c>
      <c r="E144" s="16">
        <v>119524.43040498257</v>
      </c>
    </row>
    <row r="145" spans="1:5" x14ac:dyDescent="0.25">
      <c r="A145" s="15">
        <v>34122</v>
      </c>
      <c r="B145" s="13" t="s">
        <v>151</v>
      </c>
      <c r="C145" s="16">
        <v>7991767</v>
      </c>
      <c r="D145" s="34">
        <v>102.50360000000001</v>
      </c>
      <c r="E145" s="16">
        <v>77965.720228362712</v>
      </c>
    </row>
    <row r="146" spans="1:5" x14ac:dyDescent="0.25">
      <c r="A146" s="15">
        <v>34124</v>
      </c>
      <c r="B146" s="13" t="s">
        <v>152</v>
      </c>
      <c r="C146" s="16">
        <v>107391308</v>
      </c>
      <c r="D146" s="34">
        <v>1195.7240999999999</v>
      </c>
      <c r="E146" s="16">
        <v>89812.78206235035</v>
      </c>
    </row>
    <row r="147" spans="1:5" x14ac:dyDescent="0.25">
      <c r="A147" s="15">
        <v>35092</v>
      </c>
      <c r="B147" s="13" t="s">
        <v>153</v>
      </c>
      <c r="C147" s="16">
        <v>48956889</v>
      </c>
      <c r="D147" s="34">
        <v>855.2518</v>
      </c>
      <c r="E147" s="16">
        <v>57242.661167155682</v>
      </c>
    </row>
    <row r="148" spans="1:5" x14ac:dyDescent="0.25">
      <c r="A148" s="15">
        <v>35093</v>
      </c>
      <c r="B148" s="13" t="s">
        <v>154</v>
      </c>
      <c r="C148" s="16">
        <v>45462503</v>
      </c>
      <c r="D148" s="34">
        <v>500.39019999999999</v>
      </c>
      <c r="E148" s="16">
        <v>90854.103457661637</v>
      </c>
    </row>
    <row r="149" spans="1:5" x14ac:dyDescent="0.25">
      <c r="A149" s="15">
        <v>35094</v>
      </c>
      <c r="B149" s="13" t="s">
        <v>155</v>
      </c>
      <c r="C149" s="16">
        <v>22857430</v>
      </c>
      <c r="D149" s="34">
        <v>431.55849999999998</v>
      </c>
      <c r="E149" s="16">
        <v>52964.847175991206</v>
      </c>
    </row>
    <row r="150" spans="1:5" x14ac:dyDescent="0.25">
      <c r="A150" s="15">
        <v>35097</v>
      </c>
      <c r="B150" s="13" t="s">
        <v>156</v>
      </c>
      <c r="C150" s="16">
        <v>14391158</v>
      </c>
      <c r="D150" s="34">
        <v>309.21269999999998</v>
      </c>
      <c r="E150" s="16">
        <v>46541.290186334525</v>
      </c>
    </row>
    <row r="151" spans="1:5" x14ac:dyDescent="0.25">
      <c r="A151" s="15">
        <v>35098</v>
      </c>
      <c r="B151" s="13" t="s">
        <v>157</v>
      </c>
      <c r="C151" s="16">
        <v>52270759</v>
      </c>
      <c r="D151" s="34">
        <v>613.50760000000002</v>
      </c>
      <c r="E151" s="16">
        <v>85199.85571490883</v>
      </c>
    </row>
    <row r="152" spans="1:5" x14ac:dyDescent="0.25">
      <c r="A152" s="15">
        <v>35099</v>
      </c>
      <c r="B152" s="13" t="s">
        <v>158</v>
      </c>
      <c r="C152" s="16">
        <v>14804306</v>
      </c>
      <c r="D152" s="34">
        <v>211.84399999999999</v>
      </c>
      <c r="E152" s="16">
        <v>69883.055455901515</v>
      </c>
    </row>
    <row r="153" spans="1:5" x14ac:dyDescent="0.25">
      <c r="A153" s="15">
        <v>35102</v>
      </c>
      <c r="B153" s="13" t="s">
        <v>159</v>
      </c>
      <c r="C153" s="16">
        <v>91620172</v>
      </c>
      <c r="D153" s="34">
        <v>1686.1560999999999</v>
      </c>
      <c r="E153" s="16">
        <v>54336.708208688389</v>
      </c>
    </row>
    <row r="154" spans="1:5" x14ac:dyDescent="0.25">
      <c r="A154" s="15">
        <v>36123</v>
      </c>
      <c r="B154" s="13" t="s">
        <v>160</v>
      </c>
      <c r="C154" s="16">
        <v>36728530</v>
      </c>
      <c r="D154" s="34">
        <v>154.3321</v>
      </c>
      <c r="E154" s="16">
        <v>237983.73766701808</v>
      </c>
    </row>
    <row r="155" spans="1:5" x14ac:dyDescent="0.25">
      <c r="A155" s="15">
        <v>36126</v>
      </c>
      <c r="B155" s="13" t="s">
        <v>161</v>
      </c>
      <c r="C155" s="16">
        <v>371271102</v>
      </c>
      <c r="D155" s="34">
        <v>2594.3166000000001</v>
      </c>
      <c r="E155" s="16">
        <v>143109.40384068774</v>
      </c>
    </row>
    <row r="156" spans="1:5" x14ac:dyDescent="0.25">
      <c r="A156" s="15">
        <v>36131</v>
      </c>
      <c r="B156" s="13" t="s">
        <v>162</v>
      </c>
      <c r="C156" s="16">
        <v>359510151</v>
      </c>
      <c r="D156" s="34">
        <v>2842.7505000000001</v>
      </c>
      <c r="E156" s="16">
        <v>126465.60118448664</v>
      </c>
    </row>
    <row r="157" spans="1:5" x14ac:dyDescent="0.25">
      <c r="A157" s="15">
        <v>36133</v>
      </c>
      <c r="B157" s="13" t="s">
        <v>163</v>
      </c>
      <c r="C157" s="16">
        <v>42123449</v>
      </c>
      <c r="D157" s="34">
        <v>391.36939999999998</v>
      </c>
      <c r="E157" s="16">
        <v>107630.92106843305</v>
      </c>
    </row>
    <row r="158" spans="1:5" x14ac:dyDescent="0.25">
      <c r="A158" s="15">
        <v>36134</v>
      </c>
      <c r="B158" s="13" t="s">
        <v>164</v>
      </c>
      <c r="C158" s="16">
        <v>29900849</v>
      </c>
      <c r="D158" s="34">
        <v>261.8974</v>
      </c>
      <c r="E158" s="16">
        <v>114170.08721736069</v>
      </c>
    </row>
    <row r="159" spans="1:5" x14ac:dyDescent="0.25">
      <c r="A159" s="15">
        <v>36135</v>
      </c>
      <c r="B159" s="13" t="s">
        <v>165</v>
      </c>
      <c r="C159" s="16">
        <v>13280854</v>
      </c>
      <c r="D159" s="34">
        <v>91.365600000000001</v>
      </c>
      <c r="E159" s="16">
        <v>145359.45695097497</v>
      </c>
    </row>
    <row r="160" spans="1:5" x14ac:dyDescent="0.25">
      <c r="A160" s="15">
        <v>36136</v>
      </c>
      <c r="B160" s="13" t="s">
        <v>166</v>
      </c>
      <c r="C160" s="16">
        <v>159445773</v>
      </c>
      <c r="D160" s="34">
        <v>1914.0931</v>
      </c>
      <c r="E160" s="16">
        <v>83300.94967689921</v>
      </c>
    </row>
    <row r="161" spans="1:5" x14ac:dyDescent="0.25">
      <c r="A161" s="15">
        <v>36137</v>
      </c>
      <c r="B161" s="13" t="s">
        <v>1577</v>
      </c>
      <c r="C161" s="16">
        <v>206660412</v>
      </c>
      <c r="D161" s="34">
        <v>1795.7385999999999</v>
      </c>
      <c r="E161" s="16">
        <v>115083.79448991072</v>
      </c>
    </row>
    <row r="162" spans="1:5" x14ac:dyDescent="0.25">
      <c r="A162" s="15">
        <v>36138</v>
      </c>
      <c r="B162" s="13" t="s">
        <v>168</v>
      </c>
      <c r="C162" s="16">
        <v>41435325</v>
      </c>
      <c r="D162" s="34">
        <v>456.62049999999999</v>
      </c>
      <c r="E162" s="16">
        <v>90743.462021525542</v>
      </c>
    </row>
    <row r="163" spans="1:5" x14ac:dyDescent="0.25">
      <c r="A163" s="15">
        <v>36139</v>
      </c>
      <c r="B163" s="13" t="s">
        <v>169</v>
      </c>
      <c r="C163" s="16">
        <v>828379655</v>
      </c>
      <c r="D163" s="34">
        <v>3276.8935999999999</v>
      </c>
      <c r="E163" s="16">
        <v>252794.18745851255</v>
      </c>
    </row>
    <row r="164" spans="1:5" x14ac:dyDescent="0.25">
      <c r="A164" s="15">
        <v>37037</v>
      </c>
      <c r="B164" s="13" t="s">
        <v>170</v>
      </c>
      <c r="C164" s="16">
        <v>174718515</v>
      </c>
      <c r="D164" s="34">
        <v>1632.0228999999999</v>
      </c>
      <c r="E164" s="16">
        <v>107056.4114020704</v>
      </c>
    </row>
    <row r="165" spans="1:5" x14ac:dyDescent="0.25">
      <c r="A165" s="15">
        <v>37039</v>
      </c>
      <c r="B165" s="13" t="s">
        <v>171</v>
      </c>
      <c r="C165" s="16">
        <v>129847780</v>
      </c>
      <c r="D165" s="34">
        <v>825.16139999999996</v>
      </c>
      <c r="E165" s="16">
        <v>157360.46305607606</v>
      </c>
    </row>
    <row r="166" spans="1:5" x14ac:dyDescent="0.25">
      <c r="A166" s="15">
        <v>38044</v>
      </c>
      <c r="B166" s="13" t="s">
        <v>172</v>
      </c>
      <c r="C166" s="16">
        <v>47591541</v>
      </c>
      <c r="D166" s="34">
        <v>311.01749999999998</v>
      </c>
      <c r="E166" s="16">
        <v>153018.85263690952</v>
      </c>
    </row>
    <row r="167" spans="1:5" x14ac:dyDescent="0.25">
      <c r="A167" s="15">
        <v>38045</v>
      </c>
      <c r="B167" s="13" t="s">
        <v>173</v>
      </c>
      <c r="C167" s="16">
        <v>28551224</v>
      </c>
      <c r="D167" s="34">
        <v>318.40179999999998</v>
      </c>
      <c r="E167" s="16">
        <v>89670.422717459514</v>
      </c>
    </row>
    <row r="168" spans="1:5" x14ac:dyDescent="0.25">
      <c r="A168" s="15">
        <v>38046</v>
      </c>
      <c r="B168" s="13" t="s">
        <v>174</v>
      </c>
      <c r="C168" s="16">
        <v>39422927</v>
      </c>
      <c r="D168" s="34">
        <v>390.72059999999999</v>
      </c>
      <c r="E168" s="16">
        <v>100897.99974713389</v>
      </c>
    </row>
    <row r="169" spans="1:5" x14ac:dyDescent="0.25">
      <c r="A169" s="15">
        <v>39133</v>
      </c>
      <c r="B169" s="13" t="s">
        <v>175</v>
      </c>
      <c r="C169" s="16">
        <v>419985081</v>
      </c>
      <c r="D169" s="34">
        <v>4264.4139999999998</v>
      </c>
      <c r="E169" s="16">
        <v>98486.000890157477</v>
      </c>
    </row>
    <row r="170" spans="1:5" x14ac:dyDescent="0.25">
      <c r="A170" s="15">
        <v>39134</v>
      </c>
      <c r="B170" s="13" t="s">
        <v>176</v>
      </c>
      <c r="C170" s="16">
        <v>439657766</v>
      </c>
      <c r="D170" s="34">
        <v>4649.8517000000002</v>
      </c>
      <c r="E170" s="16">
        <v>94553.072735631547</v>
      </c>
    </row>
    <row r="171" spans="1:5" x14ac:dyDescent="0.25">
      <c r="A171" s="15">
        <v>39135</v>
      </c>
      <c r="B171" s="13" t="s">
        <v>177</v>
      </c>
      <c r="C171" s="16">
        <v>65996753</v>
      </c>
      <c r="D171" s="34">
        <v>652.452</v>
      </c>
      <c r="E171" s="16">
        <v>101151.89010072772</v>
      </c>
    </row>
    <row r="172" spans="1:5" x14ac:dyDescent="0.25">
      <c r="A172" s="15">
        <v>39136</v>
      </c>
      <c r="B172" s="13" t="s">
        <v>178</v>
      </c>
      <c r="C172" s="16">
        <v>22006510</v>
      </c>
      <c r="D172" s="34">
        <v>228.67859999999999</v>
      </c>
      <c r="E172" s="16">
        <v>96233.359833408118</v>
      </c>
    </row>
    <row r="173" spans="1:5" x14ac:dyDescent="0.25">
      <c r="A173" s="15">
        <v>39137</v>
      </c>
      <c r="B173" s="13" t="s">
        <v>179</v>
      </c>
      <c r="C173" s="16">
        <v>225578522</v>
      </c>
      <c r="D173" s="34">
        <v>1198.2800999999999</v>
      </c>
      <c r="E173" s="16">
        <v>188251.91372200876</v>
      </c>
    </row>
    <row r="174" spans="1:5" x14ac:dyDescent="0.25">
      <c r="A174" s="15">
        <v>39139</v>
      </c>
      <c r="B174" s="13" t="s">
        <v>180</v>
      </c>
      <c r="C174" s="16">
        <v>277444080</v>
      </c>
      <c r="D174" s="34">
        <v>2073.0104999999999</v>
      </c>
      <c r="E174" s="16">
        <v>133836.31197237063</v>
      </c>
    </row>
    <row r="175" spans="1:5" x14ac:dyDescent="0.25">
      <c r="A175" s="15">
        <v>39141</v>
      </c>
      <c r="B175" s="13" t="s">
        <v>181</v>
      </c>
      <c r="C175" s="16">
        <v>3863596529</v>
      </c>
      <c r="D175" s="34">
        <v>19789.330699999999</v>
      </c>
      <c r="E175" s="16">
        <v>195236.34162119491</v>
      </c>
    </row>
    <row r="176" spans="1:5" x14ac:dyDescent="0.25">
      <c r="A176" s="15">
        <v>39142</v>
      </c>
      <c r="B176" s="13" t="s">
        <v>182</v>
      </c>
      <c r="C176" s="16">
        <v>76969545</v>
      </c>
      <c r="D176" s="34">
        <v>1097.4043999999999</v>
      </c>
      <c r="E176" s="16">
        <v>70137.813371260403</v>
      </c>
    </row>
    <row r="177" spans="1:5" x14ac:dyDescent="0.25">
      <c r="A177" s="15">
        <v>40100</v>
      </c>
      <c r="B177" s="13" t="s">
        <v>1578</v>
      </c>
      <c r="C177" s="16">
        <v>10678398</v>
      </c>
      <c r="D177" s="34">
        <v>105.33240000000001</v>
      </c>
      <c r="E177" s="16">
        <v>101378.09448944483</v>
      </c>
    </row>
    <row r="178" spans="1:5" x14ac:dyDescent="0.25">
      <c r="A178" s="15">
        <v>40101</v>
      </c>
      <c r="B178" s="13" t="s">
        <v>184</v>
      </c>
      <c r="C178" s="16">
        <v>4622720</v>
      </c>
      <c r="D178" s="34">
        <v>47.587400000000002</v>
      </c>
      <c r="E178" s="16">
        <v>97141.680360767758</v>
      </c>
    </row>
    <row r="179" spans="1:5" x14ac:dyDescent="0.25">
      <c r="A179" s="15">
        <v>40103</v>
      </c>
      <c r="B179" s="13" t="s">
        <v>185</v>
      </c>
      <c r="C179" s="16">
        <v>8140096</v>
      </c>
      <c r="D179" s="34">
        <v>69.208299999999994</v>
      </c>
      <c r="E179" s="16">
        <v>117617.33780485867</v>
      </c>
    </row>
    <row r="180" spans="1:5" x14ac:dyDescent="0.25">
      <c r="A180" s="15">
        <v>40104</v>
      </c>
      <c r="B180" s="13" t="s">
        <v>186</v>
      </c>
      <c r="C180" s="16">
        <v>6137361</v>
      </c>
      <c r="D180" s="34">
        <v>65.619100000000003</v>
      </c>
      <c r="E180" s="16">
        <v>93530.100229963529</v>
      </c>
    </row>
    <row r="181" spans="1:5" x14ac:dyDescent="0.25">
      <c r="A181" s="15">
        <v>40107</v>
      </c>
      <c r="B181" s="13" t="s">
        <v>187</v>
      </c>
      <c r="C181" s="16">
        <v>76606721</v>
      </c>
      <c r="D181" s="34">
        <v>949.43240000000003</v>
      </c>
      <c r="E181" s="16">
        <v>80686.861960893686</v>
      </c>
    </row>
    <row r="182" spans="1:5" x14ac:dyDescent="0.25">
      <c r="A182" s="15">
        <v>41001</v>
      </c>
      <c r="B182" s="13" t="s">
        <v>188</v>
      </c>
      <c r="C182" s="16">
        <v>6336278</v>
      </c>
      <c r="D182" s="34">
        <v>73.509299999999996</v>
      </c>
      <c r="E182" s="16">
        <v>86196.957391785807</v>
      </c>
    </row>
    <row r="183" spans="1:5" x14ac:dyDescent="0.25">
      <c r="A183" s="15">
        <v>41002</v>
      </c>
      <c r="B183" s="13" t="s">
        <v>189</v>
      </c>
      <c r="C183" s="16">
        <v>74037391</v>
      </c>
      <c r="D183" s="34">
        <v>757.6789</v>
      </c>
      <c r="E183" s="16">
        <v>97716.05227491488</v>
      </c>
    </row>
    <row r="184" spans="1:5" x14ac:dyDescent="0.25">
      <c r="A184" s="15">
        <v>41003</v>
      </c>
      <c r="B184" s="13" t="s">
        <v>190</v>
      </c>
      <c r="C184" s="16">
        <v>22996781</v>
      </c>
      <c r="D184" s="34">
        <v>190.79060000000001</v>
      </c>
      <c r="E184" s="16">
        <v>120534.14057086669</v>
      </c>
    </row>
    <row r="185" spans="1:5" x14ac:dyDescent="0.25">
      <c r="A185" s="15">
        <v>41004</v>
      </c>
      <c r="B185" s="13" t="s">
        <v>191</v>
      </c>
      <c r="C185" s="16">
        <v>12510508</v>
      </c>
      <c r="D185" s="34">
        <v>123.7603</v>
      </c>
      <c r="E185" s="16">
        <v>101086.60046880947</v>
      </c>
    </row>
    <row r="186" spans="1:5" x14ac:dyDescent="0.25">
      <c r="A186" s="15">
        <v>41005</v>
      </c>
      <c r="B186" s="13" t="s">
        <v>192</v>
      </c>
      <c r="C186" s="16">
        <v>8356661</v>
      </c>
      <c r="D186" s="34">
        <v>63.703000000000003</v>
      </c>
      <c r="E186" s="16">
        <v>131181.59270364032</v>
      </c>
    </row>
    <row r="187" spans="1:5" x14ac:dyDescent="0.25">
      <c r="A187" s="15">
        <v>42111</v>
      </c>
      <c r="B187" s="13" t="s">
        <v>193</v>
      </c>
      <c r="C187" s="16">
        <v>49374130</v>
      </c>
      <c r="D187" s="34">
        <v>615.94600000000003</v>
      </c>
      <c r="E187" s="16">
        <v>80159.835440119743</v>
      </c>
    </row>
    <row r="188" spans="1:5" x14ac:dyDescent="0.25">
      <c r="A188" s="15">
        <v>42113</v>
      </c>
      <c r="B188" s="13" t="s">
        <v>194</v>
      </c>
      <c r="C188" s="16">
        <v>10719410</v>
      </c>
      <c r="D188" s="34">
        <v>71.801500000000004</v>
      </c>
      <c r="E188" s="16">
        <v>149292.2849801188</v>
      </c>
    </row>
    <row r="189" spans="1:5" x14ac:dyDescent="0.25">
      <c r="A189" s="15">
        <v>42117</v>
      </c>
      <c r="B189" s="13" t="s">
        <v>195</v>
      </c>
      <c r="C189" s="16">
        <v>12531806</v>
      </c>
      <c r="D189" s="34">
        <v>79.926400000000001</v>
      </c>
      <c r="E189" s="16">
        <v>156791.82347759939</v>
      </c>
    </row>
    <row r="190" spans="1:5" x14ac:dyDescent="0.25">
      <c r="A190" s="15">
        <v>42118</v>
      </c>
      <c r="B190" s="13" t="s">
        <v>196</v>
      </c>
      <c r="C190" s="16">
        <v>18274746</v>
      </c>
      <c r="D190" s="34">
        <v>127.8917</v>
      </c>
      <c r="E190" s="16">
        <v>142892.35345217868</v>
      </c>
    </row>
    <row r="191" spans="1:5" x14ac:dyDescent="0.25">
      <c r="A191" s="15">
        <v>42119</v>
      </c>
      <c r="B191" s="13" t="s">
        <v>197</v>
      </c>
      <c r="C191" s="16">
        <v>13799974</v>
      </c>
      <c r="D191" s="34">
        <v>59.584600000000002</v>
      </c>
      <c r="E191" s="16">
        <v>231603.03165583053</v>
      </c>
    </row>
    <row r="192" spans="1:5" x14ac:dyDescent="0.25">
      <c r="A192" s="15">
        <v>42121</v>
      </c>
      <c r="B192" s="13" t="s">
        <v>198</v>
      </c>
      <c r="C192" s="16">
        <v>12170656</v>
      </c>
      <c r="D192" s="34">
        <v>91.322900000000004</v>
      </c>
      <c r="E192" s="16">
        <v>133270.58163943543</v>
      </c>
    </row>
    <row r="193" spans="1:5" x14ac:dyDescent="0.25">
      <c r="A193" s="15">
        <v>42124</v>
      </c>
      <c r="B193" s="13" t="s">
        <v>199</v>
      </c>
      <c r="C193" s="16">
        <v>187521994</v>
      </c>
      <c r="D193" s="34">
        <v>1477.7647999999999</v>
      </c>
      <c r="E193" s="16">
        <v>126895.69679829972</v>
      </c>
    </row>
    <row r="194" spans="1:5" x14ac:dyDescent="0.25">
      <c r="A194" s="15">
        <v>43001</v>
      </c>
      <c r="B194" s="13" t="s">
        <v>200</v>
      </c>
      <c r="C194" s="16">
        <v>48389123</v>
      </c>
      <c r="D194" s="34">
        <v>673.48119999999994</v>
      </c>
      <c r="E194" s="16">
        <v>71849.25577729565</v>
      </c>
    </row>
    <row r="195" spans="1:5" x14ac:dyDescent="0.25">
      <c r="A195" s="15">
        <v>43002</v>
      </c>
      <c r="B195" s="13" t="s">
        <v>201</v>
      </c>
      <c r="C195" s="16">
        <v>40601182</v>
      </c>
      <c r="D195" s="34">
        <v>280.05939999999998</v>
      </c>
      <c r="E195" s="16">
        <v>144973.46634321148</v>
      </c>
    </row>
    <row r="196" spans="1:5" x14ac:dyDescent="0.25">
      <c r="A196" s="15">
        <v>43003</v>
      </c>
      <c r="B196" s="13" t="s">
        <v>202</v>
      </c>
      <c r="C196" s="16">
        <v>25951382</v>
      </c>
      <c r="D196" s="34">
        <v>328.82799999999997</v>
      </c>
      <c r="E196" s="16">
        <v>78920.840074446227</v>
      </c>
    </row>
    <row r="197" spans="1:5" x14ac:dyDescent="0.25">
      <c r="A197" s="15">
        <v>43004</v>
      </c>
      <c r="B197" s="13" t="s">
        <v>203</v>
      </c>
      <c r="C197" s="16">
        <v>45513177</v>
      </c>
      <c r="D197" s="34">
        <v>237.41399999999999</v>
      </c>
      <c r="E197" s="16">
        <v>191703.84644544974</v>
      </c>
    </row>
    <row r="198" spans="1:5" x14ac:dyDescent="0.25">
      <c r="A198" s="15">
        <v>44078</v>
      </c>
      <c r="B198" s="13" t="s">
        <v>204</v>
      </c>
      <c r="C198" s="16">
        <v>25849268</v>
      </c>
      <c r="D198" s="34">
        <v>45.517000000000003</v>
      </c>
      <c r="E198" s="16">
        <v>567903.59645846603</v>
      </c>
    </row>
    <row r="199" spans="1:5" x14ac:dyDescent="0.25">
      <c r="A199" s="15">
        <v>44083</v>
      </c>
      <c r="B199" s="13" t="s">
        <v>205</v>
      </c>
      <c r="C199" s="16">
        <v>32939087</v>
      </c>
      <c r="D199" s="34">
        <v>251.57400000000001</v>
      </c>
      <c r="E199" s="16">
        <v>130932.00012719915</v>
      </c>
    </row>
    <row r="200" spans="1:5" x14ac:dyDescent="0.25">
      <c r="A200" s="15">
        <v>44084</v>
      </c>
      <c r="B200" s="13" t="s">
        <v>206</v>
      </c>
      <c r="C200" s="16">
        <v>34925451</v>
      </c>
      <c r="D200" s="34">
        <v>266.1884</v>
      </c>
      <c r="E200" s="16">
        <v>131205.758778369</v>
      </c>
    </row>
    <row r="201" spans="1:5" x14ac:dyDescent="0.25">
      <c r="A201" s="15">
        <v>45076</v>
      </c>
      <c r="B201" s="13" t="s">
        <v>207</v>
      </c>
      <c r="C201" s="16">
        <v>29542782</v>
      </c>
      <c r="D201" s="34">
        <v>401.53960000000001</v>
      </c>
      <c r="E201" s="16">
        <v>73573.76956095986</v>
      </c>
    </row>
    <row r="202" spans="1:5" x14ac:dyDescent="0.25">
      <c r="A202" s="15">
        <v>45077</v>
      </c>
      <c r="B202" s="13" t="s">
        <v>208</v>
      </c>
      <c r="C202" s="16">
        <v>56672873</v>
      </c>
      <c r="D202" s="34">
        <v>553.89380000000006</v>
      </c>
      <c r="E202" s="16">
        <v>102317.21857150232</v>
      </c>
    </row>
    <row r="203" spans="1:5" x14ac:dyDescent="0.25">
      <c r="A203" s="15">
        <v>45078</v>
      </c>
      <c r="B203" s="13" t="s">
        <v>209</v>
      </c>
      <c r="C203" s="16">
        <v>27910067</v>
      </c>
      <c r="D203" s="34">
        <v>268.8888</v>
      </c>
      <c r="E203" s="16">
        <v>103797.80414803443</v>
      </c>
    </row>
    <row r="204" spans="1:5" x14ac:dyDescent="0.25">
      <c r="A204" s="15">
        <v>46128</v>
      </c>
      <c r="B204" s="13" t="s">
        <v>210</v>
      </c>
      <c r="C204" s="16">
        <v>26621650</v>
      </c>
      <c r="D204" s="34">
        <v>276.99889999999999</v>
      </c>
      <c r="E204" s="16">
        <v>96107.421365211194</v>
      </c>
    </row>
    <row r="205" spans="1:5" x14ac:dyDescent="0.25">
      <c r="A205" s="15">
        <v>46130</v>
      </c>
      <c r="B205" s="13" t="s">
        <v>211</v>
      </c>
      <c r="C205" s="16">
        <v>77549053</v>
      </c>
      <c r="D205" s="34">
        <v>1124.6545000000001</v>
      </c>
      <c r="E205" s="16">
        <v>68953.667993148105</v>
      </c>
    </row>
    <row r="206" spans="1:5" x14ac:dyDescent="0.25">
      <c r="A206" s="15">
        <v>46131</v>
      </c>
      <c r="B206" s="13" t="s">
        <v>212</v>
      </c>
      <c r="C206" s="16">
        <v>81203077</v>
      </c>
      <c r="D206" s="34">
        <v>1148.2482</v>
      </c>
      <c r="E206" s="16">
        <v>70719.098013826631</v>
      </c>
    </row>
    <row r="207" spans="1:5" x14ac:dyDescent="0.25">
      <c r="A207" s="15">
        <v>46132</v>
      </c>
      <c r="B207" s="13" t="s">
        <v>213</v>
      </c>
      <c r="C207" s="16">
        <v>44449940</v>
      </c>
      <c r="D207" s="34">
        <v>470.51839999999999</v>
      </c>
      <c r="E207" s="16">
        <v>94470.141869053376</v>
      </c>
    </row>
    <row r="208" spans="1:5" x14ac:dyDescent="0.25">
      <c r="A208" s="15">
        <v>46134</v>
      </c>
      <c r="B208" s="13" t="s">
        <v>214</v>
      </c>
      <c r="C208" s="16">
        <v>165930816</v>
      </c>
      <c r="D208" s="34">
        <v>1934.6711</v>
      </c>
      <c r="E208" s="16">
        <v>85766.937853157579</v>
      </c>
    </row>
    <row r="209" spans="1:5" x14ac:dyDescent="0.25">
      <c r="A209" s="15">
        <v>46135</v>
      </c>
      <c r="B209" s="13" t="s">
        <v>215</v>
      </c>
      <c r="C209" s="16">
        <v>31454270</v>
      </c>
      <c r="D209" s="34">
        <v>314.0471</v>
      </c>
      <c r="E209" s="16">
        <v>100157.81072329596</v>
      </c>
    </row>
    <row r="210" spans="1:5" x14ac:dyDescent="0.25">
      <c r="A210" s="15">
        <v>46137</v>
      </c>
      <c r="B210" s="13" t="s">
        <v>216</v>
      </c>
      <c r="C210" s="16">
        <v>20014840</v>
      </c>
      <c r="D210" s="34">
        <v>264.77870000000001</v>
      </c>
      <c r="E210" s="16">
        <v>75590.82358210838</v>
      </c>
    </row>
    <row r="211" spans="1:5" x14ac:dyDescent="0.25">
      <c r="A211" s="15">
        <v>46140</v>
      </c>
      <c r="B211" s="13" t="s">
        <v>217</v>
      </c>
      <c r="C211" s="16">
        <v>52457420</v>
      </c>
      <c r="D211" s="34">
        <v>604.51760000000002</v>
      </c>
      <c r="E211" s="16">
        <v>86775.67038577536</v>
      </c>
    </row>
    <row r="212" spans="1:5" x14ac:dyDescent="0.25">
      <c r="A212" s="15">
        <v>47060</v>
      </c>
      <c r="B212" s="13" t="s">
        <v>218</v>
      </c>
      <c r="C212" s="16">
        <v>38121517</v>
      </c>
      <c r="D212" s="34">
        <v>264.8331</v>
      </c>
      <c r="E212" s="16">
        <v>143945.43959950627</v>
      </c>
    </row>
    <row r="213" spans="1:5" x14ac:dyDescent="0.25">
      <c r="A213" s="15">
        <v>47062</v>
      </c>
      <c r="B213" s="13" t="s">
        <v>219</v>
      </c>
      <c r="C213" s="16">
        <v>67266881</v>
      </c>
      <c r="D213" s="34">
        <v>866.86519999999996</v>
      </c>
      <c r="E213" s="16">
        <v>77597.856044976783</v>
      </c>
    </row>
    <row r="214" spans="1:5" x14ac:dyDescent="0.25">
      <c r="A214" s="15">
        <v>47064</v>
      </c>
      <c r="B214" s="13" t="s">
        <v>220</v>
      </c>
      <c r="C214" s="16">
        <v>10921580</v>
      </c>
      <c r="D214" s="34">
        <v>138.28309999999999</v>
      </c>
      <c r="E214" s="16">
        <v>78979.860879601343</v>
      </c>
    </row>
    <row r="215" spans="1:5" x14ac:dyDescent="0.25">
      <c r="A215" s="15">
        <v>47065</v>
      </c>
      <c r="B215" s="13" t="s">
        <v>221</v>
      </c>
      <c r="C215" s="16">
        <v>92112825</v>
      </c>
      <c r="D215" s="34">
        <v>311.2398</v>
      </c>
      <c r="E215" s="16">
        <v>295954.51802757871</v>
      </c>
    </row>
    <row r="216" spans="1:5" x14ac:dyDescent="0.25">
      <c r="A216" s="15">
        <v>48066</v>
      </c>
      <c r="B216" s="13" t="s">
        <v>222</v>
      </c>
      <c r="C216" s="16">
        <v>312068062</v>
      </c>
      <c r="D216" s="34">
        <v>4313.6306000000004</v>
      </c>
      <c r="E216" s="16">
        <v>72344.642121186727</v>
      </c>
    </row>
    <row r="217" spans="1:5" x14ac:dyDescent="0.25">
      <c r="A217" s="15">
        <v>48068</v>
      </c>
      <c r="B217" s="13" t="s">
        <v>223</v>
      </c>
      <c r="C217" s="16">
        <v>1659299029</v>
      </c>
      <c r="D217" s="34">
        <v>13692.902099999999</v>
      </c>
      <c r="E217" s="16">
        <v>121179.49992500129</v>
      </c>
    </row>
    <row r="218" spans="1:5" x14ac:dyDescent="0.25">
      <c r="A218" s="15">
        <v>48069</v>
      </c>
      <c r="B218" s="13" t="s">
        <v>224</v>
      </c>
      <c r="C218" s="16">
        <v>364984345</v>
      </c>
      <c r="D218" s="34">
        <v>4141.7520000000004</v>
      </c>
      <c r="E218" s="16">
        <v>88123.177099932582</v>
      </c>
    </row>
    <row r="219" spans="1:5" x14ac:dyDescent="0.25">
      <c r="A219" s="15">
        <v>48070</v>
      </c>
      <c r="B219" s="13" t="s">
        <v>225</v>
      </c>
      <c r="C219" s="16">
        <v>159423099</v>
      </c>
      <c r="D219" s="34">
        <v>1711.5293999999999</v>
      </c>
      <c r="E219" s="16">
        <v>93146.573468150775</v>
      </c>
    </row>
    <row r="220" spans="1:5" x14ac:dyDescent="0.25">
      <c r="A220" s="15">
        <v>48071</v>
      </c>
      <c r="B220" s="13" t="s">
        <v>226</v>
      </c>
      <c r="C220" s="16">
        <v>2324534931</v>
      </c>
      <c r="D220" s="34">
        <v>16074.4882</v>
      </c>
      <c r="E220" s="16">
        <v>144610.19860028889</v>
      </c>
    </row>
    <row r="221" spans="1:5" x14ac:dyDescent="0.25">
      <c r="A221" s="15">
        <v>48072</v>
      </c>
      <c r="B221" s="13" t="s">
        <v>227</v>
      </c>
      <c r="C221" s="16">
        <v>475358668</v>
      </c>
      <c r="D221" s="34">
        <v>4459.3221000000003</v>
      </c>
      <c r="E221" s="16">
        <v>106598.8635357827</v>
      </c>
    </row>
    <row r="222" spans="1:5" x14ac:dyDescent="0.25">
      <c r="A222" s="15">
        <v>48073</v>
      </c>
      <c r="B222" s="13" t="s">
        <v>228</v>
      </c>
      <c r="C222" s="16">
        <v>728854928</v>
      </c>
      <c r="D222" s="34">
        <v>7259.8104000000003</v>
      </c>
      <c r="E222" s="16">
        <v>100395.86267982976</v>
      </c>
    </row>
    <row r="223" spans="1:5" x14ac:dyDescent="0.25">
      <c r="A223" s="15">
        <v>48074</v>
      </c>
      <c r="B223" s="13" t="s">
        <v>229</v>
      </c>
      <c r="C223" s="16">
        <v>565982916</v>
      </c>
      <c r="D223" s="34">
        <v>2620.1979999999999</v>
      </c>
      <c r="E223" s="16">
        <v>216007.68949522136</v>
      </c>
    </row>
    <row r="224" spans="1:5" x14ac:dyDescent="0.25">
      <c r="A224" s="15">
        <v>48075</v>
      </c>
      <c r="B224" s="13" t="s">
        <v>230</v>
      </c>
      <c r="C224" s="16">
        <v>71846613</v>
      </c>
      <c r="D224" s="34">
        <v>652.68949999999995</v>
      </c>
      <c r="E224" s="16">
        <v>110077.78277419815</v>
      </c>
    </row>
    <row r="225" spans="1:5" x14ac:dyDescent="0.25">
      <c r="A225" s="15">
        <v>48077</v>
      </c>
      <c r="B225" s="13" t="s">
        <v>231</v>
      </c>
      <c r="C225" s="16">
        <v>1110542451</v>
      </c>
      <c r="D225" s="34">
        <v>12539.174300000001</v>
      </c>
      <c r="E225" s="16">
        <v>88565.835710569867</v>
      </c>
    </row>
    <row r="226" spans="1:5" x14ac:dyDescent="0.25">
      <c r="A226" s="15">
        <v>48078</v>
      </c>
      <c r="B226" s="13" t="s">
        <v>1587</v>
      </c>
      <c r="C226" s="16">
        <v>3627969914</v>
      </c>
      <c r="D226" s="34">
        <v>11623.129199999999</v>
      </c>
      <c r="E226" s="16">
        <v>312133.66483098204</v>
      </c>
    </row>
    <row r="227" spans="1:5" x14ac:dyDescent="0.25">
      <c r="A227" s="15">
        <v>48080</v>
      </c>
      <c r="B227" s="13" t="s">
        <v>233</v>
      </c>
      <c r="C227" s="16">
        <v>502060430</v>
      </c>
      <c r="D227" s="34">
        <v>2067.3724000000002</v>
      </c>
      <c r="E227" s="16">
        <v>242849.53692909898</v>
      </c>
    </row>
    <row r="228" spans="1:5" x14ac:dyDescent="0.25">
      <c r="A228" s="15">
        <v>49132</v>
      </c>
      <c r="B228" s="13" t="s">
        <v>234</v>
      </c>
      <c r="C228" s="16">
        <v>259878254</v>
      </c>
      <c r="D228" s="34">
        <v>3003.4906000000001</v>
      </c>
      <c r="E228" s="16">
        <v>86525.409468569662</v>
      </c>
    </row>
    <row r="229" spans="1:5" x14ac:dyDescent="0.25">
      <c r="A229" s="15">
        <v>49135</v>
      </c>
      <c r="B229" s="13" t="s">
        <v>235</v>
      </c>
      <c r="C229" s="16">
        <v>23146649</v>
      </c>
      <c r="D229" s="34">
        <v>175.6037</v>
      </c>
      <c r="E229" s="16">
        <v>131811.85248374607</v>
      </c>
    </row>
    <row r="230" spans="1:5" x14ac:dyDescent="0.25">
      <c r="A230" s="15">
        <v>49137</v>
      </c>
      <c r="B230" s="13" t="s">
        <v>236</v>
      </c>
      <c r="C230" s="16">
        <v>45288290</v>
      </c>
      <c r="D230" s="34">
        <v>472.36079999999998</v>
      </c>
      <c r="E230" s="16">
        <v>95876.478319115398</v>
      </c>
    </row>
    <row r="231" spans="1:5" x14ac:dyDescent="0.25">
      <c r="A231" s="15">
        <v>49140</v>
      </c>
      <c r="B231" s="13" t="s">
        <v>237</v>
      </c>
      <c r="C231" s="16">
        <v>38380101</v>
      </c>
      <c r="D231" s="34">
        <v>736.31420000000003</v>
      </c>
      <c r="E231" s="16">
        <v>52124.624243291786</v>
      </c>
    </row>
    <row r="232" spans="1:5" x14ac:dyDescent="0.25">
      <c r="A232" s="15">
        <v>49142</v>
      </c>
      <c r="B232" s="13" t="s">
        <v>238</v>
      </c>
      <c r="C232" s="16">
        <v>325008047</v>
      </c>
      <c r="D232" s="34">
        <v>4494.6130000000003</v>
      </c>
      <c r="E232" s="16">
        <v>72310.574236313551</v>
      </c>
    </row>
    <row r="233" spans="1:5" x14ac:dyDescent="0.25">
      <c r="A233" s="15">
        <v>49144</v>
      </c>
      <c r="B233" s="13" t="s">
        <v>239</v>
      </c>
      <c r="C233" s="16">
        <v>274589692</v>
      </c>
      <c r="D233" s="34">
        <v>4285.3549000000003</v>
      </c>
      <c r="E233" s="16">
        <v>64076.301358377568</v>
      </c>
    </row>
    <row r="234" spans="1:5" x14ac:dyDescent="0.25">
      <c r="A234" s="15">
        <v>49148</v>
      </c>
      <c r="B234" s="13" t="s">
        <v>240</v>
      </c>
      <c r="C234" s="16">
        <v>988083277</v>
      </c>
      <c r="D234" s="34">
        <v>6752.2300999999998</v>
      </c>
      <c r="E234" s="16">
        <v>146334.36099874618</v>
      </c>
    </row>
    <row r="235" spans="1:5" x14ac:dyDescent="0.25">
      <c r="A235" s="15">
        <v>50001</v>
      </c>
      <c r="B235" s="13" t="s">
        <v>241</v>
      </c>
      <c r="C235" s="16">
        <v>634816850</v>
      </c>
      <c r="D235" s="34">
        <v>5514.8181000000004</v>
      </c>
      <c r="E235" s="16">
        <v>115111.11309364854</v>
      </c>
    </row>
    <row r="236" spans="1:5" x14ac:dyDescent="0.25">
      <c r="A236" s="15">
        <v>50002</v>
      </c>
      <c r="B236" s="13" t="s">
        <v>242</v>
      </c>
      <c r="C236" s="16">
        <v>58770288</v>
      </c>
      <c r="D236" s="34">
        <v>660.24339999999995</v>
      </c>
      <c r="E236" s="16">
        <v>89013.063970044997</v>
      </c>
    </row>
    <row r="237" spans="1:5" x14ac:dyDescent="0.25">
      <c r="A237" s="15">
        <v>50003</v>
      </c>
      <c r="B237" s="13" t="s">
        <v>243</v>
      </c>
      <c r="C237" s="16">
        <v>297946128</v>
      </c>
      <c r="D237" s="34">
        <v>3029.9205000000002</v>
      </c>
      <c r="E237" s="16">
        <v>98334.63551271394</v>
      </c>
    </row>
    <row r="238" spans="1:5" x14ac:dyDescent="0.25">
      <c r="A238" s="15">
        <v>50005</v>
      </c>
      <c r="B238" s="13" t="s">
        <v>244</v>
      </c>
      <c r="C238" s="16">
        <v>168484759</v>
      </c>
      <c r="D238" s="34">
        <v>1490.3832</v>
      </c>
      <c r="E238" s="16">
        <v>113047.94565585548</v>
      </c>
    </row>
    <row r="239" spans="1:5" x14ac:dyDescent="0.25">
      <c r="A239" s="15">
        <v>50006</v>
      </c>
      <c r="B239" s="13" t="s">
        <v>245</v>
      </c>
      <c r="C239" s="16">
        <v>292305583</v>
      </c>
      <c r="D239" s="34">
        <v>3000.0068999999999</v>
      </c>
      <c r="E239" s="16">
        <v>97434.970232901804</v>
      </c>
    </row>
    <row r="240" spans="1:5" x14ac:dyDescent="0.25">
      <c r="A240" s="15">
        <v>50007</v>
      </c>
      <c r="B240" s="13" t="s">
        <v>246</v>
      </c>
      <c r="C240" s="16">
        <v>199798804</v>
      </c>
      <c r="D240" s="34">
        <v>894.56590000000006</v>
      </c>
      <c r="E240" s="16">
        <v>223347.21678973007</v>
      </c>
    </row>
    <row r="241" spans="1:5" x14ac:dyDescent="0.25">
      <c r="A241" s="15">
        <v>50009</v>
      </c>
      <c r="B241" s="13" t="s">
        <v>247</v>
      </c>
      <c r="C241" s="16">
        <v>39485372</v>
      </c>
      <c r="D241" s="34">
        <v>375.06349999999998</v>
      </c>
      <c r="E241" s="16">
        <v>105276.49851291848</v>
      </c>
    </row>
    <row r="242" spans="1:5" x14ac:dyDescent="0.25">
      <c r="A242" s="15">
        <v>50010</v>
      </c>
      <c r="B242" s="13" t="s">
        <v>248</v>
      </c>
      <c r="C242" s="16">
        <v>240167546</v>
      </c>
      <c r="D242" s="34">
        <v>2665.5205999999998</v>
      </c>
      <c r="E242" s="16">
        <v>90101.553145002894</v>
      </c>
    </row>
    <row r="243" spans="1:5" x14ac:dyDescent="0.25">
      <c r="A243" s="15">
        <v>50012</v>
      </c>
      <c r="B243" s="13" t="s">
        <v>249</v>
      </c>
      <c r="C243" s="16">
        <v>1035808800</v>
      </c>
      <c r="D243" s="34">
        <v>10142.1407</v>
      </c>
      <c r="E243" s="16">
        <v>102129.20828440094</v>
      </c>
    </row>
    <row r="244" spans="1:5" x14ac:dyDescent="0.25">
      <c r="A244" s="15">
        <v>50013</v>
      </c>
      <c r="B244" s="13" t="s">
        <v>250</v>
      </c>
      <c r="C244" s="16">
        <v>63968943</v>
      </c>
      <c r="D244" s="34">
        <v>466.3168</v>
      </c>
      <c r="E244" s="16">
        <v>137179.15159822677</v>
      </c>
    </row>
    <row r="245" spans="1:5" x14ac:dyDescent="0.25">
      <c r="A245" s="15">
        <v>50014</v>
      </c>
      <c r="B245" s="13" t="s">
        <v>251</v>
      </c>
      <c r="C245" s="16">
        <v>207975296</v>
      </c>
      <c r="D245" s="34">
        <v>2198.1934999999999</v>
      </c>
      <c r="E245" s="16">
        <v>94611.914738170235</v>
      </c>
    </row>
    <row r="246" spans="1:5" x14ac:dyDescent="0.25">
      <c r="A246" s="15">
        <v>51150</v>
      </c>
      <c r="B246" s="13" t="s">
        <v>252</v>
      </c>
      <c r="C246" s="16">
        <v>26637284</v>
      </c>
      <c r="D246" s="34">
        <v>218.86760000000001</v>
      </c>
      <c r="E246" s="16">
        <v>121705.01252812202</v>
      </c>
    </row>
    <row r="247" spans="1:5" x14ac:dyDescent="0.25">
      <c r="A247" s="15">
        <v>51152</v>
      </c>
      <c r="B247" s="13" t="s">
        <v>253</v>
      </c>
      <c r="C247" s="16">
        <v>107855656</v>
      </c>
      <c r="D247" s="34">
        <v>1071.3083999999999</v>
      </c>
      <c r="E247" s="16">
        <v>100676.57081751623</v>
      </c>
    </row>
    <row r="248" spans="1:5" x14ac:dyDescent="0.25">
      <c r="A248" s="15">
        <v>51153</v>
      </c>
      <c r="B248" s="13" t="s">
        <v>254</v>
      </c>
      <c r="C248" s="16">
        <v>10761785</v>
      </c>
      <c r="D248" s="34">
        <v>156.601</v>
      </c>
      <c r="E248" s="16">
        <v>68721.049035446777</v>
      </c>
    </row>
    <row r="249" spans="1:5" x14ac:dyDescent="0.25">
      <c r="A249" s="15">
        <v>51154</v>
      </c>
      <c r="B249" s="13" t="s">
        <v>255</v>
      </c>
      <c r="C249" s="16">
        <v>45579026</v>
      </c>
      <c r="D249" s="34">
        <v>468.41820000000001</v>
      </c>
      <c r="E249" s="16">
        <v>97304.131222911485</v>
      </c>
    </row>
    <row r="250" spans="1:5" x14ac:dyDescent="0.25">
      <c r="A250" s="15">
        <v>51155</v>
      </c>
      <c r="B250" s="13" t="s">
        <v>256</v>
      </c>
      <c r="C250" s="16">
        <v>66809692</v>
      </c>
      <c r="D250" s="34">
        <v>1590.7687000000001</v>
      </c>
      <c r="E250" s="16">
        <v>41998.369718991831</v>
      </c>
    </row>
    <row r="251" spans="1:5" x14ac:dyDescent="0.25">
      <c r="A251" s="15">
        <v>51156</v>
      </c>
      <c r="B251" s="13" t="s">
        <v>257</v>
      </c>
      <c r="C251" s="16">
        <v>17634620</v>
      </c>
      <c r="D251" s="34">
        <v>262.02569999999997</v>
      </c>
      <c r="E251" s="16">
        <v>67301.108250068603</v>
      </c>
    </row>
    <row r="252" spans="1:5" x14ac:dyDescent="0.25">
      <c r="A252" s="15">
        <v>51159</v>
      </c>
      <c r="B252" s="13" t="s">
        <v>258</v>
      </c>
      <c r="C252" s="16">
        <v>307519987</v>
      </c>
      <c r="D252" s="34">
        <v>2938.8433</v>
      </c>
      <c r="E252" s="16">
        <v>104639.80403446485</v>
      </c>
    </row>
    <row r="253" spans="1:5" x14ac:dyDescent="0.25">
      <c r="A253" s="15">
        <v>52096</v>
      </c>
      <c r="B253" s="13" t="s">
        <v>259</v>
      </c>
      <c r="C253" s="16">
        <v>71751361</v>
      </c>
      <c r="D253" s="34">
        <v>395.55739999999997</v>
      </c>
      <c r="E253" s="16">
        <v>181393.04434704041</v>
      </c>
    </row>
    <row r="254" spans="1:5" x14ac:dyDescent="0.25">
      <c r="A254" s="15">
        <v>53111</v>
      </c>
      <c r="B254" s="13" t="s">
        <v>260</v>
      </c>
      <c r="C254" s="16">
        <v>41230619</v>
      </c>
      <c r="D254" s="34">
        <v>633.36980000000005</v>
      </c>
      <c r="E254" s="16">
        <v>65097.229138490649</v>
      </c>
    </row>
    <row r="255" spans="1:5" x14ac:dyDescent="0.25">
      <c r="A255" s="15">
        <v>53112</v>
      </c>
      <c r="B255" s="13" t="s">
        <v>261</v>
      </c>
      <c r="C255" s="16">
        <v>10089149</v>
      </c>
      <c r="D255" s="34">
        <v>94.926500000000004</v>
      </c>
      <c r="E255" s="16">
        <v>106283.79851780061</v>
      </c>
    </row>
    <row r="256" spans="1:5" x14ac:dyDescent="0.25">
      <c r="A256" s="15">
        <v>53113</v>
      </c>
      <c r="B256" s="13" t="s">
        <v>262</v>
      </c>
      <c r="C256" s="16">
        <v>335654158</v>
      </c>
      <c r="D256" s="34">
        <v>3866.1233999999999</v>
      </c>
      <c r="E256" s="16">
        <v>86819.30794035182</v>
      </c>
    </row>
    <row r="257" spans="1:5" x14ac:dyDescent="0.25">
      <c r="A257" s="15">
        <v>53114</v>
      </c>
      <c r="B257" s="13" t="s">
        <v>263</v>
      </c>
      <c r="C257" s="16">
        <v>33084093</v>
      </c>
      <c r="D257" s="34">
        <v>551.26829999999995</v>
      </c>
      <c r="E257" s="16">
        <v>60014.502919903069</v>
      </c>
    </row>
    <row r="258" spans="1:5" x14ac:dyDescent="0.25">
      <c r="A258" s="15">
        <v>54037</v>
      </c>
      <c r="B258" s="13" t="s">
        <v>264</v>
      </c>
      <c r="C258" s="16">
        <v>53427035</v>
      </c>
      <c r="D258" s="34">
        <v>384.64769999999999</v>
      </c>
      <c r="E258" s="16">
        <v>138898.62073788562</v>
      </c>
    </row>
    <row r="259" spans="1:5" x14ac:dyDescent="0.25">
      <c r="A259" s="15">
        <v>54039</v>
      </c>
      <c r="B259" s="13" t="s">
        <v>265</v>
      </c>
      <c r="C259" s="16">
        <v>78288216</v>
      </c>
      <c r="D259" s="34">
        <v>888.62710000000004</v>
      </c>
      <c r="E259" s="16">
        <v>88100.189607091655</v>
      </c>
    </row>
    <row r="260" spans="1:5" x14ac:dyDescent="0.25">
      <c r="A260" s="15">
        <v>54041</v>
      </c>
      <c r="B260" s="13" t="s">
        <v>266</v>
      </c>
      <c r="C260" s="16">
        <v>145956877</v>
      </c>
      <c r="D260" s="34">
        <v>1890.9807000000001</v>
      </c>
      <c r="E260" s="16">
        <v>77185.80998737851</v>
      </c>
    </row>
    <row r="261" spans="1:5" x14ac:dyDescent="0.25">
      <c r="A261" s="15">
        <v>54042</v>
      </c>
      <c r="B261" s="13" t="s">
        <v>267</v>
      </c>
      <c r="C261" s="16">
        <v>35358877</v>
      </c>
      <c r="D261" s="34">
        <v>277.72899999999998</v>
      </c>
      <c r="E261" s="16">
        <v>127314.31359346701</v>
      </c>
    </row>
    <row r="262" spans="1:5" x14ac:dyDescent="0.25">
      <c r="A262" s="15">
        <v>54043</v>
      </c>
      <c r="B262" s="13" t="s">
        <v>268</v>
      </c>
      <c r="C262" s="16">
        <v>30254830</v>
      </c>
      <c r="D262" s="34">
        <v>378.58199999999999</v>
      </c>
      <c r="E262" s="16">
        <v>79916.187246091999</v>
      </c>
    </row>
    <row r="263" spans="1:5" x14ac:dyDescent="0.25">
      <c r="A263" s="15">
        <v>54045</v>
      </c>
      <c r="B263" s="13" t="s">
        <v>269</v>
      </c>
      <c r="C263" s="16">
        <v>63844522</v>
      </c>
      <c r="D263" s="34">
        <v>851.09640000000002</v>
      </c>
      <c r="E263" s="16">
        <v>75014.442547283717</v>
      </c>
    </row>
    <row r="264" spans="1:5" x14ac:dyDescent="0.25">
      <c r="A264" s="15">
        <v>55104</v>
      </c>
      <c r="B264" s="13" t="s">
        <v>270</v>
      </c>
      <c r="C264" s="16">
        <v>52986759</v>
      </c>
      <c r="D264" s="34">
        <v>528.50210000000004</v>
      </c>
      <c r="E264" s="16">
        <v>100258.36983429204</v>
      </c>
    </row>
    <row r="265" spans="1:5" x14ac:dyDescent="0.25">
      <c r="A265" s="15">
        <v>55105</v>
      </c>
      <c r="B265" s="13" t="s">
        <v>271</v>
      </c>
      <c r="C265" s="16">
        <v>44366962</v>
      </c>
      <c r="D265" s="34">
        <v>508.51069999999999</v>
      </c>
      <c r="E265" s="16">
        <v>87248.826819180016</v>
      </c>
    </row>
    <row r="266" spans="1:5" x14ac:dyDescent="0.25">
      <c r="A266" s="15">
        <v>55106</v>
      </c>
      <c r="B266" s="13" t="s">
        <v>272</v>
      </c>
      <c r="C266" s="16">
        <v>42762697</v>
      </c>
      <c r="D266" s="34">
        <v>712.60590000000002</v>
      </c>
      <c r="E266" s="16">
        <v>60008.901133150874</v>
      </c>
    </row>
    <row r="267" spans="1:5" x14ac:dyDescent="0.25">
      <c r="A267" s="15">
        <v>55108</v>
      </c>
      <c r="B267" s="13" t="s">
        <v>273</v>
      </c>
      <c r="C267" s="16">
        <v>119039721</v>
      </c>
      <c r="D267" s="34">
        <v>1332.0496000000001</v>
      </c>
      <c r="E267" s="16">
        <v>89365.832173216375</v>
      </c>
    </row>
    <row r="268" spans="1:5" x14ac:dyDescent="0.25">
      <c r="A268" s="15">
        <v>55110</v>
      </c>
      <c r="B268" s="13" t="s">
        <v>274</v>
      </c>
      <c r="C268" s="16">
        <v>121575284</v>
      </c>
      <c r="D268" s="34">
        <v>1624.9777999999999</v>
      </c>
      <c r="E268" s="16">
        <v>74816.581494221027</v>
      </c>
    </row>
    <row r="269" spans="1:5" x14ac:dyDescent="0.25">
      <c r="A269" s="15">
        <v>55111</v>
      </c>
      <c r="B269" s="13" t="s">
        <v>275</v>
      </c>
      <c r="C269" s="16">
        <v>30559799</v>
      </c>
      <c r="D269" s="34">
        <v>319.82319999999999</v>
      </c>
      <c r="E269" s="16">
        <v>95552.164445856339</v>
      </c>
    </row>
    <row r="270" spans="1:5" x14ac:dyDescent="0.25">
      <c r="A270" s="15">
        <v>56015</v>
      </c>
      <c r="B270" s="13" t="s">
        <v>276</v>
      </c>
      <c r="C270" s="16">
        <v>45070440</v>
      </c>
      <c r="D270" s="34">
        <v>462.85129999999998</v>
      </c>
      <c r="E270" s="16">
        <v>97375.636624548759</v>
      </c>
    </row>
    <row r="271" spans="1:5" x14ac:dyDescent="0.25">
      <c r="A271" s="15">
        <v>56017</v>
      </c>
      <c r="B271" s="13" t="s">
        <v>277</v>
      </c>
      <c r="C271" s="16">
        <v>89391935</v>
      </c>
      <c r="D271" s="34">
        <v>851.91800000000001</v>
      </c>
      <c r="E271" s="16">
        <v>104930.21041931266</v>
      </c>
    </row>
    <row r="272" spans="1:5" x14ac:dyDescent="0.25">
      <c r="A272" s="15">
        <v>57001</v>
      </c>
      <c r="B272" s="13" t="s">
        <v>278</v>
      </c>
      <c r="C272" s="16">
        <v>39169676</v>
      </c>
      <c r="D272" s="34">
        <v>404.5256</v>
      </c>
      <c r="E272" s="16">
        <v>96828.670422836032</v>
      </c>
    </row>
    <row r="273" spans="1:5" x14ac:dyDescent="0.25">
      <c r="A273" s="15">
        <v>57002</v>
      </c>
      <c r="B273" s="13" t="s">
        <v>279</v>
      </c>
      <c r="C273" s="16">
        <v>54971621</v>
      </c>
      <c r="D273" s="34">
        <v>689.18949999999995</v>
      </c>
      <c r="E273" s="16">
        <v>79762.708224661008</v>
      </c>
    </row>
    <row r="274" spans="1:5" x14ac:dyDescent="0.25">
      <c r="A274" s="15">
        <v>57003</v>
      </c>
      <c r="B274" s="13" t="s">
        <v>280</v>
      </c>
      <c r="C274" s="16">
        <v>604900878</v>
      </c>
      <c r="D274" s="34">
        <v>5774.4395999999997</v>
      </c>
      <c r="E274" s="16">
        <v>104754.90608647115</v>
      </c>
    </row>
    <row r="275" spans="1:5" x14ac:dyDescent="0.25">
      <c r="A275" s="15">
        <v>57004</v>
      </c>
      <c r="B275" s="13" t="s">
        <v>281</v>
      </c>
      <c r="C275" s="16">
        <v>122418760</v>
      </c>
      <c r="D275" s="34">
        <v>1378.7819</v>
      </c>
      <c r="E275" s="16">
        <v>88787.617533998666</v>
      </c>
    </row>
    <row r="276" spans="1:5" x14ac:dyDescent="0.25">
      <c r="A276" s="15">
        <v>58106</v>
      </c>
      <c r="B276" s="13" t="s">
        <v>282</v>
      </c>
      <c r="C276" s="16">
        <v>19564585</v>
      </c>
      <c r="D276" s="34">
        <v>167.08680000000001</v>
      </c>
      <c r="E276" s="16">
        <v>117092.34362020218</v>
      </c>
    </row>
    <row r="277" spans="1:5" x14ac:dyDescent="0.25">
      <c r="A277" s="15">
        <v>58107</v>
      </c>
      <c r="B277" s="13" t="s">
        <v>283</v>
      </c>
      <c r="C277" s="16">
        <v>12536688</v>
      </c>
      <c r="D277" s="34">
        <v>112.517</v>
      </c>
      <c r="E277" s="16">
        <v>111420.38980776239</v>
      </c>
    </row>
    <row r="278" spans="1:5" x14ac:dyDescent="0.25">
      <c r="A278" s="15">
        <v>58108</v>
      </c>
      <c r="B278" s="13" t="s">
        <v>284</v>
      </c>
      <c r="C278" s="16">
        <v>19693728</v>
      </c>
      <c r="D278" s="34">
        <v>209.7312</v>
      </c>
      <c r="E278" s="16">
        <v>93899.848949512525</v>
      </c>
    </row>
    <row r="279" spans="1:5" x14ac:dyDescent="0.25">
      <c r="A279" s="15">
        <v>58109</v>
      </c>
      <c r="B279" s="13" t="s">
        <v>285</v>
      </c>
      <c r="C279" s="16">
        <v>44771727</v>
      </c>
      <c r="D279" s="34">
        <v>584.01289999999995</v>
      </c>
      <c r="E279" s="16">
        <v>76662.222700902683</v>
      </c>
    </row>
    <row r="280" spans="1:5" x14ac:dyDescent="0.25">
      <c r="A280" s="15">
        <v>58112</v>
      </c>
      <c r="B280" s="13" t="s">
        <v>286</v>
      </c>
      <c r="C280" s="16">
        <v>66967070</v>
      </c>
      <c r="D280" s="34">
        <v>828.44929999999999</v>
      </c>
      <c r="E280" s="16">
        <v>80834.240550387331</v>
      </c>
    </row>
    <row r="281" spans="1:5" x14ac:dyDescent="0.25">
      <c r="A281" s="15">
        <v>59113</v>
      </c>
      <c r="B281" s="13" t="s">
        <v>287</v>
      </c>
      <c r="C281" s="16">
        <v>12512997</v>
      </c>
      <c r="D281" s="34">
        <v>184.83840000000001</v>
      </c>
      <c r="E281" s="16">
        <v>67696.955827360551</v>
      </c>
    </row>
    <row r="282" spans="1:5" x14ac:dyDescent="0.25">
      <c r="A282" s="15">
        <v>59114</v>
      </c>
      <c r="B282" s="13" t="s">
        <v>288</v>
      </c>
      <c r="C282" s="16">
        <v>8620472</v>
      </c>
      <c r="D282" s="34">
        <v>68.517200000000003</v>
      </c>
      <c r="E282" s="16">
        <v>125814.71513722102</v>
      </c>
    </row>
    <row r="283" spans="1:5" x14ac:dyDescent="0.25">
      <c r="A283" s="15">
        <v>59117</v>
      </c>
      <c r="B283" s="13" t="s">
        <v>289</v>
      </c>
      <c r="C283" s="16">
        <v>156099085</v>
      </c>
      <c r="D283" s="34">
        <v>1627.3993</v>
      </c>
      <c r="E283" s="16">
        <v>95919.351200409146</v>
      </c>
    </row>
    <row r="284" spans="1:5" x14ac:dyDescent="0.25">
      <c r="A284" s="15">
        <v>60077</v>
      </c>
      <c r="B284" s="13" t="s">
        <v>290</v>
      </c>
      <c r="C284" s="16">
        <v>228688805</v>
      </c>
      <c r="D284" s="34">
        <v>3241.6849999999999</v>
      </c>
      <c r="E284" s="16">
        <v>70546.276087898732</v>
      </c>
    </row>
    <row r="285" spans="1:5" x14ac:dyDescent="0.25">
      <c r="A285" s="15">
        <v>61150</v>
      </c>
      <c r="B285" s="13" t="s">
        <v>291</v>
      </c>
      <c r="C285" s="16">
        <v>18194438</v>
      </c>
      <c r="D285" s="34">
        <v>185.75460000000001</v>
      </c>
      <c r="E285" s="16">
        <v>97948.78834763715</v>
      </c>
    </row>
    <row r="286" spans="1:5" x14ac:dyDescent="0.25">
      <c r="A286" s="15">
        <v>61151</v>
      </c>
      <c r="B286" s="13" t="s">
        <v>292</v>
      </c>
      <c r="C286" s="16">
        <v>15461883</v>
      </c>
      <c r="D286" s="34">
        <v>156.65799999999999</v>
      </c>
      <c r="E286" s="16">
        <v>98698.330120389641</v>
      </c>
    </row>
    <row r="287" spans="1:5" x14ac:dyDescent="0.25">
      <c r="A287" s="15">
        <v>61154</v>
      </c>
      <c r="B287" s="13" t="s">
        <v>293</v>
      </c>
      <c r="C287" s="16">
        <v>28052737</v>
      </c>
      <c r="D287" s="34">
        <v>299.2894</v>
      </c>
      <c r="E287" s="16">
        <v>93731.141163034845</v>
      </c>
    </row>
    <row r="288" spans="1:5" x14ac:dyDescent="0.25">
      <c r="A288" s="15">
        <v>61156</v>
      </c>
      <c r="B288" s="13" t="s">
        <v>294</v>
      </c>
      <c r="C288" s="16">
        <v>123773922</v>
      </c>
      <c r="D288" s="34">
        <v>1129.3751999999999</v>
      </c>
      <c r="E288" s="16">
        <v>109595.04157697105</v>
      </c>
    </row>
    <row r="289" spans="1:5" x14ac:dyDescent="0.25">
      <c r="A289" s="15">
        <v>61157</v>
      </c>
      <c r="B289" s="13" t="s">
        <v>295</v>
      </c>
      <c r="C289" s="16">
        <v>7254866</v>
      </c>
      <c r="D289" s="34">
        <v>72.613900000000001</v>
      </c>
      <c r="E289" s="16">
        <v>99910.154942786437</v>
      </c>
    </row>
    <row r="290" spans="1:5" x14ac:dyDescent="0.25">
      <c r="A290" s="15">
        <v>61158</v>
      </c>
      <c r="B290" s="13" t="s">
        <v>296</v>
      </c>
      <c r="C290" s="16">
        <v>13527885</v>
      </c>
      <c r="D290" s="34">
        <v>97.924499999999995</v>
      </c>
      <c r="E290" s="16">
        <v>138146.07171851784</v>
      </c>
    </row>
    <row r="291" spans="1:5" x14ac:dyDescent="0.25">
      <c r="A291" s="15">
        <v>62070</v>
      </c>
      <c r="B291" s="13" t="s">
        <v>297</v>
      </c>
      <c r="C291" s="16">
        <v>11633415</v>
      </c>
      <c r="D291" s="34">
        <v>104.2432</v>
      </c>
      <c r="E291" s="16">
        <v>111598.79013691061</v>
      </c>
    </row>
    <row r="292" spans="1:5" x14ac:dyDescent="0.25">
      <c r="A292" s="15">
        <v>62072</v>
      </c>
      <c r="B292" s="13" t="s">
        <v>298</v>
      </c>
      <c r="C292" s="16">
        <v>111671420</v>
      </c>
      <c r="D292" s="34">
        <v>1822.5036</v>
      </c>
      <c r="E292" s="16">
        <v>61273.634795563637</v>
      </c>
    </row>
    <row r="293" spans="1:5" x14ac:dyDescent="0.25">
      <c r="A293" s="15">
        <v>63066</v>
      </c>
      <c r="B293" s="13" t="s">
        <v>299</v>
      </c>
      <c r="C293" s="16">
        <v>59729760</v>
      </c>
      <c r="D293" s="34">
        <v>442.36950000000002</v>
      </c>
      <c r="E293" s="16">
        <v>135022.32861894864</v>
      </c>
    </row>
    <row r="294" spans="1:5" x14ac:dyDescent="0.25">
      <c r="A294" s="15">
        <v>63067</v>
      </c>
      <c r="B294" s="13" t="s">
        <v>300</v>
      </c>
      <c r="C294" s="16">
        <v>71523084</v>
      </c>
      <c r="D294" s="34">
        <v>670.52329999999995</v>
      </c>
      <c r="E294" s="16">
        <v>106667.55950166087</v>
      </c>
    </row>
    <row r="295" spans="1:5" x14ac:dyDescent="0.25">
      <c r="A295" s="15">
        <v>64072</v>
      </c>
      <c r="B295" s="13" t="s">
        <v>301</v>
      </c>
      <c r="C295" s="16">
        <v>18210262</v>
      </c>
      <c r="D295" s="34">
        <v>187.04730000000001</v>
      </c>
      <c r="E295" s="16">
        <v>97356.454757700325</v>
      </c>
    </row>
    <row r="296" spans="1:5" x14ac:dyDescent="0.25">
      <c r="A296" s="15">
        <v>64074</v>
      </c>
      <c r="B296" s="13" t="s">
        <v>302</v>
      </c>
      <c r="C296" s="16">
        <v>139518755</v>
      </c>
      <c r="D296" s="34">
        <v>1047.2806</v>
      </c>
      <c r="E296" s="16">
        <v>133220.03195705143</v>
      </c>
    </row>
    <row r="297" spans="1:5" x14ac:dyDescent="0.25">
      <c r="A297" s="15">
        <v>64075</v>
      </c>
      <c r="B297" s="13" t="s">
        <v>303</v>
      </c>
      <c r="C297" s="16">
        <v>337622049</v>
      </c>
      <c r="D297" s="34">
        <v>2904.5621000000001</v>
      </c>
      <c r="E297" s="16">
        <v>116238.53695536411</v>
      </c>
    </row>
    <row r="298" spans="1:5" x14ac:dyDescent="0.25">
      <c r="A298" s="15">
        <v>65096</v>
      </c>
      <c r="B298" s="13" t="s">
        <v>304</v>
      </c>
      <c r="C298" s="16">
        <v>18040298</v>
      </c>
      <c r="D298" s="34">
        <v>152.01349999999999</v>
      </c>
      <c r="E298" s="16">
        <v>118675.63078279233</v>
      </c>
    </row>
    <row r="299" spans="1:5" x14ac:dyDescent="0.25">
      <c r="A299" s="15">
        <v>65098</v>
      </c>
      <c r="B299" s="13" t="s">
        <v>305</v>
      </c>
      <c r="C299" s="16">
        <v>47491332</v>
      </c>
      <c r="D299" s="34">
        <v>298.07490000000001</v>
      </c>
      <c r="E299" s="16">
        <v>159326.840334426</v>
      </c>
    </row>
    <row r="300" spans="1:5" x14ac:dyDescent="0.25">
      <c r="A300" s="15">
        <v>66102</v>
      </c>
      <c r="B300" s="13" t="s">
        <v>306</v>
      </c>
      <c r="C300" s="16">
        <v>194531352</v>
      </c>
      <c r="D300" s="34">
        <v>1766.2088000000001</v>
      </c>
      <c r="E300" s="16">
        <v>110140.63116433345</v>
      </c>
    </row>
    <row r="301" spans="1:5" x14ac:dyDescent="0.25">
      <c r="A301" s="15">
        <v>66103</v>
      </c>
      <c r="B301" s="13" t="s">
        <v>307</v>
      </c>
      <c r="C301" s="16">
        <v>12825638</v>
      </c>
      <c r="D301" s="34">
        <v>174.4016</v>
      </c>
      <c r="E301" s="16">
        <v>73540.827607086176</v>
      </c>
    </row>
    <row r="302" spans="1:5" x14ac:dyDescent="0.25">
      <c r="A302" s="15">
        <v>66104</v>
      </c>
      <c r="B302" s="13" t="s">
        <v>308</v>
      </c>
      <c r="C302" s="16">
        <v>18550919</v>
      </c>
      <c r="D302" s="34">
        <v>238.52189999999999</v>
      </c>
      <c r="E302" s="16">
        <v>77774.489470358909</v>
      </c>
    </row>
    <row r="303" spans="1:5" x14ac:dyDescent="0.25">
      <c r="A303" s="15">
        <v>66105</v>
      </c>
      <c r="B303" s="13" t="s">
        <v>309</v>
      </c>
      <c r="C303" s="16">
        <v>570930124</v>
      </c>
      <c r="D303" s="34">
        <v>1817.7409</v>
      </c>
      <c r="E303" s="16">
        <v>314087.73604642996</v>
      </c>
    </row>
    <row r="304" spans="1:5" x14ac:dyDescent="0.25">
      <c r="A304" s="15">
        <v>66107</v>
      </c>
      <c r="B304" s="13" t="s">
        <v>310</v>
      </c>
      <c r="C304" s="16">
        <v>39464237</v>
      </c>
      <c r="D304" s="34">
        <v>638.13589999999999</v>
      </c>
      <c r="E304" s="16">
        <v>61842.997706287955</v>
      </c>
    </row>
    <row r="305" spans="1:5" x14ac:dyDescent="0.25">
      <c r="A305" s="15">
        <v>67055</v>
      </c>
      <c r="B305" s="13" t="s">
        <v>311</v>
      </c>
      <c r="C305" s="16">
        <v>73566500</v>
      </c>
      <c r="D305" s="34">
        <v>937.10490000000004</v>
      </c>
      <c r="E305" s="16">
        <v>78504.018066707358</v>
      </c>
    </row>
    <row r="306" spans="1:5" x14ac:dyDescent="0.25">
      <c r="A306" s="15">
        <v>67061</v>
      </c>
      <c r="B306" s="13" t="s">
        <v>312</v>
      </c>
      <c r="C306" s="16">
        <v>89350610</v>
      </c>
      <c r="D306" s="34">
        <v>741.41560000000004</v>
      </c>
      <c r="E306" s="16">
        <v>120513.5284447751</v>
      </c>
    </row>
    <row r="307" spans="1:5" x14ac:dyDescent="0.25">
      <c r="A307" s="15">
        <v>68070</v>
      </c>
      <c r="B307" s="13" t="s">
        <v>313</v>
      </c>
      <c r="C307" s="16">
        <v>96423741</v>
      </c>
      <c r="D307" s="34">
        <v>1207.6129000000001</v>
      </c>
      <c r="E307" s="16">
        <v>79846.564242564811</v>
      </c>
    </row>
    <row r="308" spans="1:5" x14ac:dyDescent="0.25">
      <c r="A308" s="15">
        <v>68071</v>
      </c>
      <c r="B308" s="13" t="s">
        <v>314</v>
      </c>
      <c r="C308" s="16">
        <v>11776186</v>
      </c>
      <c r="D308" s="34">
        <v>90.166799999999995</v>
      </c>
      <c r="E308" s="16">
        <v>130604.45751651385</v>
      </c>
    </row>
    <row r="309" spans="1:5" x14ac:dyDescent="0.25">
      <c r="A309" s="15">
        <v>68072</v>
      </c>
      <c r="B309" s="13" t="s">
        <v>315</v>
      </c>
      <c r="C309" s="16">
        <v>11573592</v>
      </c>
      <c r="D309" s="34">
        <v>53.892800000000001</v>
      </c>
      <c r="E309" s="16">
        <v>214752.10046611051</v>
      </c>
    </row>
    <row r="310" spans="1:5" x14ac:dyDescent="0.25">
      <c r="A310" s="15">
        <v>68073</v>
      </c>
      <c r="B310" s="13" t="s">
        <v>316</v>
      </c>
      <c r="C310" s="16">
        <v>51353308</v>
      </c>
      <c r="D310" s="34">
        <v>544.37249999999995</v>
      </c>
      <c r="E310" s="16">
        <v>94334.868127982234</v>
      </c>
    </row>
    <row r="311" spans="1:5" x14ac:dyDescent="0.25">
      <c r="A311" s="15">
        <v>68074</v>
      </c>
      <c r="B311" s="13" t="s">
        <v>317</v>
      </c>
      <c r="C311" s="16">
        <v>18955067</v>
      </c>
      <c r="D311" s="34">
        <v>193.8477</v>
      </c>
      <c r="E311" s="16">
        <v>97783.295855457662</v>
      </c>
    </row>
    <row r="312" spans="1:5" x14ac:dyDescent="0.25">
      <c r="A312" s="15">
        <v>68075</v>
      </c>
      <c r="B312" s="13" t="s">
        <v>318</v>
      </c>
      <c r="C312" s="16">
        <v>8285738</v>
      </c>
      <c r="D312" s="34">
        <v>63.434699999999999</v>
      </c>
      <c r="E312" s="16">
        <v>130618.3839444342</v>
      </c>
    </row>
    <row r="313" spans="1:5" x14ac:dyDescent="0.25">
      <c r="A313" s="15">
        <v>69104</v>
      </c>
      <c r="B313" s="13" t="s">
        <v>319</v>
      </c>
      <c r="C313" s="16">
        <v>5129547</v>
      </c>
      <c r="D313" s="34">
        <v>39.289400000000001</v>
      </c>
      <c r="E313" s="16">
        <v>130558.03855492829</v>
      </c>
    </row>
    <row r="314" spans="1:5" x14ac:dyDescent="0.25">
      <c r="A314" s="15">
        <v>69106</v>
      </c>
      <c r="B314" s="13" t="s">
        <v>320</v>
      </c>
      <c r="C314" s="16">
        <v>91763577</v>
      </c>
      <c r="D314" s="34">
        <v>659.3193</v>
      </c>
      <c r="E314" s="16">
        <v>139179.26716235973</v>
      </c>
    </row>
    <row r="315" spans="1:5" x14ac:dyDescent="0.25">
      <c r="A315" s="15">
        <v>69107</v>
      </c>
      <c r="B315" s="13" t="s">
        <v>321</v>
      </c>
      <c r="C315" s="16">
        <v>9099437</v>
      </c>
      <c r="D315" s="34">
        <v>64.101699999999994</v>
      </c>
      <c r="E315" s="16">
        <v>141953.13072820223</v>
      </c>
    </row>
    <row r="316" spans="1:5" x14ac:dyDescent="0.25">
      <c r="A316" s="15">
        <v>69108</v>
      </c>
      <c r="B316" s="13" t="s">
        <v>322</v>
      </c>
      <c r="C316" s="16">
        <v>15016154</v>
      </c>
      <c r="D316" s="34">
        <v>162.98310000000001</v>
      </c>
      <c r="E316" s="16">
        <v>92133.196632043444</v>
      </c>
    </row>
    <row r="317" spans="1:5" x14ac:dyDescent="0.25">
      <c r="A317" s="15">
        <v>69109</v>
      </c>
      <c r="B317" s="13" t="s">
        <v>323</v>
      </c>
      <c r="C317" s="16">
        <v>51125350</v>
      </c>
      <c r="D317" s="34">
        <v>356.65410000000003</v>
      </c>
      <c r="E317" s="16">
        <v>143347.1534464345</v>
      </c>
    </row>
    <row r="318" spans="1:5" x14ac:dyDescent="0.25">
      <c r="A318" s="15">
        <v>70092</v>
      </c>
      <c r="B318" s="13" t="s">
        <v>324</v>
      </c>
      <c r="C318" s="16">
        <v>30623994</v>
      </c>
      <c r="D318" s="34">
        <v>298.089</v>
      </c>
      <c r="E318" s="16">
        <v>102734.39811599892</v>
      </c>
    </row>
    <row r="319" spans="1:5" x14ac:dyDescent="0.25">
      <c r="A319" s="15">
        <v>70093</v>
      </c>
      <c r="B319" s="13" t="s">
        <v>325</v>
      </c>
      <c r="C319" s="16">
        <v>138677191</v>
      </c>
      <c r="D319" s="34">
        <v>968.78150000000005</v>
      </c>
      <c r="E319" s="16">
        <v>143145.99422057503</v>
      </c>
    </row>
    <row r="320" spans="1:5" x14ac:dyDescent="0.25">
      <c r="A320" s="15">
        <v>71091</v>
      </c>
      <c r="B320" s="13" t="s">
        <v>326</v>
      </c>
      <c r="C320" s="16">
        <v>92945408</v>
      </c>
      <c r="D320" s="34">
        <v>676.55460000000005</v>
      </c>
      <c r="E320" s="16">
        <v>137380.49818891188</v>
      </c>
    </row>
    <row r="321" spans="1:5" x14ac:dyDescent="0.25">
      <c r="A321" s="15">
        <v>71092</v>
      </c>
      <c r="B321" s="13" t="s">
        <v>327</v>
      </c>
      <c r="C321" s="16">
        <v>287740641</v>
      </c>
      <c r="D321" s="34">
        <v>1036.9221</v>
      </c>
      <c r="E321" s="16">
        <v>277494.94489508902</v>
      </c>
    </row>
    <row r="322" spans="1:5" x14ac:dyDescent="0.25">
      <c r="A322" s="15">
        <v>72066</v>
      </c>
      <c r="B322" s="13" t="s">
        <v>328</v>
      </c>
      <c r="C322" s="16">
        <v>10798868</v>
      </c>
      <c r="D322" s="34">
        <v>171.1952</v>
      </c>
      <c r="E322" s="16">
        <v>63079.268577623669</v>
      </c>
    </row>
    <row r="323" spans="1:5" x14ac:dyDescent="0.25">
      <c r="A323" s="15">
        <v>72068</v>
      </c>
      <c r="B323" s="13" t="s">
        <v>329</v>
      </c>
      <c r="C323" s="16">
        <v>51356257</v>
      </c>
      <c r="D323" s="34">
        <v>644.27880000000005</v>
      </c>
      <c r="E323" s="16">
        <v>79711.232156016922</v>
      </c>
    </row>
    <row r="324" spans="1:5" x14ac:dyDescent="0.25">
      <c r="A324" s="15">
        <v>72073</v>
      </c>
      <c r="B324" s="13" t="s">
        <v>330</v>
      </c>
      <c r="C324" s="16">
        <v>15309447</v>
      </c>
      <c r="D324" s="34">
        <v>212.86709999999999</v>
      </c>
      <c r="E324" s="16">
        <v>71920.21218873185</v>
      </c>
    </row>
    <row r="325" spans="1:5" x14ac:dyDescent="0.25">
      <c r="A325" s="15">
        <v>72074</v>
      </c>
      <c r="B325" s="13" t="s">
        <v>331</v>
      </c>
      <c r="C325" s="16">
        <v>271430301</v>
      </c>
      <c r="D325" s="34">
        <v>1161.8173999999999</v>
      </c>
      <c r="E325" s="16">
        <v>233625.61190768878</v>
      </c>
    </row>
    <row r="326" spans="1:5" x14ac:dyDescent="0.25">
      <c r="A326" s="15">
        <v>73099</v>
      </c>
      <c r="B326" s="13" t="s">
        <v>332</v>
      </c>
      <c r="C326" s="16">
        <v>80962432</v>
      </c>
      <c r="D326" s="34">
        <v>1195.9590000000001</v>
      </c>
      <c r="E326" s="16">
        <v>67696.661842086556</v>
      </c>
    </row>
    <row r="327" spans="1:5" x14ac:dyDescent="0.25">
      <c r="A327" s="15">
        <v>73102</v>
      </c>
      <c r="B327" s="13" t="s">
        <v>333</v>
      </c>
      <c r="C327" s="16">
        <v>77809354</v>
      </c>
      <c r="D327" s="34">
        <v>643.73220000000003</v>
      </c>
      <c r="E327" s="16">
        <v>120872.24159363162</v>
      </c>
    </row>
    <row r="328" spans="1:5" x14ac:dyDescent="0.25">
      <c r="A328" s="15">
        <v>73105</v>
      </c>
      <c r="B328" s="13" t="s">
        <v>334</v>
      </c>
      <c r="C328" s="16">
        <v>10279586</v>
      </c>
      <c r="D328" s="34">
        <v>150.36269999999999</v>
      </c>
      <c r="E328" s="16">
        <v>68365.266119855529</v>
      </c>
    </row>
    <row r="329" spans="1:5" x14ac:dyDescent="0.25">
      <c r="A329" s="15">
        <v>73106</v>
      </c>
      <c r="B329" s="13" t="s">
        <v>335</v>
      </c>
      <c r="C329" s="16">
        <v>102656415</v>
      </c>
      <c r="D329" s="34">
        <v>1283.5166999999999</v>
      </c>
      <c r="E329" s="16">
        <v>79980.583813206336</v>
      </c>
    </row>
    <row r="330" spans="1:5" x14ac:dyDescent="0.25">
      <c r="A330" s="15">
        <v>73108</v>
      </c>
      <c r="B330" s="13" t="s">
        <v>1579</v>
      </c>
      <c r="C330" s="16">
        <v>335308818</v>
      </c>
      <c r="D330" s="34">
        <v>4197.3221999999996</v>
      </c>
      <c r="E330" s="16">
        <v>79886.366121714469</v>
      </c>
    </row>
    <row r="331" spans="1:5" x14ac:dyDescent="0.25">
      <c r="A331" s="15">
        <v>74187</v>
      </c>
      <c r="B331" s="13" t="s">
        <v>337</v>
      </c>
      <c r="C331" s="16">
        <v>28085295</v>
      </c>
      <c r="D331" s="34">
        <v>87.014899999999997</v>
      </c>
      <c r="E331" s="16">
        <v>322764.20475114032</v>
      </c>
    </row>
    <row r="332" spans="1:5" x14ac:dyDescent="0.25">
      <c r="A332" s="15">
        <v>74190</v>
      </c>
      <c r="B332" s="13" t="s">
        <v>338</v>
      </c>
      <c r="C332" s="16">
        <v>27065556</v>
      </c>
      <c r="D332" s="34">
        <v>211.65440000000001</v>
      </c>
      <c r="E332" s="16">
        <v>127876.179280941</v>
      </c>
    </row>
    <row r="333" spans="1:5" x14ac:dyDescent="0.25">
      <c r="A333" s="15">
        <v>74194</v>
      </c>
      <c r="B333" s="13" t="s">
        <v>339</v>
      </c>
      <c r="C333" s="16">
        <v>16634940</v>
      </c>
      <c r="D333" s="34">
        <v>202.5318</v>
      </c>
      <c r="E333" s="16">
        <v>82134.953622097863</v>
      </c>
    </row>
    <row r="334" spans="1:5" x14ac:dyDescent="0.25">
      <c r="A334" s="15">
        <v>74195</v>
      </c>
      <c r="B334" s="13" t="s">
        <v>340</v>
      </c>
      <c r="C334" s="16">
        <v>14459184</v>
      </c>
      <c r="D334" s="34">
        <v>125.16289999999999</v>
      </c>
      <c r="E334" s="16">
        <v>115522.92252736235</v>
      </c>
    </row>
    <row r="335" spans="1:5" x14ac:dyDescent="0.25">
      <c r="A335" s="15">
        <v>74197</v>
      </c>
      <c r="B335" s="13" t="s">
        <v>341</v>
      </c>
      <c r="C335" s="16">
        <v>30660827</v>
      </c>
      <c r="D335" s="34">
        <v>193.34280000000001</v>
      </c>
      <c r="E335" s="16">
        <v>158582.71939787775</v>
      </c>
    </row>
    <row r="336" spans="1:5" x14ac:dyDescent="0.25">
      <c r="A336" s="15">
        <v>74201</v>
      </c>
      <c r="B336" s="13" t="s">
        <v>342</v>
      </c>
      <c r="C336" s="16">
        <v>194432810</v>
      </c>
      <c r="D336" s="34">
        <v>1262.2097000000001</v>
      </c>
      <c r="E336" s="16">
        <v>154041.60655713547</v>
      </c>
    </row>
    <row r="337" spans="1:5" x14ac:dyDescent="0.25">
      <c r="A337" s="15">
        <v>74202</v>
      </c>
      <c r="B337" s="13" t="s">
        <v>343</v>
      </c>
      <c r="C337" s="16">
        <v>16530468</v>
      </c>
      <c r="D337" s="34">
        <v>155.88470000000001</v>
      </c>
      <c r="E337" s="16">
        <v>106042.91505195826</v>
      </c>
    </row>
    <row r="338" spans="1:5" x14ac:dyDescent="0.25">
      <c r="A338" s="15">
        <v>75084</v>
      </c>
      <c r="B338" s="13" t="s">
        <v>344</v>
      </c>
      <c r="C338" s="16">
        <v>12519533</v>
      </c>
      <c r="D338" s="34">
        <v>137.2208</v>
      </c>
      <c r="E338" s="16">
        <v>91236.408766017979</v>
      </c>
    </row>
    <row r="339" spans="1:5" x14ac:dyDescent="0.25">
      <c r="A339" s="15">
        <v>75085</v>
      </c>
      <c r="B339" s="13" t="s">
        <v>345</v>
      </c>
      <c r="C339" s="16">
        <v>33887332</v>
      </c>
      <c r="D339" s="34">
        <v>612.42089999999996</v>
      </c>
      <c r="E339" s="16">
        <v>55333.402240191346</v>
      </c>
    </row>
    <row r="340" spans="1:5" x14ac:dyDescent="0.25">
      <c r="A340" s="15">
        <v>75086</v>
      </c>
      <c r="B340" s="13" t="s">
        <v>346</v>
      </c>
      <c r="C340" s="16">
        <v>15362225</v>
      </c>
      <c r="D340" s="34">
        <v>178.7672</v>
      </c>
      <c r="E340" s="16">
        <v>85934.248564613648</v>
      </c>
    </row>
    <row r="341" spans="1:5" x14ac:dyDescent="0.25">
      <c r="A341" s="15">
        <v>75087</v>
      </c>
      <c r="B341" s="13" t="s">
        <v>347</v>
      </c>
      <c r="C341" s="16">
        <v>42436872</v>
      </c>
      <c r="D341" s="34">
        <v>514.21810000000005</v>
      </c>
      <c r="E341" s="16">
        <v>82526.990006769498</v>
      </c>
    </row>
    <row r="342" spans="1:5" x14ac:dyDescent="0.25">
      <c r="A342" s="15">
        <v>76081</v>
      </c>
      <c r="B342" s="13" t="s">
        <v>348</v>
      </c>
      <c r="C342" s="16">
        <v>15425826</v>
      </c>
      <c r="D342" s="34">
        <v>121.91670000000001</v>
      </c>
      <c r="E342" s="16">
        <v>126527.58809908733</v>
      </c>
    </row>
    <row r="343" spans="1:5" x14ac:dyDescent="0.25">
      <c r="A343" s="15">
        <v>76082</v>
      </c>
      <c r="B343" s="13" t="s">
        <v>349</v>
      </c>
      <c r="C343" s="16">
        <v>68539041</v>
      </c>
      <c r="D343" s="34">
        <v>598.37900000000002</v>
      </c>
      <c r="E343" s="16">
        <v>114541.18710716786</v>
      </c>
    </row>
    <row r="344" spans="1:5" x14ac:dyDescent="0.25">
      <c r="A344" s="15">
        <v>76083</v>
      </c>
      <c r="B344" s="13" t="s">
        <v>350</v>
      </c>
      <c r="C344" s="16">
        <v>94567863</v>
      </c>
      <c r="D344" s="34">
        <v>736.40129999999999</v>
      </c>
      <c r="E344" s="16">
        <v>128418.92457278389</v>
      </c>
    </row>
    <row r="345" spans="1:5" x14ac:dyDescent="0.25">
      <c r="A345" s="15">
        <v>77100</v>
      </c>
      <c r="B345" s="13" t="s">
        <v>351</v>
      </c>
      <c r="C345" s="16">
        <v>7334485</v>
      </c>
      <c r="D345" s="34">
        <v>50.2684</v>
      </c>
      <c r="E345" s="16">
        <v>145906.47404731403</v>
      </c>
    </row>
    <row r="346" spans="1:5" x14ac:dyDescent="0.25">
      <c r="A346" s="15">
        <v>77101</v>
      </c>
      <c r="B346" s="13" t="s">
        <v>352</v>
      </c>
      <c r="C346" s="16">
        <v>15790823</v>
      </c>
      <c r="D346" s="34">
        <v>334.10160000000002</v>
      </c>
      <c r="E346" s="16">
        <v>47263.536002222078</v>
      </c>
    </row>
    <row r="347" spans="1:5" x14ac:dyDescent="0.25">
      <c r="A347" s="15">
        <v>77102</v>
      </c>
      <c r="B347" s="13" t="s">
        <v>353</v>
      </c>
      <c r="C347" s="16">
        <v>55067156</v>
      </c>
      <c r="D347" s="34">
        <v>629.3623</v>
      </c>
      <c r="E347" s="16">
        <v>87496.750281991786</v>
      </c>
    </row>
    <row r="348" spans="1:5" x14ac:dyDescent="0.25">
      <c r="A348" s="15">
        <v>77103</v>
      </c>
      <c r="B348" s="13" t="s">
        <v>354</v>
      </c>
      <c r="C348" s="16">
        <v>19402544</v>
      </c>
      <c r="D348" s="34">
        <v>265.2842</v>
      </c>
      <c r="E348" s="16">
        <v>73138.709353968312</v>
      </c>
    </row>
    <row r="349" spans="1:5" x14ac:dyDescent="0.25">
      <c r="A349" s="15">
        <v>77104</v>
      </c>
      <c r="B349" s="13" t="s">
        <v>355</v>
      </c>
      <c r="C349" s="16">
        <v>27318842</v>
      </c>
      <c r="D349" s="34">
        <v>111.6176</v>
      </c>
      <c r="E349" s="16">
        <v>244753.89185934837</v>
      </c>
    </row>
    <row r="350" spans="1:5" x14ac:dyDescent="0.25">
      <c r="A350" s="15">
        <v>78001</v>
      </c>
      <c r="B350" s="13" t="s">
        <v>356</v>
      </c>
      <c r="C350" s="16">
        <v>19695356</v>
      </c>
      <c r="D350" s="34">
        <v>198.7834</v>
      </c>
      <c r="E350" s="16">
        <v>99079.480479758364</v>
      </c>
    </row>
    <row r="351" spans="1:5" x14ac:dyDescent="0.25">
      <c r="A351" s="15">
        <v>78002</v>
      </c>
      <c r="B351" s="13" t="s">
        <v>357</v>
      </c>
      <c r="C351" s="16">
        <v>28407189</v>
      </c>
      <c r="D351" s="34">
        <v>540.94500000000005</v>
      </c>
      <c r="E351" s="16">
        <v>52514.006044976843</v>
      </c>
    </row>
    <row r="352" spans="1:5" x14ac:dyDescent="0.25">
      <c r="A352" s="15">
        <v>78003</v>
      </c>
      <c r="B352" s="13" t="s">
        <v>358</v>
      </c>
      <c r="C352" s="16">
        <v>12342364</v>
      </c>
      <c r="D352" s="34">
        <v>131.57140000000001</v>
      </c>
      <c r="E352" s="16">
        <v>93807.347189434775</v>
      </c>
    </row>
    <row r="353" spans="1:5" x14ac:dyDescent="0.25">
      <c r="A353" s="15">
        <v>78004</v>
      </c>
      <c r="B353" s="13" t="s">
        <v>359</v>
      </c>
      <c r="C353" s="16">
        <v>8556372</v>
      </c>
      <c r="D353" s="34">
        <v>139.3289</v>
      </c>
      <c r="E353" s="16">
        <v>61411.322417675008</v>
      </c>
    </row>
    <row r="354" spans="1:5" x14ac:dyDescent="0.25">
      <c r="A354" s="15">
        <v>78005</v>
      </c>
      <c r="B354" s="13" t="s">
        <v>360</v>
      </c>
      <c r="C354" s="16">
        <v>30627354</v>
      </c>
      <c r="D354" s="34">
        <v>569.37210000000005</v>
      </c>
      <c r="E354" s="16">
        <v>53791.455534965615</v>
      </c>
    </row>
    <row r="355" spans="1:5" x14ac:dyDescent="0.25">
      <c r="A355" s="15">
        <v>78009</v>
      </c>
      <c r="B355" s="13" t="s">
        <v>361</v>
      </c>
      <c r="C355" s="16">
        <v>12478882</v>
      </c>
      <c r="D355" s="34">
        <v>142.22069999999999</v>
      </c>
      <c r="E355" s="16">
        <v>87743.078187633728</v>
      </c>
    </row>
    <row r="356" spans="1:5" x14ac:dyDescent="0.25">
      <c r="A356" s="15">
        <v>78012</v>
      </c>
      <c r="B356" s="13" t="s">
        <v>362</v>
      </c>
      <c r="C356" s="16">
        <v>48835041</v>
      </c>
      <c r="D356" s="34">
        <v>879.6943</v>
      </c>
      <c r="E356" s="16">
        <v>55513.64945754451</v>
      </c>
    </row>
    <row r="357" spans="1:5" x14ac:dyDescent="0.25">
      <c r="A357" s="15">
        <v>79077</v>
      </c>
      <c r="B357" s="13" t="s">
        <v>363</v>
      </c>
      <c r="C357" s="16">
        <v>328640245</v>
      </c>
      <c r="D357" s="34">
        <v>1815.9666999999999</v>
      </c>
      <c r="E357" s="16">
        <v>180972.61640315322</v>
      </c>
    </row>
    <row r="358" spans="1:5" x14ac:dyDescent="0.25">
      <c r="A358" s="15">
        <v>79078</v>
      </c>
      <c r="B358" s="13" t="s">
        <v>364</v>
      </c>
      <c r="C358" s="16">
        <v>19476613</v>
      </c>
      <c r="D358" s="34">
        <v>85.990399999999994</v>
      </c>
      <c r="E358" s="16">
        <v>226497.52763099139</v>
      </c>
    </row>
    <row r="359" spans="1:5" x14ac:dyDescent="0.25">
      <c r="A359" s="15">
        <v>80116</v>
      </c>
      <c r="B359" s="13" t="s">
        <v>365</v>
      </c>
      <c r="C359" s="16">
        <v>33215315</v>
      </c>
      <c r="D359" s="34">
        <v>277.00360000000001</v>
      </c>
      <c r="E359" s="16">
        <v>119909.32608818079</v>
      </c>
    </row>
    <row r="360" spans="1:5" x14ac:dyDescent="0.25">
      <c r="A360" s="15">
        <v>80118</v>
      </c>
      <c r="B360" s="13" t="s">
        <v>366</v>
      </c>
      <c r="C360" s="16">
        <v>22303988</v>
      </c>
      <c r="D360" s="34">
        <v>257.19110000000001</v>
      </c>
      <c r="E360" s="16">
        <v>86721.461201417929</v>
      </c>
    </row>
    <row r="361" spans="1:5" x14ac:dyDescent="0.25">
      <c r="A361" s="15">
        <v>80119</v>
      </c>
      <c r="B361" s="13" t="s">
        <v>367</v>
      </c>
      <c r="C361" s="16">
        <v>48959626</v>
      </c>
      <c r="D361" s="34">
        <v>472.74880000000002</v>
      </c>
      <c r="E361" s="16">
        <v>103563.72348274602</v>
      </c>
    </row>
    <row r="362" spans="1:5" x14ac:dyDescent="0.25">
      <c r="A362" s="15">
        <v>80121</v>
      </c>
      <c r="B362" s="13" t="s">
        <v>368</v>
      </c>
      <c r="C362" s="16">
        <v>32362960</v>
      </c>
      <c r="D362" s="34">
        <v>337.858</v>
      </c>
      <c r="E362" s="16">
        <v>95788.644933670352</v>
      </c>
    </row>
    <row r="363" spans="1:5" x14ac:dyDescent="0.25">
      <c r="A363" s="15">
        <v>80122</v>
      </c>
      <c r="B363" s="13" t="s">
        <v>369</v>
      </c>
      <c r="C363" s="16">
        <v>56090403</v>
      </c>
      <c r="D363" s="34">
        <v>150.90209999999999</v>
      </c>
      <c r="E363" s="16">
        <v>371700.61251632683</v>
      </c>
    </row>
    <row r="364" spans="1:5" x14ac:dyDescent="0.25">
      <c r="A364" s="15">
        <v>80125</v>
      </c>
      <c r="B364" s="13" t="s">
        <v>370</v>
      </c>
      <c r="C364" s="16">
        <v>391375521</v>
      </c>
      <c r="D364" s="34">
        <v>4287.3459999999995</v>
      </c>
      <c r="E364" s="16">
        <v>91286.199201090843</v>
      </c>
    </row>
    <row r="365" spans="1:5" x14ac:dyDescent="0.25">
      <c r="A365" s="15">
        <v>81094</v>
      </c>
      <c r="B365" s="13" t="s">
        <v>371</v>
      </c>
      <c r="C365" s="16">
        <v>126377309</v>
      </c>
      <c r="D365" s="34">
        <v>1637.9798000000001</v>
      </c>
      <c r="E365" s="16">
        <v>77154.375774353262</v>
      </c>
    </row>
    <row r="366" spans="1:5" x14ac:dyDescent="0.25">
      <c r="A366" s="15">
        <v>81095</v>
      </c>
      <c r="B366" s="13" t="s">
        <v>372</v>
      </c>
      <c r="C366" s="16">
        <v>28769356</v>
      </c>
      <c r="D366" s="34">
        <v>384.2242</v>
      </c>
      <c r="E366" s="16">
        <v>74876.480971266254</v>
      </c>
    </row>
    <row r="367" spans="1:5" x14ac:dyDescent="0.25">
      <c r="A367" s="15">
        <v>81096</v>
      </c>
      <c r="B367" s="13" t="s">
        <v>373</v>
      </c>
      <c r="C367" s="16">
        <v>436306399</v>
      </c>
      <c r="D367" s="34">
        <v>3601.1984000000002</v>
      </c>
      <c r="E367" s="16">
        <v>121155.89049467532</v>
      </c>
    </row>
    <row r="368" spans="1:5" x14ac:dyDescent="0.25">
      <c r="A368" s="15">
        <v>81097</v>
      </c>
      <c r="B368" s="13" t="s">
        <v>374</v>
      </c>
      <c r="C368" s="16">
        <v>20177828</v>
      </c>
      <c r="D368" s="34">
        <v>183.99</v>
      </c>
      <c r="E368" s="16">
        <v>109668.06891678895</v>
      </c>
    </row>
    <row r="369" spans="1:5" x14ac:dyDescent="0.25">
      <c r="A369" s="15">
        <v>82100</v>
      </c>
      <c r="B369" s="13" t="s">
        <v>375</v>
      </c>
      <c r="C369" s="16">
        <v>121160270</v>
      </c>
      <c r="D369" s="34">
        <v>1200.4329</v>
      </c>
      <c r="E369" s="16">
        <v>100930.48099564748</v>
      </c>
    </row>
    <row r="370" spans="1:5" x14ac:dyDescent="0.25">
      <c r="A370" s="15">
        <v>82101</v>
      </c>
      <c r="B370" s="13" t="s">
        <v>376</v>
      </c>
      <c r="C370" s="16">
        <v>45297928</v>
      </c>
      <c r="D370" s="34">
        <v>388.25029999999998</v>
      </c>
      <c r="E370" s="16">
        <v>116671.97166364071</v>
      </c>
    </row>
    <row r="371" spans="1:5" x14ac:dyDescent="0.25">
      <c r="A371" s="15">
        <v>82105</v>
      </c>
      <c r="B371" s="13" t="s">
        <v>377</v>
      </c>
      <c r="C371" s="16">
        <v>12044098</v>
      </c>
      <c r="D371" s="34">
        <v>47.085599999999999</v>
      </c>
      <c r="E371" s="16">
        <v>255791.53711538136</v>
      </c>
    </row>
    <row r="372" spans="1:5" x14ac:dyDescent="0.25">
      <c r="A372" s="15">
        <v>82108</v>
      </c>
      <c r="B372" s="13" t="s">
        <v>378</v>
      </c>
      <c r="C372" s="16">
        <v>48803995</v>
      </c>
      <c r="D372" s="34">
        <v>647.88630000000001</v>
      </c>
      <c r="E372" s="16">
        <v>75328.024377116788</v>
      </c>
    </row>
    <row r="373" spans="1:5" x14ac:dyDescent="0.25">
      <c r="A373" s="15">
        <v>83001</v>
      </c>
      <c r="B373" s="13" t="s">
        <v>379</v>
      </c>
      <c r="C373" s="16">
        <v>65722309</v>
      </c>
      <c r="D373" s="34">
        <v>554.38940000000002</v>
      </c>
      <c r="E373" s="16">
        <v>118549.00003499346</v>
      </c>
    </row>
    <row r="374" spans="1:5" x14ac:dyDescent="0.25">
      <c r="A374" s="15">
        <v>83002</v>
      </c>
      <c r="B374" s="13" t="s">
        <v>380</v>
      </c>
      <c r="C374" s="16">
        <v>214144897</v>
      </c>
      <c r="D374" s="34">
        <v>594.53769999999997</v>
      </c>
      <c r="E374" s="16">
        <v>360187.24632601097</v>
      </c>
    </row>
    <row r="375" spans="1:5" x14ac:dyDescent="0.25">
      <c r="A375" s="15">
        <v>83003</v>
      </c>
      <c r="B375" s="13" t="s">
        <v>381</v>
      </c>
      <c r="C375" s="16">
        <v>601392497</v>
      </c>
      <c r="D375" s="34">
        <v>3800.8341999999998</v>
      </c>
      <c r="E375" s="16">
        <v>158226.44855174163</v>
      </c>
    </row>
    <row r="376" spans="1:5" x14ac:dyDescent="0.25">
      <c r="A376" s="15">
        <v>83005</v>
      </c>
      <c r="B376" s="13" t="s">
        <v>382</v>
      </c>
      <c r="C376" s="16">
        <v>1924679725</v>
      </c>
      <c r="D376" s="34">
        <v>11137.902599999999</v>
      </c>
      <c r="E376" s="16">
        <v>172804.50315663562</v>
      </c>
    </row>
    <row r="377" spans="1:5" x14ac:dyDescent="0.25">
      <c r="A377" s="15">
        <v>84001</v>
      </c>
      <c r="B377" s="13" t="s">
        <v>383</v>
      </c>
      <c r="C377" s="16">
        <v>189618204</v>
      </c>
      <c r="D377" s="34">
        <v>2689.7988999999998</v>
      </c>
      <c r="E377" s="16">
        <v>70495.3087756858</v>
      </c>
    </row>
    <row r="378" spans="1:5" x14ac:dyDescent="0.25">
      <c r="A378" s="15">
        <v>84002</v>
      </c>
      <c r="B378" s="13" t="s">
        <v>384</v>
      </c>
      <c r="C378" s="16">
        <v>23093533</v>
      </c>
      <c r="D378" s="34">
        <v>295.37619999999998</v>
      </c>
      <c r="E378" s="16">
        <v>78183.458924584993</v>
      </c>
    </row>
    <row r="379" spans="1:5" x14ac:dyDescent="0.25">
      <c r="A379" s="15">
        <v>84003</v>
      </c>
      <c r="B379" s="13" t="s">
        <v>385</v>
      </c>
      <c r="C379" s="16">
        <v>25135280</v>
      </c>
      <c r="D379" s="34">
        <v>243.15770000000001</v>
      </c>
      <c r="E379" s="16">
        <v>103370.28191992275</v>
      </c>
    </row>
    <row r="380" spans="1:5" x14ac:dyDescent="0.25">
      <c r="A380" s="15">
        <v>84004</v>
      </c>
      <c r="B380" s="13" t="s">
        <v>386</v>
      </c>
      <c r="C380" s="16">
        <v>25089174</v>
      </c>
      <c r="D380" s="34">
        <v>310.00700000000001</v>
      </c>
      <c r="E380" s="16">
        <v>80930.9918808285</v>
      </c>
    </row>
    <row r="381" spans="1:5" x14ac:dyDescent="0.25">
      <c r="A381" s="15">
        <v>84005</v>
      </c>
      <c r="B381" s="13" t="s">
        <v>387</v>
      </c>
      <c r="C381" s="16">
        <v>42770322</v>
      </c>
      <c r="D381" s="34">
        <v>478.7928</v>
      </c>
      <c r="E381" s="16">
        <v>89329.501195506702</v>
      </c>
    </row>
    <row r="382" spans="1:5" x14ac:dyDescent="0.25">
      <c r="A382" s="15">
        <v>84006</v>
      </c>
      <c r="B382" s="13" t="s">
        <v>388</v>
      </c>
      <c r="C382" s="16">
        <v>50636238</v>
      </c>
      <c r="D382" s="34">
        <v>686.89099999999996</v>
      </c>
      <c r="E382" s="16">
        <v>73718.010572274201</v>
      </c>
    </row>
    <row r="383" spans="1:5" x14ac:dyDescent="0.25">
      <c r="A383" s="15">
        <v>85043</v>
      </c>
      <c r="B383" s="13" t="s">
        <v>389</v>
      </c>
      <c r="C383" s="16">
        <v>6310702</v>
      </c>
      <c r="D383" s="34">
        <v>55.5274</v>
      </c>
      <c r="E383" s="16">
        <v>113650.23393856006</v>
      </c>
    </row>
    <row r="384" spans="1:5" x14ac:dyDescent="0.25">
      <c r="A384" s="15">
        <v>85044</v>
      </c>
      <c r="B384" s="13" t="s">
        <v>390</v>
      </c>
      <c r="C384" s="16">
        <v>37225491</v>
      </c>
      <c r="D384" s="34">
        <v>430.06299999999999</v>
      </c>
      <c r="E384" s="16">
        <v>86558.227515503546</v>
      </c>
    </row>
    <row r="385" spans="1:5" x14ac:dyDescent="0.25">
      <c r="A385" s="15">
        <v>85045</v>
      </c>
      <c r="B385" s="13" t="s">
        <v>391</v>
      </c>
      <c r="C385" s="16">
        <v>39259810</v>
      </c>
      <c r="D385" s="34">
        <v>554.88229999999999</v>
      </c>
      <c r="E385" s="16">
        <v>70753.401216798593</v>
      </c>
    </row>
    <row r="386" spans="1:5" x14ac:dyDescent="0.25">
      <c r="A386" s="15">
        <v>85046</v>
      </c>
      <c r="B386" s="13" t="s">
        <v>392</v>
      </c>
      <c r="C386" s="16">
        <v>328819693</v>
      </c>
      <c r="D386" s="34">
        <v>5342.0596000000005</v>
      </c>
      <c r="E386" s="16">
        <v>61552.980988830597</v>
      </c>
    </row>
    <row r="387" spans="1:5" x14ac:dyDescent="0.25">
      <c r="A387" s="15">
        <v>85048</v>
      </c>
      <c r="B387" s="13" t="s">
        <v>393</v>
      </c>
      <c r="C387" s="16">
        <v>69311964</v>
      </c>
      <c r="D387" s="34">
        <v>719.65509999999995</v>
      </c>
      <c r="E387" s="16">
        <v>96312.753150780147</v>
      </c>
    </row>
    <row r="388" spans="1:5" x14ac:dyDescent="0.25">
      <c r="A388" s="15">
        <v>85049</v>
      </c>
      <c r="B388" s="13" t="s">
        <v>394</v>
      </c>
      <c r="C388" s="16">
        <v>33977337</v>
      </c>
      <c r="D388" s="34">
        <v>443.10919999999999</v>
      </c>
      <c r="E388" s="16">
        <v>76679.376099616085</v>
      </c>
    </row>
    <row r="389" spans="1:5" x14ac:dyDescent="0.25">
      <c r="A389" s="15">
        <v>86100</v>
      </c>
      <c r="B389" s="13" t="s">
        <v>395</v>
      </c>
      <c r="C389" s="16">
        <v>92362933</v>
      </c>
      <c r="D389" s="34">
        <v>570.89949999999999</v>
      </c>
      <c r="E389" s="16">
        <v>161784.92536777488</v>
      </c>
    </row>
    <row r="390" spans="1:5" x14ac:dyDescent="0.25">
      <c r="A390" s="15">
        <v>87083</v>
      </c>
      <c r="B390" s="13" t="s">
        <v>396</v>
      </c>
      <c r="C390" s="16">
        <v>94809667</v>
      </c>
      <c r="D390" s="34">
        <v>694.96389999999997</v>
      </c>
      <c r="E390" s="16">
        <v>136423.8732400345</v>
      </c>
    </row>
    <row r="391" spans="1:5" x14ac:dyDescent="0.25">
      <c r="A391" s="15">
        <v>88072</v>
      </c>
      <c r="B391" s="13" t="s">
        <v>397</v>
      </c>
      <c r="C391" s="16">
        <v>29402890</v>
      </c>
      <c r="D391" s="34">
        <v>321.36070000000001</v>
      </c>
      <c r="E391" s="16">
        <v>91494.977450571896</v>
      </c>
    </row>
    <row r="392" spans="1:5" x14ac:dyDescent="0.25">
      <c r="A392" s="15">
        <v>88073</v>
      </c>
      <c r="B392" s="13" t="s">
        <v>398</v>
      </c>
      <c r="C392" s="16">
        <v>17148680</v>
      </c>
      <c r="D392" s="34">
        <v>118.8164</v>
      </c>
      <c r="E392" s="16">
        <v>144329.23401146644</v>
      </c>
    </row>
    <row r="393" spans="1:5" x14ac:dyDescent="0.25">
      <c r="A393" s="15">
        <v>88075</v>
      </c>
      <c r="B393" s="13" t="s">
        <v>399</v>
      </c>
      <c r="C393" s="16">
        <v>13876220</v>
      </c>
      <c r="D393" s="34">
        <v>175.42509999999999</v>
      </c>
      <c r="E393" s="16">
        <v>79100.539204481014</v>
      </c>
    </row>
    <row r="394" spans="1:5" x14ac:dyDescent="0.25">
      <c r="A394" s="15">
        <v>88080</v>
      </c>
      <c r="B394" s="13" t="s">
        <v>400</v>
      </c>
      <c r="C394" s="16">
        <v>166688279</v>
      </c>
      <c r="D394" s="34">
        <v>519.98590000000002</v>
      </c>
      <c r="E394" s="16">
        <v>320563.07488337666</v>
      </c>
    </row>
    <row r="395" spans="1:5" x14ac:dyDescent="0.25">
      <c r="A395" s="15">
        <v>88081</v>
      </c>
      <c r="B395" s="13" t="s">
        <v>401</v>
      </c>
      <c r="C395" s="16">
        <v>191238207</v>
      </c>
      <c r="D395" s="34">
        <v>1829.4516000000001</v>
      </c>
      <c r="E395" s="16">
        <v>104533.07810930882</v>
      </c>
    </row>
    <row r="396" spans="1:5" x14ac:dyDescent="0.25">
      <c r="A396" s="15">
        <v>89080</v>
      </c>
      <c r="B396" s="13" t="s">
        <v>402</v>
      </c>
      <c r="C396" s="16">
        <v>78226451</v>
      </c>
      <c r="D396" s="34">
        <v>1023.4915</v>
      </c>
      <c r="E396" s="16">
        <v>76430.972802412143</v>
      </c>
    </row>
    <row r="397" spans="1:5" x14ac:dyDescent="0.25">
      <c r="A397" s="15">
        <v>89087</v>
      </c>
      <c r="B397" s="13" t="s">
        <v>403</v>
      </c>
      <c r="C397" s="16">
        <v>26810446</v>
      </c>
      <c r="D397" s="34">
        <v>239.18100000000001</v>
      </c>
      <c r="E397" s="16">
        <v>112092.70803282868</v>
      </c>
    </row>
    <row r="398" spans="1:5" x14ac:dyDescent="0.25">
      <c r="A398" s="15">
        <v>89088</v>
      </c>
      <c r="B398" s="13" t="s">
        <v>404</v>
      </c>
      <c r="C398" s="16">
        <v>19420844</v>
      </c>
      <c r="D398" s="34">
        <v>186.3366</v>
      </c>
      <c r="E398" s="16">
        <v>104224.52701186991</v>
      </c>
    </row>
    <row r="399" spans="1:5" x14ac:dyDescent="0.25">
      <c r="A399" s="15">
        <v>89089</v>
      </c>
      <c r="B399" s="13" t="s">
        <v>405</v>
      </c>
      <c r="C399" s="16">
        <v>121340681</v>
      </c>
      <c r="D399" s="34">
        <v>1335.0601999999999</v>
      </c>
      <c r="E399" s="16">
        <v>90887.797419172566</v>
      </c>
    </row>
    <row r="400" spans="1:5" x14ac:dyDescent="0.25">
      <c r="A400" s="15">
        <v>90075</v>
      </c>
      <c r="B400" s="13" t="s">
        <v>406</v>
      </c>
      <c r="C400" s="16">
        <v>6308207</v>
      </c>
      <c r="D400" s="34">
        <v>76.077799999999996</v>
      </c>
      <c r="E400" s="16">
        <v>82917.84199858566</v>
      </c>
    </row>
    <row r="401" spans="1:5" x14ac:dyDescent="0.25">
      <c r="A401" s="15">
        <v>90076</v>
      </c>
      <c r="B401" s="13" t="s">
        <v>407</v>
      </c>
      <c r="C401" s="16">
        <v>54374627</v>
      </c>
      <c r="D401" s="34">
        <v>384.6669</v>
      </c>
      <c r="E401" s="16">
        <v>141355.09709829465</v>
      </c>
    </row>
    <row r="402" spans="1:5" x14ac:dyDescent="0.25">
      <c r="A402" s="15">
        <v>90077</v>
      </c>
      <c r="B402" s="13" t="s">
        <v>408</v>
      </c>
      <c r="C402" s="16">
        <v>49542910</v>
      </c>
      <c r="D402" s="34">
        <v>185.02950000000001</v>
      </c>
      <c r="E402" s="16">
        <v>267756.81715618318</v>
      </c>
    </row>
    <row r="403" spans="1:5" x14ac:dyDescent="0.25">
      <c r="A403" s="15">
        <v>90078</v>
      </c>
      <c r="B403" s="13" t="s">
        <v>409</v>
      </c>
      <c r="C403" s="16">
        <v>56021924</v>
      </c>
      <c r="D403" s="34">
        <v>191.7071</v>
      </c>
      <c r="E403" s="16">
        <v>292226.6520123668</v>
      </c>
    </row>
    <row r="404" spans="1:5" x14ac:dyDescent="0.25">
      <c r="A404" s="15">
        <v>91091</v>
      </c>
      <c r="B404" s="13" t="s">
        <v>410</v>
      </c>
      <c r="C404" s="16">
        <v>11500027</v>
      </c>
      <c r="D404" s="34">
        <v>350.55739999999997</v>
      </c>
      <c r="E404" s="16">
        <v>32804.975732932755</v>
      </c>
    </row>
    <row r="405" spans="1:5" x14ac:dyDescent="0.25">
      <c r="A405" s="15">
        <v>91092</v>
      </c>
      <c r="B405" s="13" t="s">
        <v>411</v>
      </c>
      <c r="C405" s="16">
        <v>79010177</v>
      </c>
      <c r="D405" s="34">
        <v>1258.5331000000001</v>
      </c>
      <c r="E405" s="16">
        <v>62779.578065924521</v>
      </c>
    </row>
    <row r="406" spans="1:5" x14ac:dyDescent="0.25">
      <c r="A406" s="15">
        <v>91093</v>
      </c>
      <c r="B406" s="13" t="s">
        <v>412</v>
      </c>
      <c r="C406" s="16">
        <v>6664875</v>
      </c>
      <c r="D406" s="34">
        <v>116.31659999999999</v>
      </c>
      <c r="E406" s="16">
        <v>57299.43103563894</v>
      </c>
    </row>
    <row r="407" spans="1:5" x14ac:dyDescent="0.25">
      <c r="A407" s="15">
        <v>91095</v>
      </c>
      <c r="B407" s="13" t="s">
        <v>413</v>
      </c>
      <c r="C407" s="16">
        <v>6641692</v>
      </c>
      <c r="D407" s="34">
        <v>121.9318</v>
      </c>
      <c r="E407" s="16">
        <v>54470.54829010972</v>
      </c>
    </row>
    <row r="408" spans="1:5" x14ac:dyDescent="0.25">
      <c r="A408" s="15">
        <v>92087</v>
      </c>
      <c r="B408" s="13" t="s">
        <v>414</v>
      </c>
      <c r="C408" s="16">
        <v>2751881813</v>
      </c>
      <c r="D408" s="34">
        <v>16033.2413</v>
      </c>
      <c r="E408" s="16">
        <v>171636.02552404671</v>
      </c>
    </row>
    <row r="409" spans="1:5" x14ac:dyDescent="0.25">
      <c r="A409" s="15">
        <v>92088</v>
      </c>
      <c r="B409" s="13" t="s">
        <v>415</v>
      </c>
      <c r="C409" s="16">
        <v>2886391759</v>
      </c>
      <c r="D409" s="34">
        <v>14688.161</v>
      </c>
      <c r="E409" s="16">
        <v>196511.44612317363</v>
      </c>
    </row>
    <row r="410" spans="1:5" x14ac:dyDescent="0.25">
      <c r="A410" s="15">
        <v>92089</v>
      </c>
      <c r="B410" s="13" t="s">
        <v>416</v>
      </c>
      <c r="C410" s="16">
        <v>2351865527</v>
      </c>
      <c r="D410" s="34">
        <v>15507.2709</v>
      </c>
      <c r="E410" s="16">
        <v>151662.11657526405</v>
      </c>
    </row>
    <row r="411" spans="1:5" x14ac:dyDescent="0.25">
      <c r="A411" s="15">
        <v>92090</v>
      </c>
      <c r="B411" s="13" t="s">
        <v>417</v>
      </c>
      <c r="C411" s="16">
        <v>1127138329</v>
      </c>
      <c r="D411" s="34">
        <v>4183.4265999999998</v>
      </c>
      <c r="E411" s="16">
        <v>269429.45025018486</v>
      </c>
    </row>
    <row r="412" spans="1:5" x14ac:dyDescent="0.25">
      <c r="A412" s="15">
        <v>92091</v>
      </c>
      <c r="B412" s="13" t="s">
        <v>418</v>
      </c>
      <c r="C412" s="16">
        <v>436008005</v>
      </c>
      <c r="D412" s="34">
        <v>1892.7478000000001</v>
      </c>
      <c r="E412" s="16">
        <v>230357.1585184249</v>
      </c>
    </row>
    <row r="413" spans="1:5" x14ac:dyDescent="0.25">
      <c r="A413" s="15">
        <v>93120</v>
      </c>
      <c r="B413" s="13" t="s">
        <v>419</v>
      </c>
      <c r="C413" s="16">
        <v>28872464</v>
      </c>
      <c r="D413" s="34">
        <v>291.10980000000001</v>
      </c>
      <c r="E413" s="16">
        <v>99180.666538879828</v>
      </c>
    </row>
    <row r="414" spans="1:5" x14ac:dyDescent="0.25">
      <c r="A414" s="15">
        <v>93121</v>
      </c>
      <c r="B414" s="13" t="s">
        <v>420</v>
      </c>
      <c r="C414" s="16">
        <v>7439236</v>
      </c>
      <c r="D414" s="34">
        <v>70.835800000000006</v>
      </c>
      <c r="E414" s="16">
        <v>105020.85103859911</v>
      </c>
    </row>
    <row r="415" spans="1:5" x14ac:dyDescent="0.25">
      <c r="A415" s="15">
        <v>93123</v>
      </c>
      <c r="B415" s="13" t="s">
        <v>421</v>
      </c>
      <c r="C415" s="16">
        <v>34728885</v>
      </c>
      <c r="D415" s="34">
        <v>329.80759999999998</v>
      </c>
      <c r="E415" s="16">
        <v>105300.438801289</v>
      </c>
    </row>
    <row r="416" spans="1:5" x14ac:dyDescent="0.25">
      <c r="A416" s="15">
        <v>93124</v>
      </c>
      <c r="B416" s="13" t="s">
        <v>422</v>
      </c>
      <c r="C416" s="16">
        <v>32919433</v>
      </c>
      <c r="D416" s="34">
        <v>403.95280000000002</v>
      </c>
      <c r="E416" s="16">
        <v>81493.266044943855</v>
      </c>
    </row>
    <row r="417" spans="1:5" x14ac:dyDescent="0.25">
      <c r="A417" s="15">
        <v>94076</v>
      </c>
      <c r="B417" s="13" t="s">
        <v>423</v>
      </c>
      <c r="C417" s="16">
        <v>29573392</v>
      </c>
      <c r="D417" s="34">
        <v>450.62869999999998</v>
      </c>
      <c r="E417" s="16">
        <v>65626.960732860563</v>
      </c>
    </row>
    <row r="418" spans="1:5" x14ac:dyDescent="0.25">
      <c r="A418" s="15">
        <v>94078</v>
      </c>
      <c r="B418" s="13" t="s">
        <v>424</v>
      </c>
      <c r="C418" s="16">
        <v>440173066</v>
      </c>
      <c r="D418" s="34">
        <v>3616.7831999999999</v>
      </c>
      <c r="E418" s="16">
        <v>121702.91711153713</v>
      </c>
    </row>
    <row r="419" spans="1:5" x14ac:dyDescent="0.25">
      <c r="A419" s="15">
        <v>94083</v>
      </c>
      <c r="B419" s="13" t="s">
        <v>425</v>
      </c>
      <c r="C419" s="16">
        <v>183802534</v>
      </c>
      <c r="D419" s="34">
        <v>2508.1810999999998</v>
      </c>
      <c r="E419" s="16">
        <v>73281.205252682921</v>
      </c>
    </row>
    <row r="420" spans="1:5" x14ac:dyDescent="0.25">
      <c r="A420" s="15">
        <v>94086</v>
      </c>
      <c r="B420" s="13" t="s">
        <v>426</v>
      </c>
      <c r="C420" s="16">
        <v>110715055</v>
      </c>
      <c r="D420" s="34">
        <v>1952.0864999999999</v>
      </c>
      <c r="E420" s="16">
        <v>56716.264878631147</v>
      </c>
    </row>
    <row r="421" spans="1:5" x14ac:dyDescent="0.25">
      <c r="A421" s="15">
        <v>94087</v>
      </c>
      <c r="B421" s="13" t="s">
        <v>427</v>
      </c>
      <c r="C421" s="16">
        <v>50012346</v>
      </c>
      <c r="D421" s="34">
        <v>954.43499999999995</v>
      </c>
      <c r="E421" s="16">
        <v>52399.949708466265</v>
      </c>
    </row>
    <row r="422" spans="1:5" x14ac:dyDescent="0.25">
      <c r="A422" s="15">
        <v>95059</v>
      </c>
      <c r="B422" s="13" t="s">
        <v>428</v>
      </c>
      <c r="C422" s="16">
        <v>407502490</v>
      </c>
      <c r="D422" s="34">
        <v>1667.7981</v>
      </c>
      <c r="E422" s="16">
        <v>244335.62431807542</v>
      </c>
    </row>
    <row r="423" spans="1:5" x14ac:dyDescent="0.25">
      <c r="A423" s="15">
        <v>96088</v>
      </c>
      <c r="B423" s="13" t="s">
        <v>429</v>
      </c>
      <c r="C423" s="16">
        <v>1862002690</v>
      </c>
      <c r="D423" s="34">
        <v>15441.315500000001</v>
      </c>
      <c r="E423" s="16">
        <v>120585.75514501987</v>
      </c>
    </row>
    <row r="424" spans="1:5" x14ac:dyDescent="0.25">
      <c r="A424" s="15">
        <v>96089</v>
      </c>
      <c r="B424" s="13" t="s">
        <v>430</v>
      </c>
      <c r="C424" s="16">
        <v>1081230880</v>
      </c>
      <c r="D424" s="34">
        <v>6804.6995999999999</v>
      </c>
      <c r="E424" s="16">
        <v>158894.72622715042</v>
      </c>
    </row>
    <row r="425" spans="1:5" x14ac:dyDescent="0.25">
      <c r="A425" s="15">
        <v>96090</v>
      </c>
      <c r="B425" s="13" t="s">
        <v>431</v>
      </c>
      <c r="C425" s="16">
        <v>1509208440</v>
      </c>
      <c r="D425" s="34">
        <v>5392.8496999999998</v>
      </c>
      <c r="E425" s="16">
        <v>279853.60689729592</v>
      </c>
    </row>
    <row r="426" spans="1:5" x14ac:dyDescent="0.25">
      <c r="A426" s="15">
        <v>96091</v>
      </c>
      <c r="B426" s="13" t="s">
        <v>432</v>
      </c>
      <c r="C426" s="16">
        <v>4163764928</v>
      </c>
      <c r="D426" s="34">
        <v>18460.434600000001</v>
      </c>
      <c r="E426" s="16">
        <v>225550.75317674264</v>
      </c>
    </row>
    <row r="427" spans="1:5" x14ac:dyDescent="0.25">
      <c r="A427" s="15">
        <v>96092</v>
      </c>
      <c r="B427" s="13" t="s">
        <v>433</v>
      </c>
      <c r="C427" s="16">
        <v>1665997680</v>
      </c>
      <c r="D427" s="34">
        <v>5357.9796999999999</v>
      </c>
      <c r="E427" s="16">
        <v>310937.66182055522</v>
      </c>
    </row>
    <row r="428" spans="1:5" x14ac:dyDescent="0.25">
      <c r="A428" s="15">
        <v>96093</v>
      </c>
      <c r="B428" s="13" t="s">
        <v>434</v>
      </c>
      <c r="C428" s="16">
        <v>1558574390</v>
      </c>
      <c r="D428" s="34">
        <v>6419.3819000000003</v>
      </c>
      <c r="E428" s="16">
        <v>242791.97191866711</v>
      </c>
    </row>
    <row r="429" spans="1:5" x14ac:dyDescent="0.25">
      <c r="A429" s="15">
        <v>96094</v>
      </c>
      <c r="B429" s="13" t="s">
        <v>435</v>
      </c>
      <c r="C429" s="16">
        <v>2056835540</v>
      </c>
      <c r="D429" s="34">
        <v>8600.7888000000003</v>
      </c>
      <c r="E429" s="16">
        <v>239144.98865499406</v>
      </c>
    </row>
    <row r="430" spans="1:5" x14ac:dyDescent="0.25">
      <c r="A430" s="15">
        <v>96095</v>
      </c>
      <c r="B430" s="13" t="s">
        <v>436</v>
      </c>
      <c r="C430" s="16">
        <v>5234810070</v>
      </c>
      <c r="D430" s="34">
        <v>15088.7412</v>
      </c>
      <c r="E430" s="16">
        <v>346934.84370982519</v>
      </c>
    </row>
    <row r="431" spans="1:5" x14ac:dyDescent="0.25">
      <c r="A431" s="15">
        <v>96098</v>
      </c>
      <c r="B431" s="13" t="s">
        <v>437</v>
      </c>
      <c r="C431" s="16">
        <v>462502640</v>
      </c>
      <c r="D431" s="34">
        <v>2302.6835000000001</v>
      </c>
      <c r="E431" s="16">
        <v>200853.76040606535</v>
      </c>
    </row>
    <row r="432" spans="1:5" x14ac:dyDescent="0.25">
      <c r="A432" s="15">
        <v>96099</v>
      </c>
      <c r="B432" s="13" t="s">
        <v>438</v>
      </c>
      <c r="C432" s="16">
        <v>179432700</v>
      </c>
      <c r="D432" s="34">
        <v>1518.0369000000001</v>
      </c>
      <c r="E432" s="16">
        <v>118200.48643086343</v>
      </c>
    </row>
    <row r="433" spans="1:5" x14ac:dyDescent="0.25">
      <c r="A433" s="15">
        <v>96101</v>
      </c>
      <c r="B433" s="13" t="s">
        <v>439</v>
      </c>
      <c r="C433" s="16">
        <v>355288720</v>
      </c>
      <c r="D433" s="34">
        <v>686.7287</v>
      </c>
      <c r="E433" s="16">
        <v>517364.01871656155</v>
      </c>
    </row>
    <row r="434" spans="1:5" x14ac:dyDescent="0.25">
      <c r="A434" s="15">
        <v>96102</v>
      </c>
      <c r="B434" s="13" t="s">
        <v>440</v>
      </c>
      <c r="C434" s="16">
        <v>1316001870</v>
      </c>
      <c r="D434" s="34">
        <v>2352.4058</v>
      </c>
      <c r="E434" s="16">
        <v>559428.08421914279</v>
      </c>
    </row>
    <row r="435" spans="1:5" x14ac:dyDescent="0.25">
      <c r="A435" s="15">
        <v>96103</v>
      </c>
      <c r="B435" s="13" t="s">
        <v>441</v>
      </c>
      <c r="C435" s="16">
        <v>175627910</v>
      </c>
      <c r="D435" s="34">
        <v>1005.6176</v>
      </c>
      <c r="E435" s="16">
        <v>174646.81405735141</v>
      </c>
    </row>
    <row r="436" spans="1:5" x14ac:dyDescent="0.25">
      <c r="A436" s="15">
        <v>96104</v>
      </c>
      <c r="B436" s="13" t="s">
        <v>442</v>
      </c>
      <c r="C436" s="16">
        <v>102273150</v>
      </c>
      <c r="D436" s="34">
        <v>2234.2883000000002</v>
      </c>
      <c r="E436" s="16">
        <v>45774.374775180084</v>
      </c>
    </row>
    <row r="437" spans="1:5" x14ac:dyDescent="0.25">
      <c r="A437" s="15">
        <v>96106</v>
      </c>
      <c r="B437" s="13" t="s">
        <v>443</v>
      </c>
      <c r="C437" s="16">
        <v>1891621450</v>
      </c>
      <c r="D437" s="34">
        <v>3762.8253</v>
      </c>
      <c r="E437" s="16">
        <v>502713.06775788928</v>
      </c>
    </row>
    <row r="438" spans="1:5" x14ac:dyDescent="0.25">
      <c r="A438" s="15">
        <v>96107</v>
      </c>
      <c r="B438" s="13" t="s">
        <v>444</v>
      </c>
      <c r="C438" s="16">
        <v>351108650</v>
      </c>
      <c r="D438" s="34">
        <v>1009.1374</v>
      </c>
      <c r="E438" s="16">
        <v>347929.47917696839</v>
      </c>
    </row>
    <row r="439" spans="1:5" x14ac:dyDescent="0.25">
      <c r="A439" s="15">
        <v>96109</v>
      </c>
      <c r="B439" s="13" t="s">
        <v>521</v>
      </c>
      <c r="C439" s="16">
        <v>296568280</v>
      </c>
      <c r="D439" s="34">
        <v>2462.7449999999999</v>
      </c>
      <c r="E439" s="16">
        <v>120421.83823335344</v>
      </c>
    </row>
    <row r="440" spans="1:5" x14ac:dyDescent="0.25">
      <c r="A440" s="15">
        <v>96110</v>
      </c>
      <c r="B440" s="13" t="s">
        <v>445</v>
      </c>
      <c r="C440" s="16">
        <v>627168280</v>
      </c>
      <c r="D440" s="34">
        <v>4856.5451999999996</v>
      </c>
      <c r="E440" s="16">
        <v>129138.77132246191</v>
      </c>
    </row>
    <row r="441" spans="1:5" x14ac:dyDescent="0.25">
      <c r="A441" s="15">
        <v>96111</v>
      </c>
      <c r="B441" s="13" t="s">
        <v>446</v>
      </c>
      <c r="C441" s="16">
        <v>211190680</v>
      </c>
      <c r="D441" s="34">
        <v>3796.4078</v>
      </c>
      <c r="E441" s="16">
        <v>55629.081786208531</v>
      </c>
    </row>
    <row r="442" spans="1:5" x14ac:dyDescent="0.25">
      <c r="A442" s="15">
        <v>96112</v>
      </c>
      <c r="B442" s="13" t="s">
        <v>447</v>
      </c>
      <c r="C442" s="16">
        <v>746305800</v>
      </c>
      <c r="D442" s="34">
        <v>2064.645</v>
      </c>
      <c r="E442" s="16">
        <v>361469.30828302202</v>
      </c>
    </row>
    <row r="443" spans="1:5" x14ac:dyDescent="0.25">
      <c r="A443" s="15">
        <v>96113</v>
      </c>
      <c r="B443" s="13" t="s">
        <v>448</v>
      </c>
      <c r="C443" s="16">
        <v>203033940</v>
      </c>
      <c r="D443" s="34">
        <v>642.38430000000005</v>
      </c>
      <c r="E443" s="16">
        <v>316063.04824074934</v>
      </c>
    </row>
    <row r="444" spans="1:5" x14ac:dyDescent="0.25">
      <c r="A444" s="15">
        <v>96114</v>
      </c>
      <c r="B444" s="13" t="s">
        <v>449</v>
      </c>
      <c r="C444" s="16">
        <v>958749880</v>
      </c>
      <c r="D444" s="34">
        <v>4019.3031999999998</v>
      </c>
      <c r="E444" s="16">
        <v>238536.34132403845</v>
      </c>
    </row>
    <row r="445" spans="1:5" x14ac:dyDescent="0.25">
      <c r="A445" s="15">
        <v>96119</v>
      </c>
      <c r="B445" s="13" t="s">
        <v>1581</v>
      </c>
      <c r="C445" s="16">
        <v>0</v>
      </c>
      <c r="D445" s="34">
        <v>1566.0032000000001</v>
      </c>
      <c r="E445" s="16">
        <v>0</v>
      </c>
    </row>
    <row r="446" spans="1:5" x14ac:dyDescent="0.25">
      <c r="A446" s="15">
        <v>97116</v>
      </c>
      <c r="B446" s="13" t="s">
        <v>30</v>
      </c>
      <c r="C446" s="16">
        <v>11431387</v>
      </c>
      <c r="D446" s="34">
        <v>70.225099999999998</v>
      </c>
      <c r="E446" s="16">
        <v>162782.06795006344</v>
      </c>
    </row>
    <row r="447" spans="1:5" x14ac:dyDescent="0.25">
      <c r="A447" s="15">
        <v>97118</v>
      </c>
      <c r="B447" s="13" t="s">
        <v>450</v>
      </c>
      <c r="C447" s="16">
        <v>7522371</v>
      </c>
      <c r="D447" s="34">
        <v>61.594999999999999</v>
      </c>
      <c r="E447" s="16">
        <v>122126.32518873285</v>
      </c>
    </row>
    <row r="448" spans="1:5" x14ac:dyDescent="0.25">
      <c r="A448" s="15">
        <v>97119</v>
      </c>
      <c r="B448" s="13" t="s">
        <v>451</v>
      </c>
      <c r="C448" s="16">
        <v>12686111</v>
      </c>
      <c r="D448" s="34">
        <v>62.422699999999999</v>
      </c>
      <c r="E448" s="16">
        <v>203229.12978772147</v>
      </c>
    </row>
    <row r="449" spans="1:5" x14ac:dyDescent="0.25">
      <c r="A449" s="15">
        <v>97122</v>
      </c>
      <c r="B449" s="13" t="s">
        <v>452</v>
      </c>
      <c r="C449" s="16">
        <v>9004745</v>
      </c>
      <c r="D449" s="34">
        <v>72.725099999999998</v>
      </c>
      <c r="E449" s="16">
        <v>123818.94284091737</v>
      </c>
    </row>
    <row r="450" spans="1:5" x14ac:dyDescent="0.25">
      <c r="A450" s="15">
        <v>97127</v>
      </c>
      <c r="B450" s="13" t="s">
        <v>453</v>
      </c>
      <c r="C450" s="16">
        <v>3475320</v>
      </c>
      <c r="D450" s="34">
        <v>43.942300000000003</v>
      </c>
      <c r="E450" s="16">
        <v>79088.258921358225</v>
      </c>
    </row>
    <row r="451" spans="1:5" x14ac:dyDescent="0.25">
      <c r="A451" s="15">
        <v>97129</v>
      </c>
      <c r="B451" s="13" t="s">
        <v>454</v>
      </c>
      <c r="C451" s="16">
        <v>174081592</v>
      </c>
      <c r="D451" s="34">
        <v>2155.8580999999999</v>
      </c>
      <c r="E451" s="16">
        <v>80748.167980072525</v>
      </c>
    </row>
    <row r="452" spans="1:5" x14ac:dyDescent="0.25">
      <c r="A452" s="15">
        <v>97130</v>
      </c>
      <c r="B452" s="13" t="s">
        <v>455</v>
      </c>
      <c r="C452" s="16">
        <v>21714898</v>
      </c>
      <c r="D452" s="34">
        <v>290.23829999999998</v>
      </c>
      <c r="E452" s="16">
        <v>74817.479292016258</v>
      </c>
    </row>
    <row r="453" spans="1:5" x14ac:dyDescent="0.25">
      <c r="A453" s="15">
        <v>97131</v>
      </c>
      <c r="B453" s="13" t="s">
        <v>456</v>
      </c>
      <c r="C453" s="16">
        <v>33123824</v>
      </c>
      <c r="D453" s="34">
        <v>384.56509999999997</v>
      </c>
      <c r="E453" s="16">
        <v>86133.203455019713</v>
      </c>
    </row>
    <row r="454" spans="1:5" x14ac:dyDescent="0.25">
      <c r="A454" s="15">
        <v>98080</v>
      </c>
      <c r="B454" s="13" t="s">
        <v>457</v>
      </c>
      <c r="C454" s="16">
        <v>59105248</v>
      </c>
      <c r="D454" s="34">
        <v>512.05290000000002</v>
      </c>
      <c r="E454" s="16">
        <v>115428.01144178657</v>
      </c>
    </row>
    <row r="455" spans="1:5" x14ac:dyDescent="0.25">
      <c r="A455" s="15">
        <v>99082</v>
      </c>
      <c r="B455" s="13" t="s">
        <v>458</v>
      </c>
      <c r="C455" s="16">
        <v>72655749</v>
      </c>
      <c r="D455" s="34">
        <v>482.79880000000003</v>
      </c>
      <c r="E455" s="16">
        <v>150488.66940017248</v>
      </c>
    </row>
    <row r="456" spans="1:5" x14ac:dyDescent="0.25">
      <c r="A456" s="15">
        <v>100059</v>
      </c>
      <c r="B456" s="13" t="s">
        <v>459</v>
      </c>
      <c r="C456" s="16">
        <v>64299860</v>
      </c>
      <c r="D456" s="34">
        <v>743.90459999999996</v>
      </c>
      <c r="E456" s="16">
        <v>86435.626288639702</v>
      </c>
    </row>
    <row r="457" spans="1:5" x14ac:dyDescent="0.25">
      <c r="A457" s="15">
        <v>100060</v>
      </c>
      <c r="B457" s="13" t="s">
        <v>460</v>
      </c>
      <c r="C457" s="16">
        <v>27169700</v>
      </c>
      <c r="D457" s="34">
        <v>609.50279999999998</v>
      </c>
      <c r="E457" s="16">
        <v>44576.825569956367</v>
      </c>
    </row>
    <row r="458" spans="1:5" x14ac:dyDescent="0.25">
      <c r="A458" s="15">
        <v>100061</v>
      </c>
      <c r="B458" s="13" t="s">
        <v>461</v>
      </c>
      <c r="C458" s="16">
        <v>70453970</v>
      </c>
      <c r="D458" s="34">
        <v>844.43939999999998</v>
      </c>
      <c r="E458" s="16">
        <v>83432.831296123797</v>
      </c>
    </row>
    <row r="459" spans="1:5" x14ac:dyDescent="0.25">
      <c r="A459" s="15">
        <v>100062</v>
      </c>
      <c r="B459" s="13" t="s">
        <v>462</v>
      </c>
      <c r="C459" s="16">
        <v>20709480</v>
      </c>
      <c r="D459" s="34">
        <v>244.6003</v>
      </c>
      <c r="E459" s="16">
        <v>84666.61733448405</v>
      </c>
    </row>
    <row r="460" spans="1:5" x14ac:dyDescent="0.25">
      <c r="A460" s="15">
        <v>100063</v>
      </c>
      <c r="B460" s="13" t="s">
        <v>463</v>
      </c>
      <c r="C460" s="16">
        <v>269099370</v>
      </c>
      <c r="D460" s="34">
        <v>2744.9259999999999</v>
      </c>
      <c r="E460" s="16">
        <v>98035.200220333805</v>
      </c>
    </row>
    <row r="461" spans="1:5" x14ac:dyDescent="0.25">
      <c r="A461" s="15">
        <v>100064</v>
      </c>
      <c r="B461" s="13" t="s">
        <v>464</v>
      </c>
      <c r="C461" s="16">
        <v>30492060</v>
      </c>
      <c r="D461" s="34">
        <v>153.60820000000001</v>
      </c>
      <c r="E461" s="16">
        <v>198505.41833053183</v>
      </c>
    </row>
    <row r="462" spans="1:5" x14ac:dyDescent="0.25">
      <c r="A462" s="15">
        <v>100065</v>
      </c>
      <c r="B462" s="13" t="s">
        <v>465</v>
      </c>
      <c r="C462" s="16">
        <v>25399157</v>
      </c>
      <c r="D462" s="34">
        <v>321.09789999999998</v>
      </c>
      <c r="E462" s="16">
        <v>79100.975123163371</v>
      </c>
    </row>
    <row r="463" spans="1:5" x14ac:dyDescent="0.25">
      <c r="A463" s="15">
        <v>101105</v>
      </c>
      <c r="B463" s="13" t="s">
        <v>466</v>
      </c>
      <c r="C463" s="16">
        <v>20578470</v>
      </c>
      <c r="D463" s="34">
        <v>430.73939999999999</v>
      </c>
      <c r="E463" s="16">
        <v>47774.756616181388</v>
      </c>
    </row>
    <row r="464" spans="1:5" x14ac:dyDescent="0.25">
      <c r="A464" s="15">
        <v>101107</v>
      </c>
      <c r="B464" s="13" t="s">
        <v>467</v>
      </c>
      <c r="C464" s="16">
        <v>25729357</v>
      </c>
      <c r="D464" s="34">
        <v>265.90050000000002</v>
      </c>
      <c r="E464" s="16">
        <v>96763.101235236478</v>
      </c>
    </row>
    <row r="465" spans="1:5" x14ac:dyDescent="0.25">
      <c r="A465" s="15">
        <v>102081</v>
      </c>
      <c r="B465" s="13" t="s">
        <v>468</v>
      </c>
      <c r="C465" s="16">
        <v>36523627</v>
      </c>
      <c r="D465" s="34">
        <v>251.2663</v>
      </c>
      <c r="E465" s="16">
        <v>145358.23944556035</v>
      </c>
    </row>
    <row r="466" spans="1:5" x14ac:dyDescent="0.25">
      <c r="A466" s="15">
        <v>102085</v>
      </c>
      <c r="B466" s="13" t="s">
        <v>469</v>
      </c>
      <c r="C466" s="16">
        <v>64107872</v>
      </c>
      <c r="D466" s="34">
        <v>522.37549999999999</v>
      </c>
      <c r="E466" s="16">
        <v>122723.73417206589</v>
      </c>
    </row>
    <row r="467" spans="1:5" x14ac:dyDescent="0.25">
      <c r="A467" s="15">
        <v>103127</v>
      </c>
      <c r="B467" s="13" t="s">
        <v>470</v>
      </c>
      <c r="C467" s="16">
        <v>28614782</v>
      </c>
      <c r="D467" s="34">
        <v>245.6181</v>
      </c>
      <c r="E467" s="16">
        <v>116501.1129065814</v>
      </c>
    </row>
    <row r="468" spans="1:5" x14ac:dyDescent="0.25">
      <c r="A468" s="15">
        <v>103128</v>
      </c>
      <c r="B468" s="13" t="s">
        <v>471</v>
      </c>
      <c r="C468" s="16">
        <v>39494092</v>
      </c>
      <c r="D468" s="34">
        <v>212.54560000000001</v>
      </c>
      <c r="E468" s="16">
        <v>185814.676944618</v>
      </c>
    </row>
    <row r="469" spans="1:5" x14ac:dyDescent="0.25">
      <c r="A469" s="15">
        <v>103129</v>
      </c>
      <c r="B469" s="13" t="s">
        <v>472</v>
      </c>
      <c r="C469" s="16">
        <v>34481880</v>
      </c>
      <c r="D469" s="34">
        <v>395.03559999999999</v>
      </c>
      <c r="E469" s="16">
        <v>87288.03176220067</v>
      </c>
    </row>
    <row r="470" spans="1:5" x14ac:dyDescent="0.25">
      <c r="A470" s="15">
        <v>103130</v>
      </c>
      <c r="B470" s="13" t="s">
        <v>473</v>
      </c>
      <c r="C470" s="16">
        <v>47223503</v>
      </c>
      <c r="D470" s="34">
        <v>760.73860000000002</v>
      </c>
      <c r="E470" s="16">
        <v>62075.860223209391</v>
      </c>
    </row>
    <row r="471" spans="1:5" x14ac:dyDescent="0.25">
      <c r="A471" s="15">
        <v>103131</v>
      </c>
      <c r="B471" s="13" t="s">
        <v>474</v>
      </c>
      <c r="C471" s="16">
        <v>51620715</v>
      </c>
      <c r="D471" s="34">
        <v>583.71299999999997</v>
      </c>
      <c r="E471" s="16">
        <v>88435.095672016905</v>
      </c>
    </row>
    <row r="472" spans="1:5" x14ac:dyDescent="0.25">
      <c r="A472" s="15">
        <v>103132</v>
      </c>
      <c r="B472" s="13" t="s">
        <v>475</v>
      </c>
      <c r="C472" s="16">
        <v>199790389</v>
      </c>
      <c r="D472" s="34">
        <v>1958.4567</v>
      </c>
      <c r="E472" s="16">
        <v>102014.19770986002</v>
      </c>
    </row>
    <row r="473" spans="1:5" x14ac:dyDescent="0.25">
      <c r="A473" s="15">
        <v>103135</v>
      </c>
      <c r="B473" s="13" t="s">
        <v>476</v>
      </c>
      <c r="C473" s="16">
        <v>38538335</v>
      </c>
      <c r="D473" s="34">
        <v>479.69490000000002</v>
      </c>
      <c r="E473" s="16">
        <v>80339.263561067666</v>
      </c>
    </row>
    <row r="474" spans="1:5" x14ac:dyDescent="0.25">
      <c r="A474" s="15">
        <v>104041</v>
      </c>
      <c r="B474" s="13" t="s">
        <v>477</v>
      </c>
      <c r="C474" s="16">
        <v>13762170</v>
      </c>
      <c r="D474" s="34">
        <v>175.9385</v>
      </c>
      <c r="E474" s="16">
        <v>78221.48080153008</v>
      </c>
    </row>
    <row r="475" spans="1:5" x14ac:dyDescent="0.25">
      <c r="A475" s="15">
        <v>104042</v>
      </c>
      <c r="B475" s="13" t="s">
        <v>478</v>
      </c>
      <c r="C475" s="16">
        <v>37081204</v>
      </c>
      <c r="D475" s="34">
        <v>424.66789999999997</v>
      </c>
      <c r="E475" s="16">
        <v>87318.123173425643</v>
      </c>
    </row>
    <row r="476" spans="1:5" x14ac:dyDescent="0.25">
      <c r="A476" s="15">
        <v>104043</v>
      </c>
      <c r="B476" s="13" t="s">
        <v>479</v>
      </c>
      <c r="C476" s="16">
        <v>30450786</v>
      </c>
      <c r="D476" s="34">
        <v>491.66640000000001</v>
      </c>
      <c r="E476" s="16">
        <v>61933.835625131185</v>
      </c>
    </row>
    <row r="477" spans="1:5" x14ac:dyDescent="0.25">
      <c r="A477" s="15">
        <v>104044</v>
      </c>
      <c r="B477" s="13" t="s">
        <v>480</v>
      </c>
      <c r="C477" s="16">
        <v>432766941</v>
      </c>
      <c r="D477" s="34">
        <v>1608.5201</v>
      </c>
      <c r="E477" s="16">
        <v>269046.64790946658</v>
      </c>
    </row>
    <row r="478" spans="1:5" x14ac:dyDescent="0.25">
      <c r="A478" s="15">
        <v>104045</v>
      </c>
      <c r="B478" s="13" t="s">
        <v>481</v>
      </c>
      <c r="C478" s="16">
        <v>136265037</v>
      </c>
      <c r="D478" s="34">
        <v>456.90730000000002</v>
      </c>
      <c r="E478" s="16">
        <v>298233.44253856305</v>
      </c>
    </row>
    <row r="479" spans="1:5" x14ac:dyDescent="0.25">
      <c r="A479" s="15">
        <v>105123</v>
      </c>
      <c r="B479" s="13" t="s">
        <v>482</v>
      </c>
      <c r="C479" s="16">
        <v>24694924</v>
      </c>
      <c r="D479" s="34">
        <v>239.89330000000001</v>
      </c>
      <c r="E479" s="16">
        <v>102941.2826452427</v>
      </c>
    </row>
    <row r="480" spans="1:5" x14ac:dyDescent="0.25">
      <c r="A480" s="15">
        <v>105124</v>
      </c>
      <c r="B480" s="13" t="s">
        <v>483</v>
      </c>
      <c r="C480" s="16">
        <v>48474066</v>
      </c>
      <c r="D480" s="34">
        <v>612.14840000000004</v>
      </c>
      <c r="E480" s="16">
        <v>79186.788693721974</v>
      </c>
    </row>
    <row r="481" spans="1:5" x14ac:dyDescent="0.25">
      <c r="A481" s="15">
        <v>105125</v>
      </c>
      <c r="B481" s="13" t="s">
        <v>484</v>
      </c>
      <c r="C481" s="16">
        <v>10787354</v>
      </c>
      <c r="D481" s="34">
        <v>63.844099999999997</v>
      </c>
      <c r="E481" s="16">
        <v>168963.99197419966</v>
      </c>
    </row>
    <row r="482" spans="1:5" x14ac:dyDescent="0.25">
      <c r="A482" s="15">
        <v>106001</v>
      </c>
      <c r="B482" s="13" t="s">
        <v>485</v>
      </c>
      <c r="C482" s="16">
        <v>9298657</v>
      </c>
      <c r="D482" s="34">
        <v>165.4196</v>
      </c>
      <c r="E482" s="16">
        <v>56212.546759876095</v>
      </c>
    </row>
    <row r="483" spans="1:5" x14ac:dyDescent="0.25">
      <c r="A483" s="15">
        <v>106002</v>
      </c>
      <c r="B483" s="13" t="s">
        <v>486</v>
      </c>
      <c r="C483" s="16">
        <v>12641253</v>
      </c>
      <c r="D483" s="34">
        <v>183.0359</v>
      </c>
      <c r="E483" s="16">
        <v>69064.336559112169</v>
      </c>
    </row>
    <row r="484" spans="1:5" x14ac:dyDescent="0.25">
      <c r="A484" s="15">
        <v>106003</v>
      </c>
      <c r="B484" s="13" t="s">
        <v>487</v>
      </c>
      <c r="C484" s="16">
        <v>86495835</v>
      </c>
      <c r="D484" s="34">
        <v>1030.9101000000001</v>
      </c>
      <c r="E484" s="16">
        <v>83902.40332304436</v>
      </c>
    </row>
    <row r="485" spans="1:5" x14ac:dyDescent="0.25">
      <c r="A485" s="15">
        <v>106004</v>
      </c>
      <c r="B485" s="13" t="s">
        <v>488</v>
      </c>
      <c r="C485" s="16">
        <v>678577755</v>
      </c>
      <c r="D485" s="34">
        <v>4059.9971999999998</v>
      </c>
      <c r="E485" s="16">
        <v>167137.49334605454</v>
      </c>
    </row>
    <row r="486" spans="1:5" x14ac:dyDescent="0.25">
      <c r="A486" s="15">
        <v>106005</v>
      </c>
      <c r="B486" s="13" t="s">
        <v>489</v>
      </c>
      <c r="C486" s="16">
        <v>227708235</v>
      </c>
      <c r="D486" s="34">
        <v>1267.8688999999999</v>
      </c>
      <c r="E486" s="16">
        <v>179599.19594210412</v>
      </c>
    </row>
    <row r="487" spans="1:5" x14ac:dyDescent="0.25">
      <c r="A487" s="15">
        <v>106006</v>
      </c>
      <c r="B487" s="13" t="s">
        <v>490</v>
      </c>
      <c r="C487" s="16">
        <v>41315155</v>
      </c>
      <c r="D487" s="34">
        <v>303.10059999999999</v>
      </c>
      <c r="E487" s="16">
        <v>136308.39067953016</v>
      </c>
    </row>
    <row r="488" spans="1:5" x14ac:dyDescent="0.25">
      <c r="A488" s="15">
        <v>106008</v>
      </c>
      <c r="B488" s="13" t="s">
        <v>491</v>
      </c>
      <c r="C488" s="16">
        <v>8252470</v>
      </c>
      <c r="D488" s="34">
        <v>53.540900000000001</v>
      </c>
      <c r="E488" s="16">
        <v>154133.94246267807</v>
      </c>
    </row>
    <row r="489" spans="1:5" x14ac:dyDescent="0.25">
      <c r="A489" s="15">
        <v>107151</v>
      </c>
      <c r="B489" s="13" t="s">
        <v>492</v>
      </c>
      <c r="C489" s="16">
        <v>10078247</v>
      </c>
      <c r="D489" s="34">
        <v>109.4297</v>
      </c>
      <c r="E489" s="16">
        <v>92097.913089408088</v>
      </c>
    </row>
    <row r="490" spans="1:5" x14ac:dyDescent="0.25">
      <c r="A490" s="15">
        <v>107152</v>
      </c>
      <c r="B490" s="13" t="s">
        <v>493</v>
      </c>
      <c r="C490" s="16">
        <v>65542401</v>
      </c>
      <c r="D490" s="34">
        <v>830.11159999999995</v>
      </c>
      <c r="E490" s="16">
        <v>78956.131922502958</v>
      </c>
    </row>
    <row r="491" spans="1:5" x14ac:dyDescent="0.25">
      <c r="A491" s="15">
        <v>107153</v>
      </c>
      <c r="B491" s="13" t="s">
        <v>494</v>
      </c>
      <c r="C491" s="16">
        <v>32266473</v>
      </c>
      <c r="D491" s="34">
        <v>381.8417</v>
      </c>
      <c r="E491" s="16">
        <v>84502.22435108581</v>
      </c>
    </row>
    <row r="492" spans="1:5" x14ac:dyDescent="0.25">
      <c r="A492" s="15">
        <v>107154</v>
      </c>
      <c r="B492" s="13" t="s">
        <v>495</v>
      </c>
      <c r="C492" s="16">
        <v>46718833</v>
      </c>
      <c r="D492" s="34">
        <v>665.59829999999999</v>
      </c>
      <c r="E492" s="16">
        <v>70190.733660227197</v>
      </c>
    </row>
    <row r="493" spans="1:5" x14ac:dyDescent="0.25">
      <c r="A493" s="15">
        <v>107155</v>
      </c>
      <c r="B493" s="13" t="s">
        <v>496</v>
      </c>
      <c r="C493" s="16">
        <v>58859478</v>
      </c>
      <c r="D493" s="34">
        <v>651.53020000000004</v>
      </c>
      <c r="E493" s="16">
        <v>90340.367952245346</v>
      </c>
    </row>
    <row r="494" spans="1:5" x14ac:dyDescent="0.25">
      <c r="A494" s="15">
        <v>107156</v>
      </c>
      <c r="B494" s="13" t="s">
        <v>497</v>
      </c>
      <c r="C494" s="16">
        <v>37436301</v>
      </c>
      <c r="D494" s="34">
        <v>468.97579999999999</v>
      </c>
      <c r="E494" s="16">
        <v>79825.656249213716</v>
      </c>
    </row>
    <row r="495" spans="1:5" x14ac:dyDescent="0.25">
      <c r="A495" s="15">
        <v>107158</v>
      </c>
      <c r="B495" s="13" t="s">
        <v>498</v>
      </c>
      <c r="C495" s="16">
        <v>10190341</v>
      </c>
      <c r="D495" s="34">
        <v>166.8425</v>
      </c>
      <c r="E495" s="16">
        <v>61077.609122375892</v>
      </c>
    </row>
    <row r="496" spans="1:5" x14ac:dyDescent="0.25">
      <c r="A496" s="15">
        <v>108142</v>
      </c>
      <c r="B496" s="13" t="s">
        <v>499</v>
      </c>
      <c r="C496" s="16">
        <v>177417450</v>
      </c>
      <c r="D496" s="34">
        <v>2057.9694</v>
      </c>
      <c r="E496" s="16">
        <v>86209.955308373392</v>
      </c>
    </row>
    <row r="497" spans="1:5" x14ac:dyDescent="0.25">
      <c r="A497" s="15">
        <v>108143</v>
      </c>
      <c r="B497" s="31" t="s">
        <v>500</v>
      </c>
      <c r="C497" s="16">
        <v>14112053</v>
      </c>
      <c r="D497" s="34">
        <v>164.57849999999999</v>
      </c>
      <c r="E497" s="16">
        <v>85746.637622775757</v>
      </c>
    </row>
    <row r="498" spans="1:5" x14ac:dyDescent="0.25">
      <c r="A498" s="15">
        <v>108144</v>
      </c>
      <c r="B498" s="13" t="s">
        <v>501</v>
      </c>
      <c r="C498" s="16">
        <v>12746414</v>
      </c>
      <c r="D498" s="34">
        <v>172.10560000000001</v>
      </c>
      <c r="E498" s="16">
        <v>74061.587769369493</v>
      </c>
    </row>
    <row r="499" spans="1:5" x14ac:dyDescent="0.25">
      <c r="A499" s="15">
        <v>108147</v>
      </c>
      <c r="B499" s="13" t="s">
        <v>502</v>
      </c>
      <c r="C499" s="16">
        <v>19610693</v>
      </c>
      <c r="D499" s="34">
        <v>165.5086</v>
      </c>
      <c r="E499" s="16">
        <v>118487.45624094458</v>
      </c>
    </row>
    <row r="500" spans="1:5" x14ac:dyDescent="0.25">
      <c r="A500" s="15">
        <v>109002</v>
      </c>
      <c r="B500" s="13" t="s">
        <v>522</v>
      </c>
      <c r="C500" s="16">
        <v>233101048</v>
      </c>
      <c r="D500" s="34">
        <v>1451.6361999999999</v>
      </c>
      <c r="E500" s="16">
        <v>160578.1448547508</v>
      </c>
    </row>
    <row r="501" spans="1:5" x14ac:dyDescent="0.25">
      <c r="A501" s="15">
        <v>109003</v>
      </c>
      <c r="B501" s="13" t="s">
        <v>503</v>
      </c>
      <c r="C501" s="16">
        <v>306237035</v>
      </c>
      <c r="D501" s="34">
        <v>2732.6185999999998</v>
      </c>
      <c r="E501" s="16">
        <v>112067.24385173987</v>
      </c>
    </row>
    <row r="502" spans="1:5" x14ac:dyDescent="0.25">
      <c r="A502" s="15">
        <v>110014</v>
      </c>
      <c r="B502" s="13" t="s">
        <v>504</v>
      </c>
      <c r="C502" s="16">
        <v>33384082</v>
      </c>
      <c r="D502" s="34">
        <v>749.92470000000003</v>
      </c>
      <c r="E502" s="16">
        <v>44516.578797844639</v>
      </c>
    </row>
    <row r="503" spans="1:5" x14ac:dyDescent="0.25">
      <c r="A503" s="15">
        <v>110029</v>
      </c>
      <c r="B503" s="13" t="s">
        <v>505</v>
      </c>
      <c r="C503" s="16">
        <v>97141560</v>
      </c>
      <c r="D503" s="34">
        <v>1826.8291999999999</v>
      </c>
      <c r="E503" s="16">
        <v>53174.954724831419</v>
      </c>
    </row>
    <row r="504" spans="1:5" x14ac:dyDescent="0.25">
      <c r="A504" s="15">
        <v>110030</v>
      </c>
      <c r="B504" s="13" t="s">
        <v>506</v>
      </c>
      <c r="C504" s="16">
        <v>14827407</v>
      </c>
      <c r="D504" s="34">
        <v>198.76830000000001</v>
      </c>
      <c r="E504" s="16">
        <v>74596.437158239016</v>
      </c>
    </row>
    <row r="505" spans="1:5" x14ac:dyDescent="0.25">
      <c r="A505" s="15">
        <v>110031</v>
      </c>
      <c r="B505" s="13" t="s">
        <v>507</v>
      </c>
      <c r="C505" s="16">
        <v>26549104</v>
      </c>
      <c r="D505" s="34">
        <v>330.94850000000002</v>
      </c>
      <c r="E505" s="16">
        <v>80221.254968673369</v>
      </c>
    </row>
    <row r="506" spans="1:5" x14ac:dyDescent="0.25">
      <c r="A506" s="15">
        <v>111086</v>
      </c>
      <c r="B506" s="13" t="s">
        <v>508</v>
      </c>
      <c r="C506" s="16">
        <v>52489222</v>
      </c>
      <c r="D506" s="34">
        <v>619.02629999999999</v>
      </c>
      <c r="E506" s="16">
        <v>84793.201839727975</v>
      </c>
    </row>
    <row r="507" spans="1:5" x14ac:dyDescent="0.25">
      <c r="A507" s="15">
        <v>111087</v>
      </c>
      <c r="B507" s="13" t="s">
        <v>509</v>
      </c>
      <c r="C507" s="16">
        <v>67999577</v>
      </c>
      <c r="D507" s="34">
        <v>780.11599999999999</v>
      </c>
      <c r="E507" s="16">
        <v>87165.981725794627</v>
      </c>
    </row>
    <row r="508" spans="1:5" x14ac:dyDescent="0.25">
      <c r="A508" s="15">
        <v>112099</v>
      </c>
      <c r="B508" s="13" t="s">
        <v>510</v>
      </c>
      <c r="C508" s="16">
        <v>18744130</v>
      </c>
      <c r="D508" s="34">
        <v>265.55799999999999</v>
      </c>
      <c r="E508" s="16">
        <v>70583.940231512519</v>
      </c>
    </row>
    <row r="509" spans="1:5" x14ac:dyDescent="0.25">
      <c r="A509" s="15">
        <v>112101</v>
      </c>
      <c r="B509" s="13" t="s">
        <v>511</v>
      </c>
      <c r="C509" s="16">
        <v>40515268</v>
      </c>
      <c r="D509" s="34">
        <v>553.33190000000002</v>
      </c>
      <c r="E509" s="16">
        <v>73220.553523120572</v>
      </c>
    </row>
    <row r="510" spans="1:5" x14ac:dyDescent="0.25">
      <c r="A510" s="15">
        <v>112102</v>
      </c>
      <c r="B510" s="13" t="s">
        <v>512</v>
      </c>
      <c r="C510" s="16">
        <v>226789879</v>
      </c>
      <c r="D510" s="34">
        <v>2736.1776</v>
      </c>
      <c r="E510" s="16">
        <v>82885.657349142828</v>
      </c>
    </row>
    <row r="511" spans="1:5" x14ac:dyDescent="0.25">
      <c r="A511" s="15">
        <v>112103</v>
      </c>
      <c r="B511" s="13" t="s">
        <v>513</v>
      </c>
      <c r="C511" s="16">
        <v>59024975</v>
      </c>
      <c r="D511" s="34">
        <v>631.83330000000001</v>
      </c>
      <c r="E511" s="16">
        <v>93418.588415646969</v>
      </c>
    </row>
    <row r="512" spans="1:5" x14ac:dyDescent="0.25">
      <c r="A512" s="15">
        <v>113001</v>
      </c>
      <c r="B512" s="13" t="s">
        <v>514</v>
      </c>
      <c r="C512" s="16">
        <v>29013460</v>
      </c>
      <c r="D512" s="34">
        <v>257.22669999999999</v>
      </c>
      <c r="E512" s="16">
        <v>112793.3453253492</v>
      </c>
    </row>
    <row r="513" spans="1:5" x14ac:dyDescent="0.25">
      <c r="A513" s="15">
        <v>114112</v>
      </c>
      <c r="B513" s="13" t="s">
        <v>515</v>
      </c>
      <c r="C513" s="16">
        <v>19463707</v>
      </c>
      <c r="D513" s="34">
        <v>305.10910000000001</v>
      </c>
      <c r="E513" s="16">
        <v>63792.613855175077</v>
      </c>
    </row>
    <row r="514" spans="1:5" x14ac:dyDescent="0.25">
      <c r="A514" s="15">
        <v>114113</v>
      </c>
      <c r="B514" s="13" t="s">
        <v>516</v>
      </c>
      <c r="C514" s="16">
        <v>41445600</v>
      </c>
      <c r="D514" s="34">
        <v>658.82740000000001</v>
      </c>
      <c r="E514" s="16">
        <v>62908.130414733809</v>
      </c>
    </row>
    <row r="515" spans="1:5" x14ac:dyDescent="0.25">
      <c r="A515" s="15">
        <v>114114</v>
      </c>
      <c r="B515" s="13" t="s">
        <v>517</v>
      </c>
      <c r="C515" s="16">
        <v>101486847</v>
      </c>
      <c r="D515" s="34">
        <v>1365.4492</v>
      </c>
      <c r="E515" s="16">
        <v>74324.879314440986</v>
      </c>
    </row>
    <row r="516" spans="1:5" x14ac:dyDescent="0.25">
      <c r="A516" s="15">
        <v>114115</v>
      </c>
      <c r="B516" s="13" t="s">
        <v>518</v>
      </c>
      <c r="C516" s="16">
        <v>40968560</v>
      </c>
      <c r="D516" s="34">
        <v>607.8021</v>
      </c>
      <c r="E516" s="16">
        <v>67404.439701672629</v>
      </c>
    </row>
    <row r="517" spans="1:5" x14ac:dyDescent="0.25">
      <c r="A517" s="15">
        <v>114116</v>
      </c>
      <c r="B517" s="13" t="s">
        <v>519</v>
      </c>
      <c r="C517" s="16">
        <v>5551031</v>
      </c>
      <c r="D517" s="34">
        <v>58.736699999999999</v>
      </c>
      <c r="E517" s="16">
        <v>94507.028825248955</v>
      </c>
    </row>
    <row r="518" spans="1:5" x14ac:dyDescent="0.25">
      <c r="A518" s="15">
        <v>115115</v>
      </c>
      <c r="B518" s="13" t="s">
        <v>1586</v>
      </c>
      <c r="C518" s="16">
        <v>4489428103</v>
      </c>
      <c r="D518" s="34">
        <v>15335.275799999999</v>
      </c>
      <c r="E518" s="16">
        <v>292751.70277667913</v>
      </c>
    </row>
    <row r="519" spans="1:5" x14ac:dyDescent="0.25">
      <c r="E519" s="16"/>
    </row>
    <row r="520" spans="1:5" ht="15.75" thickBot="1" x14ac:dyDescent="0.3">
      <c r="A520" s="11" t="s">
        <v>3</v>
      </c>
      <c r="C520" s="22"/>
      <c r="D520" s="35"/>
      <c r="E520" s="5">
        <f>AVERAGE(E2:E518)</f>
        <v>122602.68904439114</v>
      </c>
    </row>
    <row r="521" spans="1:5" ht="15.75" thickTop="1" x14ac:dyDescent="0.25"/>
    <row r="522" spans="1:5" x14ac:dyDescent="0.25">
      <c r="A522" s="11" t="s">
        <v>4</v>
      </c>
      <c r="C522" s="22"/>
      <c r="E522" s="16"/>
    </row>
    <row r="523" spans="1:5" x14ac:dyDescent="0.25">
      <c r="A523" s="11" t="s">
        <v>5</v>
      </c>
      <c r="C523" s="22"/>
      <c r="E523" s="16"/>
    </row>
    <row r="524" spans="1:5" x14ac:dyDescent="0.25">
      <c r="A524" s="11"/>
      <c r="C524" s="22"/>
      <c r="E524" s="16"/>
    </row>
    <row r="525" spans="1:5" x14ac:dyDescent="0.25">
      <c r="A525" s="11" t="s">
        <v>1594</v>
      </c>
      <c r="C525" s="22"/>
      <c r="E525" s="16"/>
    </row>
    <row r="526" spans="1:5" x14ac:dyDescent="0.25">
      <c r="A526" s="11" t="s">
        <v>1595</v>
      </c>
      <c r="C526" s="22"/>
      <c r="E526" s="16"/>
    </row>
    <row r="527" spans="1:5" x14ac:dyDescent="0.25">
      <c r="C527" s="22"/>
      <c r="E527" s="16"/>
    </row>
    <row r="528" spans="1:5" x14ac:dyDescent="0.25">
      <c r="A528" s="11" t="s">
        <v>1041</v>
      </c>
      <c r="C528" s="22"/>
      <c r="E528" s="16"/>
    </row>
  </sheetData>
  <pageMargins left="0.7" right="0.7" top="0.95833333333333337" bottom="0.75" header="0.3" footer="0.3"/>
  <pageSetup scale="93" fitToHeight="0" orientation="portrait" horizontalDpi="4294967295" verticalDpi="4294967295" r:id="rId1"/>
  <headerFooter>
    <oddHeader>&amp;C&amp;"-,Bold"Missouri Department of Elementary and Secondary Education
School Finance 
Assessed Valuation per ADA for 2020-2021</oddHeader>
    <oddFooter>&amp;LNovember 19, 2021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28"/>
  <sheetViews>
    <sheetView view="pageLayout" zoomScaleNormal="100" workbookViewId="0">
      <selection activeCell="B4" sqref="B4"/>
    </sheetView>
  </sheetViews>
  <sheetFormatPr defaultColWidth="9.140625" defaultRowHeight="15" x14ac:dyDescent="0.25"/>
  <cols>
    <col min="1" max="1" width="12.28515625" style="15" bestFit="1" customWidth="1"/>
    <col min="2" max="2" width="35.28515625" style="13" bestFit="1" customWidth="1"/>
    <col min="3" max="3" width="25.140625" style="30" bestFit="1" customWidth="1"/>
    <col min="4" max="4" width="12.5703125" style="34" bestFit="1" customWidth="1"/>
    <col min="5" max="5" width="11.85546875" style="30" customWidth="1"/>
    <col min="6" max="16384" width="9.140625" style="13"/>
  </cols>
  <sheetData>
    <row r="1" spans="1:5" ht="45.75" thickBot="1" x14ac:dyDescent="0.3">
      <c r="A1" s="6" t="s">
        <v>0</v>
      </c>
      <c r="B1" s="7" t="s">
        <v>1</v>
      </c>
      <c r="C1" s="21" t="s">
        <v>1597</v>
      </c>
      <c r="D1" s="33" t="s">
        <v>1598</v>
      </c>
      <c r="E1" s="10" t="s">
        <v>2</v>
      </c>
    </row>
    <row r="2" spans="1:5" x14ac:dyDescent="0.25">
      <c r="A2" s="15">
        <v>1090</v>
      </c>
      <c r="B2" s="13" t="s">
        <v>8</v>
      </c>
      <c r="C2" s="16">
        <v>17232405</v>
      </c>
      <c r="D2" s="34">
        <v>219.0838</v>
      </c>
      <c r="E2" s="16">
        <v>78656.682967887173</v>
      </c>
    </row>
    <row r="3" spans="1:5" x14ac:dyDescent="0.25">
      <c r="A3" s="15">
        <v>1091</v>
      </c>
      <c r="B3" s="13" t="s">
        <v>9</v>
      </c>
      <c r="C3" s="16">
        <v>260762104</v>
      </c>
      <c r="D3" s="34">
        <v>2328.4933000000001</v>
      </c>
      <c r="E3" s="16">
        <v>111987.48306469251</v>
      </c>
    </row>
    <row r="4" spans="1:5" x14ac:dyDescent="0.25">
      <c r="A4" s="15">
        <v>1092</v>
      </c>
      <c r="B4" s="13" t="s">
        <v>10</v>
      </c>
      <c r="C4" s="16">
        <v>15442572</v>
      </c>
      <c r="D4" s="34">
        <v>141.9684</v>
      </c>
      <c r="E4" s="16">
        <v>108774.7132460463</v>
      </c>
    </row>
    <row r="5" spans="1:5" x14ac:dyDescent="0.25">
      <c r="A5" s="15">
        <v>2089</v>
      </c>
      <c r="B5" s="13" t="s">
        <v>11</v>
      </c>
      <c r="C5" s="16">
        <v>23955619</v>
      </c>
      <c r="D5" s="34">
        <v>333.0917</v>
      </c>
      <c r="E5" s="16">
        <v>71918.991076631442</v>
      </c>
    </row>
    <row r="6" spans="1:5" x14ac:dyDescent="0.25">
      <c r="A6" s="15">
        <v>2090</v>
      </c>
      <c r="B6" s="13" t="s">
        <v>12</v>
      </c>
      <c r="C6" s="16">
        <v>26206613</v>
      </c>
      <c r="D6" s="34">
        <v>203.15450000000001</v>
      </c>
      <c r="E6" s="16">
        <v>128998.43715005081</v>
      </c>
    </row>
    <row r="7" spans="1:5" x14ac:dyDescent="0.25">
      <c r="A7" s="15">
        <v>2097</v>
      </c>
      <c r="B7" s="13" t="s">
        <v>13</v>
      </c>
      <c r="C7" s="16">
        <v>191838125</v>
      </c>
      <c r="D7" s="34">
        <v>2256.4475000000002</v>
      </c>
      <c r="E7" s="16">
        <v>85017.765757900415</v>
      </c>
    </row>
    <row r="8" spans="1:5" x14ac:dyDescent="0.25">
      <c r="A8" s="15">
        <v>3031</v>
      </c>
      <c r="B8" s="13" t="s">
        <v>14</v>
      </c>
      <c r="C8" s="16">
        <v>63781813</v>
      </c>
      <c r="D8" s="34">
        <v>305.94880000000001</v>
      </c>
      <c r="E8" s="16">
        <v>208472.17900511457</v>
      </c>
    </row>
    <row r="9" spans="1:5" x14ac:dyDescent="0.25">
      <c r="A9" s="15">
        <v>3032</v>
      </c>
      <c r="B9" s="13" t="s">
        <v>15</v>
      </c>
      <c r="C9" s="16">
        <v>48048948</v>
      </c>
      <c r="D9" s="34">
        <v>325.80079999999998</v>
      </c>
      <c r="E9" s="16">
        <v>147479.52736764305</v>
      </c>
    </row>
    <row r="10" spans="1:5" x14ac:dyDescent="0.25">
      <c r="A10" s="15">
        <v>3033</v>
      </c>
      <c r="B10" s="13" t="s">
        <v>16</v>
      </c>
      <c r="C10" s="16">
        <v>22388188</v>
      </c>
      <c r="D10" s="34">
        <v>132.36930000000001</v>
      </c>
      <c r="E10" s="16">
        <v>169134.29322357976</v>
      </c>
    </row>
    <row r="11" spans="1:5" x14ac:dyDescent="0.25">
      <c r="A11" s="15">
        <v>4106</v>
      </c>
      <c r="B11" s="13" t="s">
        <v>17</v>
      </c>
      <c r="C11" s="16">
        <v>35528340</v>
      </c>
      <c r="D11" s="34">
        <v>284.911</v>
      </c>
      <c r="E11" s="16">
        <v>124699.78344114478</v>
      </c>
    </row>
    <row r="12" spans="1:5" x14ac:dyDescent="0.25">
      <c r="A12" s="15">
        <v>4109</v>
      </c>
      <c r="B12" s="13" t="s">
        <v>18</v>
      </c>
      <c r="C12" s="16">
        <v>46485568</v>
      </c>
      <c r="D12" s="34">
        <v>561.63580000000002</v>
      </c>
      <c r="E12" s="16">
        <v>82768.17111729701</v>
      </c>
    </row>
    <row r="13" spans="1:5" x14ac:dyDescent="0.25">
      <c r="A13" s="15">
        <v>4110</v>
      </c>
      <c r="B13" s="13" t="s">
        <v>19</v>
      </c>
      <c r="C13" s="16">
        <v>212794993</v>
      </c>
      <c r="D13" s="34">
        <v>2247.1397000000002</v>
      </c>
      <c r="E13" s="16">
        <v>94695.934124611827</v>
      </c>
    </row>
    <row r="14" spans="1:5" x14ac:dyDescent="0.25">
      <c r="A14" s="15">
        <v>5120</v>
      </c>
      <c r="B14" s="13" t="s">
        <v>20</v>
      </c>
      <c r="C14" s="16">
        <v>22248972</v>
      </c>
      <c r="D14" s="34">
        <v>407.13420000000002</v>
      </c>
      <c r="E14" s="16">
        <v>54647.759878683733</v>
      </c>
    </row>
    <row r="15" spans="1:5" x14ac:dyDescent="0.25">
      <c r="A15" s="15">
        <v>5121</v>
      </c>
      <c r="B15" s="13" t="s">
        <v>21</v>
      </c>
      <c r="C15" s="16">
        <v>40719927</v>
      </c>
      <c r="D15" s="34">
        <v>720.11369999999999</v>
      </c>
      <c r="E15" s="16">
        <v>56546.524528001617</v>
      </c>
    </row>
    <row r="16" spans="1:5" x14ac:dyDescent="0.25">
      <c r="A16" s="15">
        <v>5122</v>
      </c>
      <c r="B16" s="13" t="s">
        <v>22</v>
      </c>
      <c r="C16" s="16">
        <v>16285324</v>
      </c>
      <c r="D16" s="34">
        <v>283.8775</v>
      </c>
      <c r="E16" s="16">
        <v>57367.434897094696</v>
      </c>
    </row>
    <row r="17" spans="1:5" x14ac:dyDescent="0.25">
      <c r="A17" s="15">
        <v>5123</v>
      </c>
      <c r="B17" s="13" t="s">
        <v>23</v>
      </c>
      <c r="C17" s="16">
        <v>187586165</v>
      </c>
      <c r="D17" s="34">
        <v>1750.5808</v>
      </c>
      <c r="E17" s="16">
        <v>107156.53056402766</v>
      </c>
    </row>
    <row r="18" spans="1:5" x14ac:dyDescent="0.25">
      <c r="A18" s="15">
        <v>5124</v>
      </c>
      <c r="B18" s="13" t="s">
        <v>24</v>
      </c>
      <c r="C18" s="16">
        <v>31897358</v>
      </c>
      <c r="D18" s="34">
        <v>604.7645</v>
      </c>
      <c r="E18" s="16">
        <v>52743.436494701658</v>
      </c>
    </row>
    <row r="19" spans="1:5" x14ac:dyDescent="0.25">
      <c r="A19" s="15">
        <v>5127</v>
      </c>
      <c r="B19" s="13" t="s">
        <v>25</v>
      </c>
      <c r="C19" s="16">
        <v>77241554</v>
      </c>
      <c r="D19" s="34">
        <v>173.26220000000001</v>
      </c>
      <c r="E19" s="16">
        <v>445807.30245835503</v>
      </c>
    </row>
    <row r="20" spans="1:5" x14ac:dyDescent="0.25">
      <c r="A20" s="15">
        <v>5128</v>
      </c>
      <c r="B20" s="13" t="s">
        <v>26</v>
      </c>
      <c r="C20" s="16">
        <v>194101935</v>
      </c>
      <c r="D20" s="34">
        <v>2285.8094999999998</v>
      </c>
      <c r="E20" s="16">
        <v>84916.059277905704</v>
      </c>
    </row>
    <row r="21" spans="1:5" x14ac:dyDescent="0.25">
      <c r="A21" s="15">
        <v>6101</v>
      </c>
      <c r="B21" s="13" t="s">
        <v>27</v>
      </c>
      <c r="C21" s="16">
        <v>36367676</v>
      </c>
      <c r="D21" s="34">
        <v>345.6952</v>
      </c>
      <c r="E21" s="16">
        <v>105201.56484672046</v>
      </c>
    </row>
    <row r="22" spans="1:5" x14ac:dyDescent="0.25">
      <c r="A22" s="15">
        <v>6103</v>
      </c>
      <c r="B22" s="13" t="s">
        <v>28</v>
      </c>
      <c r="C22" s="16">
        <v>20235394</v>
      </c>
      <c r="D22" s="34">
        <v>187.84379999999999</v>
      </c>
      <c r="E22" s="16">
        <v>107724.57754794143</v>
      </c>
    </row>
    <row r="23" spans="1:5" x14ac:dyDescent="0.25">
      <c r="A23" s="15">
        <v>6104</v>
      </c>
      <c r="B23" s="13" t="s">
        <v>29</v>
      </c>
      <c r="C23" s="16">
        <v>100960633</v>
      </c>
      <c r="D23" s="34">
        <v>1181.2427</v>
      </c>
      <c r="E23" s="16">
        <v>85469.847136409822</v>
      </c>
    </row>
    <row r="24" spans="1:5" x14ac:dyDescent="0.25">
      <c r="A24" s="15">
        <v>7121</v>
      </c>
      <c r="B24" s="13" t="s">
        <v>30</v>
      </c>
      <c r="C24" s="16">
        <v>18504490</v>
      </c>
      <c r="D24" s="34">
        <v>168.51560000000001</v>
      </c>
      <c r="E24" s="16">
        <v>109808.76547927907</v>
      </c>
    </row>
    <row r="25" spans="1:5" x14ac:dyDescent="0.25">
      <c r="A25" s="15">
        <v>7122</v>
      </c>
      <c r="B25" s="13" t="s">
        <v>31</v>
      </c>
      <c r="C25" s="16">
        <v>12102278</v>
      </c>
      <c r="D25" s="34">
        <v>109.2681</v>
      </c>
      <c r="E25" s="16">
        <v>110757.65021996356</v>
      </c>
    </row>
    <row r="26" spans="1:5" x14ac:dyDescent="0.25">
      <c r="A26" s="15">
        <v>7123</v>
      </c>
      <c r="B26" s="13" t="s">
        <v>32</v>
      </c>
      <c r="C26" s="16">
        <v>44351007</v>
      </c>
      <c r="D26" s="34">
        <v>656.04</v>
      </c>
      <c r="E26" s="16">
        <v>67604.120175599048</v>
      </c>
    </row>
    <row r="27" spans="1:5" x14ac:dyDescent="0.25">
      <c r="A27" s="15">
        <v>7124</v>
      </c>
      <c r="B27" s="13" t="s">
        <v>33</v>
      </c>
      <c r="C27" s="16">
        <v>24621863</v>
      </c>
      <c r="D27" s="34">
        <v>305.62869999999998</v>
      </c>
      <c r="E27" s="16">
        <v>80561.357621192001</v>
      </c>
    </row>
    <row r="28" spans="1:5" x14ac:dyDescent="0.25">
      <c r="A28" s="15">
        <v>7125</v>
      </c>
      <c r="B28" s="13" t="s">
        <v>34</v>
      </c>
      <c r="C28" s="16">
        <v>8510231</v>
      </c>
      <c r="D28" s="34">
        <v>128.45509999999999</v>
      </c>
      <c r="E28" s="16">
        <v>66250.627651218208</v>
      </c>
    </row>
    <row r="29" spans="1:5" x14ac:dyDescent="0.25">
      <c r="A29" s="15">
        <v>7126</v>
      </c>
      <c r="B29" s="13" t="s">
        <v>35</v>
      </c>
      <c r="C29" s="16">
        <v>7763304</v>
      </c>
      <c r="D29" s="34">
        <v>52.380899999999997</v>
      </c>
      <c r="E29" s="16">
        <v>148208.67911777002</v>
      </c>
    </row>
    <row r="30" spans="1:5" x14ac:dyDescent="0.25">
      <c r="A30" s="15">
        <v>7129</v>
      </c>
      <c r="B30" s="13" t="s">
        <v>36</v>
      </c>
      <c r="C30" s="16">
        <v>76572150</v>
      </c>
      <c r="D30" s="34">
        <v>880.42129999999997</v>
      </c>
      <c r="E30" s="16">
        <v>86972.168892324626</v>
      </c>
    </row>
    <row r="31" spans="1:5" x14ac:dyDescent="0.25">
      <c r="A31" s="15">
        <v>8106</v>
      </c>
      <c r="B31" s="13" t="s">
        <v>37</v>
      </c>
      <c r="C31" s="16">
        <v>49167761</v>
      </c>
      <c r="D31" s="34">
        <v>458.47579999999999</v>
      </c>
      <c r="E31" s="16">
        <v>107241.78026408373</v>
      </c>
    </row>
    <row r="32" spans="1:5" x14ac:dyDescent="0.25">
      <c r="A32" s="15">
        <v>8107</v>
      </c>
      <c r="B32" s="13" t="s">
        <v>38</v>
      </c>
      <c r="C32" s="16">
        <v>160551966</v>
      </c>
      <c r="D32" s="34">
        <v>1136.1025999999999</v>
      </c>
      <c r="E32" s="16">
        <v>141318.19256465041</v>
      </c>
    </row>
    <row r="33" spans="1:5" x14ac:dyDescent="0.25">
      <c r="A33" s="15">
        <v>8111</v>
      </c>
      <c r="B33" s="13" t="s">
        <v>39</v>
      </c>
      <c r="C33" s="16">
        <v>63445344</v>
      </c>
      <c r="D33" s="34">
        <v>665.55920000000003</v>
      </c>
      <c r="E33" s="16">
        <v>95326.372169447888</v>
      </c>
    </row>
    <row r="34" spans="1:5" x14ac:dyDescent="0.25">
      <c r="A34" s="15">
        <v>9077</v>
      </c>
      <c r="B34" s="13" t="s">
        <v>40</v>
      </c>
      <c r="C34" s="16">
        <v>43243343</v>
      </c>
      <c r="D34" s="34">
        <v>480.14670000000001</v>
      </c>
      <c r="E34" s="16">
        <v>90062.772481826905</v>
      </c>
    </row>
    <row r="35" spans="1:5" x14ac:dyDescent="0.25">
      <c r="A35" s="15">
        <v>9078</v>
      </c>
      <c r="B35" s="13" t="s">
        <v>41</v>
      </c>
      <c r="C35" s="16">
        <v>10985735</v>
      </c>
      <c r="D35" s="34">
        <v>187.6909</v>
      </c>
      <c r="E35" s="16">
        <v>58530.994310326183</v>
      </c>
    </row>
    <row r="36" spans="1:5" x14ac:dyDescent="0.25">
      <c r="A36" s="15">
        <v>9079</v>
      </c>
      <c r="B36" s="13" t="s">
        <v>42</v>
      </c>
      <c r="C36" s="16">
        <v>15133261</v>
      </c>
      <c r="D36" s="34">
        <v>216.86349999999999</v>
      </c>
      <c r="E36" s="16">
        <v>69782.425350508507</v>
      </c>
    </row>
    <row r="37" spans="1:5" x14ac:dyDescent="0.25">
      <c r="A37" s="15">
        <v>9080</v>
      </c>
      <c r="B37" s="13" t="s">
        <v>43</v>
      </c>
      <c r="C37" s="16">
        <v>62837397</v>
      </c>
      <c r="D37" s="34">
        <v>821.77570000000003</v>
      </c>
      <c r="E37" s="16">
        <v>76465.387087985204</v>
      </c>
    </row>
    <row r="38" spans="1:5" x14ac:dyDescent="0.25">
      <c r="A38" s="15">
        <v>10087</v>
      </c>
      <c r="B38" s="13" t="s">
        <v>44</v>
      </c>
      <c r="C38" s="16">
        <v>147040963</v>
      </c>
      <c r="D38" s="34">
        <v>1764.7641000000001</v>
      </c>
      <c r="E38" s="16">
        <v>83320.463624571683</v>
      </c>
    </row>
    <row r="39" spans="1:5" x14ac:dyDescent="0.25">
      <c r="A39" s="15">
        <v>10089</v>
      </c>
      <c r="B39" s="13" t="s">
        <v>45</v>
      </c>
      <c r="C39" s="16">
        <v>94333026</v>
      </c>
      <c r="D39" s="34">
        <v>1391.4411</v>
      </c>
      <c r="E39" s="16">
        <v>67795.198805037449</v>
      </c>
    </row>
    <row r="40" spans="1:5" x14ac:dyDescent="0.25">
      <c r="A40" s="15">
        <v>10090</v>
      </c>
      <c r="B40" s="13" t="s">
        <v>46</v>
      </c>
      <c r="C40" s="16">
        <v>41411911</v>
      </c>
      <c r="D40" s="34">
        <v>381.23379999999997</v>
      </c>
      <c r="E40" s="16">
        <v>108626.02161718086</v>
      </c>
    </row>
    <row r="41" spans="1:5" x14ac:dyDescent="0.25">
      <c r="A41" s="15">
        <v>10091</v>
      </c>
      <c r="B41" s="13" t="s">
        <v>47</v>
      </c>
      <c r="C41" s="16">
        <v>112550022</v>
      </c>
      <c r="D41" s="34">
        <v>1334.6387</v>
      </c>
      <c r="E41" s="16">
        <v>84329.955365448346</v>
      </c>
    </row>
    <row r="42" spans="1:5" x14ac:dyDescent="0.25">
      <c r="A42" s="15">
        <v>10092</v>
      </c>
      <c r="B42" s="13" t="s">
        <v>48</v>
      </c>
      <c r="C42" s="16">
        <v>45415852</v>
      </c>
      <c r="D42" s="34">
        <v>554.7355</v>
      </c>
      <c r="E42" s="16">
        <v>81869.380993284183</v>
      </c>
    </row>
    <row r="43" spans="1:5" x14ac:dyDescent="0.25">
      <c r="A43" s="15">
        <v>10093</v>
      </c>
      <c r="B43" s="13" t="s">
        <v>49</v>
      </c>
      <c r="C43" s="16">
        <v>2615231741</v>
      </c>
      <c r="D43" s="34">
        <v>17570.497899999998</v>
      </c>
      <c r="E43" s="16">
        <v>148842.21015728873</v>
      </c>
    </row>
    <row r="44" spans="1:5" x14ac:dyDescent="0.25">
      <c r="A44" s="15">
        <v>11076</v>
      </c>
      <c r="B44" s="13" t="s">
        <v>50</v>
      </c>
      <c r="C44" s="16">
        <v>69579392</v>
      </c>
      <c r="D44" s="34">
        <v>694.03949999999998</v>
      </c>
      <c r="E44" s="16">
        <v>100252.78388333805</v>
      </c>
    </row>
    <row r="45" spans="1:5" x14ac:dyDescent="0.25">
      <c r="A45" s="15">
        <v>11078</v>
      </c>
      <c r="B45" s="13" t="s">
        <v>51</v>
      </c>
      <c r="C45" s="16">
        <v>68789427</v>
      </c>
      <c r="D45" s="34">
        <v>711.55029999999999</v>
      </c>
      <c r="E45" s="16">
        <v>96675.424070511959</v>
      </c>
    </row>
    <row r="46" spans="1:5" x14ac:dyDescent="0.25">
      <c r="A46" s="15">
        <v>11079</v>
      </c>
      <c r="B46" s="13" t="s">
        <v>52</v>
      </c>
      <c r="C46" s="16">
        <v>22130905</v>
      </c>
      <c r="D46" s="34">
        <v>274.06709999999998</v>
      </c>
      <c r="E46" s="16">
        <v>80749.951380519589</v>
      </c>
    </row>
    <row r="47" spans="1:5" x14ac:dyDescent="0.25">
      <c r="A47" s="15">
        <v>11082</v>
      </c>
      <c r="B47" s="13" t="s">
        <v>53</v>
      </c>
      <c r="C47" s="16">
        <v>1116295741</v>
      </c>
      <c r="D47" s="34">
        <v>10490.411099999999</v>
      </c>
      <c r="E47" s="16">
        <v>106411.05771345797</v>
      </c>
    </row>
    <row r="48" spans="1:5" x14ac:dyDescent="0.25">
      <c r="A48" s="15">
        <v>12108</v>
      </c>
      <c r="B48" s="13" t="s">
        <v>54</v>
      </c>
      <c r="C48" s="16">
        <v>41068325</v>
      </c>
      <c r="D48" s="34">
        <v>567.64869999999996</v>
      </c>
      <c r="E48" s="16">
        <v>72348.135387256247</v>
      </c>
    </row>
    <row r="49" spans="1:5" x14ac:dyDescent="0.25">
      <c r="A49" s="15">
        <v>12109</v>
      </c>
      <c r="B49" s="13" t="s">
        <v>55</v>
      </c>
      <c r="C49" s="16">
        <v>467975544</v>
      </c>
      <c r="D49" s="34">
        <v>4798.4722000000002</v>
      </c>
      <c r="E49" s="16">
        <v>97525.946696117142</v>
      </c>
    </row>
    <row r="50" spans="1:5" x14ac:dyDescent="0.25">
      <c r="A50" s="15">
        <v>12110</v>
      </c>
      <c r="B50" s="13" t="s">
        <v>56</v>
      </c>
      <c r="C50" s="16">
        <v>68485194</v>
      </c>
      <c r="D50" s="34">
        <v>866.92759999999998</v>
      </c>
      <c r="E50" s="16">
        <v>78997.59333997441</v>
      </c>
    </row>
    <row r="51" spans="1:5" x14ac:dyDescent="0.25">
      <c r="A51" s="15">
        <v>13054</v>
      </c>
      <c r="B51" s="13" t="s">
        <v>57</v>
      </c>
      <c r="C51" s="16">
        <v>7563103</v>
      </c>
      <c r="D51" s="34">
        <v>57.521900000000002</v>
      </c>
      <c r="E51" s="16">
        <v>131482.14853820892</v>
      </c>
    </row>
    <row r="52" spans="1:5" x14ac:dyDescent="0.25">
      <c r="A52" s="15">
        <v>13055</v>
      </c>
      <c r="B52" s="13" t="s">
        <v>58</v>
      </c>
      <c r="C52" s="16">
        <v>44449491</v>
      </c>
      <c r="D52" s="34">
        <v>628.12789999999995</v>
      </c>
      <c r="E52" s="16">
        <v>70765.032089802102</v>
      </c>
    </row>
    <row r="53" spans="1:5" x14ac:dyDescent="0.25">
      <c r="A53" s="15">
        <v>13057</v>
      </c>
      <c r="B53" s="13" t="s">
        <v>59</v>
      </c>
      <c r="C53" s="16">
        <v>4567280</v>
      </c>
      <c r="D53" s="34">
        <v>39.713099999999997</v>
      </c>
      <c r="E53" s="16">
        <v>115006.88689626346</v>
      </c>
    </row>
    <row r="54" spans="1:5" x14ac:dyDescent="0.25">
      <c r="A54" s="15">
        <v>13058</v>
      </c>
      <c r="B54" s="13" t="s">
        <v>60</v>
      </c>
      <c r="C54" s="16">
        <v>4625100</v>
      </c>
      <c r="D54" s="34">
        <v>51.900199999999998</v>
      </c>
      <c r="E54" s="16">
        <v>89115.263524996059</v>
      </c>
    </row>
    <row r="55" spans="1:5" x14ac:dyDescent="0.25">
      <c r="A55" s="15">
        <v>13059</v>
      </c>
      <c r="B55" s="13" t="s">
        <v>61</v>
      </c>
      <c r="C55" s="16">
        <v>27900380</v>
      </c>
      <c r="D55" s="34">
        <v>367.9554</v>
      </c>
      <c r="E55" s="16">
        <v>75825.439713617467</v>
      </c>
    </row>
    <row r="56" spans="1:5" x14ac:dyDescent="0.25">
      <c r="A56" s="15">
        <v>13060</v>
      </c>
      <c r="B56" s="13" t="s">
        <v>62</v>
      </c>
      <c r="C56" s="16">
        <v>5829020</v>
      </c>
      <c r="D56" s="34">
        <v>43.961199999999998</v>
      </c>
      <c r="E56" s="16">
        <v>132594.65164736178</v>
      </c>
    </row>
    <row r="57" spans="1:5" x14ac:dyDescent="0.25">
      <c r="A57" s="15">
        <v>13061</v>
      </c>
      <c r="B57" s="13" t="s">
        <v>63</v>
      </c>
      <c r="C57" s="16">
        <v>21240948</v>
      </c>
      <c r="D57" s="34">
        <v>270.63529999999997</v>
      </c>
      <c r="E57" s="16">
        <v>78485.504293046775</v>
      </c>
    </row>
    <row r="58" spans="1:5" x14ac:dyDescent="0.25">
      <c r="A58" s="15">
        <v>13062</v>
      </c>
      <c r="B58" s="13" t="s">
        <v>64</v>
      </c>
      <c r="C58" s="16">
        <v>5243490</v>
      </c>
      <c r="D58" s="34">
        <v>37.232100000000003</v>
      </c>
      <c r="E58" s="16">
        <v>140832.50743310206</v>
      </c>
    </row>
    <row r="59" spans="1:5" x14ac:dyDescent="0.25">
      <c r="A59" s="15">
        <v>14126</v>
      </c>
      <c r="B59" s="13" t="s">
        <v>65</v>
      </c>
      <c r="C59" s="16">
        <v>119578844</v>
      </c>
      <c r="D59" s="34">
        <v>1005.3726</v>
      </c>
      <c r="E59" s="16">
        <v>118939.827880728</v>
      </c>
    </row>
    <row r="60" spans="1:5" x14ac:dyDescent="0.25">
      <c r="A60" s="15">
        <v>14127</v>
      </c>
      <c r="B60" s="13" t="s">
        <v>66</v>
      </c>
      <c r="C60" s="16">
        <v>59910134</v>
      </c>
      <c r="D60" s="34">
        <v>653.91759999999999</v>
      </c>
      <c r="E60" s="16">
        <v>91617.252693611546</v>
      </c>
    </row>
    <row r="61" spans="1:5" x14ac:dyDescent="0.25">
      <c r="A61" s="15">
        <v>14129</v>
      </c>
      <c r="B61" s="13" t="s">
        <v>67</v>
      </c>
      <c r="C61" s="16">
        <v>227692228</v>
      </c>
      <c r="D61" s="34">
        <v>2126.2743999999998</v>
      </c>
      <c r="E61" s="16">
        <v>107085.06296271076</v>
      </c>
    </row>
    <row r="62" spans="1:5" x14ac:dyDescent="0.25">
      <c r="A62" s="15">
        <v>14130</v>
      </c>
      <c r="B62" s="13" t="s">
        <v>68</v>
      </c>
      <c r="C62" s="16">
        <v>321022813</v>
      </c>
      <c r="D62" s="34">
        <v>734.27610000000004</v>
      </c>
      <c r="E62" s="16">
        <v>437196.32574177475</v>
      </c>
    </row>
    <row r="63" spans="1:5" x14ac:dyDescent="0.25">
      <c r="A63" s="15">
        <v>15001</v>
      </c>
      <c r="B63" s="13" t="s">
        <v>69</v>
      </c>
      <c r="C63" s="16">
        <v>27910622</v>
      </c>
      <c r="D63" s="34">
        <v>395.48590000000002</v>
      </c>
      <c r="E63" s="16">
        <v>70572.988822104657</v>
      </c>
    </row>
    <row r="64" spans="1:5" x14ac:dyDescent="0.25">
      <c r="A64" s="15">
        <v>15002</v>
      </c>
      <c r="B64" s="13" t="s">
        <v>70</v>
      </c>
      <c r="C64" s="16">
        <v>1199024955</v>
      </c>
      <c r="D64" s="34">
        <v>3809.6873999999998</v>
      </c>
      <c r="E64" s="16">
        <v>314730.53537148482</v>
      </c>
    </row>
    <row r="65" spans="1:5" x14ac:dyDescent="0.25">
      <c r="A65" s="15">
        <v>15003</v>
      </c>
      <c r="B65" s="13" t="s">
        <v>71</v>
      </c>
      <c r="C65" s="16">
        <v>97230046</v>
      </c>
      <c r="D65" s="34">
        <v>165.79060000000001</v>
      </c>
      <c r="E65" s="16">
        <v>586462.95990243112</v>
      </c>
    </row>
    <row r="66" spans="1:5" x14ac:dyDescent="0.25">
      <c r="A66" s="15">
        <v>15004</v>
      </c>
      <c r="B66" s="13" t="s">
        <v>72</v>
      </c>
      <c r="C66" s="16">
        <v>34542650</v>
      </c>
      <c r="D66" s="34">
        <v>304.03039999999999</v>
      </c>
      <c r="E66" s="16">
        <v>113615.77658023672</v>
      </c>
    </row>
    <row r="67" spans="1:5" x14ac:dyDescent="0.25">
      <c r="A67" s="15">
        <v>16090</v>
      </c>
      <c r="B67" s="13" t="s">
        <v>73</v>
      </c>
      <c r="C67" s="16">
        <v>555975260</v>
      </c>
      <c r="D67" s="34">
        <v>4939.8216000000002</v>
      </c>
      <c r="E67" s="16">
        <v>112549.66373684426</v>
      </c>
    </row>
    <row r="68" spans="1:5" x14ac:dyDescent="0.25">
      <c r="A68" s="15">
        <v>16092</v>
      </c>
      <c r="B68" s="13" t="s">
        <v>74</v>
      </c>
      <c r="C68" s="16">
        <v>24397072</v>
      </c>
      <c r="D68" s="34">
        <v>195.4554</v>
      </c>
      <c r="E68" s="16">
        <v>124821.68310519945</v>
      </c>
    </row>
    <row r="69" spans="1:5" x14ac:dyDescent="0.25">
      <c r="A69" s="15">
        <v>16094</v>
      </c>
      <c r="B69" s="13" t="s">
        <v>75</v>
      </c>
      <c r="C69" s="16">
        <v>30365345</v>
      </c>
      <c r="D69" s="34">
        <v>347.61369999999999</v>
      </c>
      <c r="E69" s="16">
        <v>87353.706139890346</v>
      </c>
    </row>
    <row r="70" spans="1:5" x14ac:dyDescent="0.25">
      <c r="A70" s="15">
        <v>16096</v>
      </c>
      <c r="B70" s="13" t="s">
        <v>76</v>
      </c>
      <c r="C70" s="16">
        <v>685307387</v>
      </c>
      <c r="D70" s="34">
        <v>3889.819</v>
      </c>
      <c r="E70" s="16">
        <v>176179.76234883937</v>
      </c>
    </row>
    <row r="71" spans="1:5" x14ac:dyDescent="0.25">
      <c r="A71" s="15">
        <v>16097</v>
      </c>
      <c r="B71" s="13" t="s">
        <v>77</v>
      </c>
      <c r="C71" s="16">
        <v>54514130</v>
      </c>
      <c r="D71" s="34">
        <v>321.35939999999999</v>
      </c>
      <c r="E71" s="16">
        <v>169636.02122732368</v>
      </c>
    </row>
    <row r="72" spans="1:5" x14ac:dyDescent="0.25">
      <c r="A72" s="15">
        <v>17121</v>
      </c>
      <c r="B72" s="13" t="s">
        <v>78</v>
      </c>
      <c r="C72" s="16">
        <v>9506257</v>
      </c>
      <c r="D72" s="34">
        <v>126.3416</v>
      </c>
      <c r="E72" s="16">
        <v>75242.493367188639</v>
      </c>
    </row>
    <row r="73" spans="1:5" x14ac:dyDescent="0.25">
      <c r="A73" s="15">
        <v>17122</v>
      </c>
      <c r="B73" s="13" t="s">
        <v>79</v>
      </c>
      <c r="C73" s="16">
        <v>11916122</v>
      </c>
      <c r="D73" s="34">
        <v>126.9076</v>
      </c>
      <c r="E73" s="16">
        <v>93896.047202846792</v>
      </c>
    </row>
    <row r="74" spans="1:5" x14ac:dyDescent="0.25">
      <c r="A74" s="15">
        <v>17124</v>
      </c>
      <c r="B74" s="13" t="s">
        <v>80</v>
      </c>
      <c r="C74" s="16">
        <v>8608091</v>
      </c>
      <c r="D74" s="34">
        <v>44.186700000000002</v>
      </c>
      <c r="E74" s="16">
        <v>194811.80988849586</v>
      </c>
    </row>
    <row r="75" spans="1:5" x14ac:dyDescent="0.25">
      <c r="A75" s="15">
        <v>17125</v>
      </c>
      <c r="B75" s="13" t="s">
        <v>81</v>
      </c>
      <c r="C75" s="16">
        <v>69833840</v>
      </c>
      <c r="D75" s="34">
        <v>837.81820000000005</v>
      </c>
      <c r="E75" s="16">
        <v>83352.020760589818</v>
      </c>
    </row>
    <row r="76" spans="1:5" x14ac:dyDescent="0.25">
      <c r="A76" s="15">
        <v>17126</v>
      </c>
      <c r="B76" s="13" t="s">
        <v>82</v>
      </c>
      <c r="C76" s="16">
        <v>18077982</v>
      </c>
      <c r="D76" s="34">
        <v>166.08349999999999</v>
      </c>
      <c r="E76" s="16">
        <v>108848.7537895095</v>
      </c>
    </row>
    <row r="77" spans="1:5" x14ac:dyDescent="0.25">
      <c r="A77" s="15">
        <v>18047</v>
      </c>
      <c r="B77" s="13" t="s">
        <v>83</v>
      </c>
      <c r="C77" s="16">
        <v>42587543</v>
      </c>
      <c r="D77" s="34">
        <v>619.14729999999997</v>
      </c>
      <c r="E77" s="16">
        <v>68784.185927968996</v>
      </c>
    </row>
    <row r="78" spans="1:5" x14ac:dyDescent="0.25">
      <c r="A78" s="15">
        <v>18050</v>
      </c>
      <c r="B78" s="13" t="s">
        <v>84</v>
      </c>
      <c r="C78" s="16">
        <v>42848960</v>
      </c>
      <c r="D78" s="34">
        <v>479.93389999999999</v>
      </c>
      <c r="E78" s="16">
        <v>89280.961399059335</v>
      </c>
    </row>
    <row r="79" spans="1:5" x14ac:dyDescent="0.25">
      <c r="A79" s="15">
        <v>19139</v>
      </c>
      <c r="B79" s="13" t="s">
        <v>85</v>
      </c>
      <c r="C79" s="16">
        <v>39505837</v>
      </c>
      <c r="D79" s="34">
        <v>481.35230000000001</v>
      </c>
      <c r="E79" s="16">
        <v>82072.604618280617</v>
      </c>
    </row>
    <row r="80" spans="1:5" x14ac:dyDescent="0.25">
      <c r="A80" s="15">
        <v>19140</v>
      </c>
      <c r="B80" s="13" t="s">
        <v>86</v>
      </c>
      <c r="C80" s="16">
        <v>16014712</v>
      </c>
      <c r="D80" s="34">
        <v>151.67060000000001</v>
      </c>
      <c r="E80" s="16">
        <v>105588.76934620156</v>
      </c>
    </row>
    <row r="81" spans="1:5" x14ac:dyDescent="0.25">
      <c r="A81" s="15">
        <v>19142</v>
      </c>
      <c r="B81" s="13" t="s">
        <v>87</v>
      </c>
      <c r="C81" s="16">
        <v>642824243</v>
      </c>
      <c r="D81" s="34">
        <v>6096.4256999999998</v>
      </c>
      <c r="E81" s="16">
        <v>105442.80774224806</v>
      </c>
    </row>
    <row r="82" spans="1:5" x14ac:dyDescent="0.25">
      <c r="A82" s="15">
        <v>19144</v>
      </c>
      <c r="B82" s="13" t="s">
        <v>88</v>
      </c>
      <c r="C82" s="16">
        <v>63268121</v>
      </c>
      <c r="D82" s="34">
        <v>759.85440000000006</v>
      </c>
      <c r="E82" s="16">
        <v>83263.479161270894</v>
      </c>
    </row>
    <row r="83" spans="1:5" x14ac:dyDescent="0.25">
      <c r="A83" s="15">
        <v>19147</v>
      </c>
      <c r="B83" s="13" t="s">
        <v>89</v>
      </c>
      <c r="C83" s="16">
        <v>17422529</v>
      </c>
      <c r="D83" s="34">
        <v>139.99039999999999</v>
      </c>
      <c r="E83" s="16">
        <v>124455.16978307084</v>
      </c>
    </row>
    <row r="84" spans="1:5" x14ac:dyDescent="0.25">
      <c r="A84" s="15">
        <v>19148</v>
      </c>
      <c r="B84" s="13" t="s">
        <v>90</v>
      </c>
      <c r="C84" s="16">
        <v>184102533</v>
      </c>
      <c r="D84" s="34">
        <v>2096.8751999999999</v>
      </c>
      <c r="E84" s="16">
        <v>87798.517050514027</v>
      </c>
    </row>
    <row r="85" spans="1:5" x14ac:dyDescent="0.25">
      <c r="A85" s="15">
        <v>19149</v>
      </c>
      <c r="B85" s="13" t="s">
        <v>91</v>
      </c>
      <c r="C85" s="16">
        <v>228947529</v>
      </c>
      <c r="D85" s="34">
        <v>2150.2076999999999</v>
      </c>
      <c r="E85" s="16">
        <v>106476.93662337829</v>
      </c>
    </row>
    <row r="86" spans="1:5" x14ac:dyDescent="0.25">
      <c r="A86" s="15">
        <v>19150</v>
      </c>
      <c r="B86" s="13" t="s">
        <v>92</v>
      </c>
      <c r="C86" s="16">
        <v>22117334</v>
      </c>
      <c r="D86" s="34">
        <v>267.35950000000003</v>
      </c>
      <c r="E86" s="16">
        <v>82725.07242121562</v>
      </c>
    </row>
    <row r="87" spans="1:5" x14ac:dyDescent="0.25">
      <c r="A87" s="15">
        <v>19151</v>
      </c>
      <c r="B87" s="13" t="s">
        <v>93</v>
      </c>
      <c r="C87" s="16">
        <v>49285694</v>
      </c>
      <c r="D87" s="34">
        <v>416.61340000000001</v>
      </c>
      <c r="E87" s="16">
        <v>118300.78917288786</v>
      </c>
    </row>
    <row r="88" spans="1:5" x14ac:dyDescent="0.25">
      <c r="A88" s="15">
        <v>19152</v>
      </c>
      <c r="B88" s="13" t="s">
        <v>94</v>
      </c>
      <c r="C88" s="16">
        <v>391812056</v>
      </c>
      <c r="D88" s="34">
        <v>4295.5681000000004</v>
      </c>
      <c r="E88" s="16">
        <v>91213.093793112013</v>
      </c>
    </row>
    <row r="89" spans="1:5" x14ac:dyDescent="0.25">
      <c r="A89" s="15">
        <v>20001</v>
      </c>
      <c r="B89" s="13" t="s">
        <v>95</v>
      </c>
      <c r="C89" s="16">
        <v>97522772</v>
      </c>
      <c r="D89" s="34">
        <v>940.11689999999999</v>
      </c>
      <c r="E89" s="16">
        <v>103734.72915974598</v>
      </c>
    </row>
    <row r="90" spans="1:5" x14ac:dyDescent="0.25">
      <c r="A90" s="15">
        <v>20002</v>
      </c>
      <c r="B90" s="13" t="s">
        <v>96</v>
      </c>
      <c r="C90" s="16">
        <v>96068458</v>
      </c>
      <c r="D90" s="34">
        <v>1123.3118999999999</v>
      </c>
      <c r="E90" s="16">
        <v>85522.514272304965</v>
      </c>
    </row>
    <row r="91" spans="1:5" x14ac:dyDescent="0.25">
      <c r="A91" s="15">
        <v>21148</v>
      </c>
      <c r="B91" s="13" t="s">
        <v>97</v>
      </c>
      <c r="C91" s="16">
        <v>18302510</v>
      </c>
      <c r="D91" s="34">
        <v>124.9432</v>
      </c>
      <c r="E91" s="16">
        <v>146486.64353082041</v>
      </c>
    </row>
    <row r="92" spans="1:5" x14ac:dyDescent="0.25">
      <c r="A92" s="15">
        <v>21149</v>
      </c>
      <c r="B92" s="13" t="s">
        <v>98</v>
      </c>
      <c r="C92" s="16">
        <v>23544797</v>
      </c>
      <c r="D92" s="34">
        <v>227.06389999999999</v>
      </c>
      <c r="E92" s="16">
        <v>103692.38350966403</v>
      </c>
    </row>
    <row r="93" spans="1:5" x14ac:dyDescent="0.25">
      <c r="A93" s="15">
        <v>21150</v>
      </c>
      <c r="B93" s="13" t="s">
        <v>99</v>
      </c>
      <c r="C93" s="16">
        <v>18940230</v>
      </c>
      <c r="D93" s="34">
        <v>112.968</v>
      </c>
      <c r="E93" s="16">
        <v>167660.13384321224</v>
      </c>
    </row>
    <row r="94" spans="1:5" x14ac:dyDescent="0.25">
      <c r="A94" s="15">
        <v>21151</v>
      </c>
      <c r="B94" s="13" t="s">
        <v>100</v>
      </c>
      <c r="C94" s="16">
        <v>56342920</v>
      </c>
      <c r="D94" s="34">
        <v>430.4889</v>
      </c>
      <c r="E94" s="16">
        <v>130881.23758823979</v>
      </c>
    </row>
    <row r="95" spans="1:5" x14ac:dyDescent="0.25">
      <c r="A95" s="15">
        <v>22088</v>
      </c>
      <c r="B95" s="13" t="s">
        <v>101</v>
      </c>
      <c r="C95" s="16">
        <v>14524788</v>
      </c>
      <c r="D95" s="34">
        <v>232.69499999999999</v>
      </c>
      <c r="E95" s="16">
        <v>62419.854315735189</v>
      </c>
    </row>
    <row r="96" spans="1:5" x14ac:dyDescent="0.25">
      <c r="A96" s="15">
        <v>22089</v>
      </c>
      <c r="B96" s="13" t="s">
        <v>102</v>
      </c>
      <c r="C96" s="16">
        <v>507202241</v>
      </c>
      <c r="D96" s="34">
        <v>6027.4081999999999</v>
      </c>
      <c r="E96" s="16">
        <v>84149.30998036603</v>
      </c>
    </row>
    <row r="97" spans="1:5" x14ac:dyDescent="0.25">
      <c r="A97" s="15">
        <v>22090</v>
      </c>
      <c r="B97" s="13" t="s">
        <v>103</v>
      </c>
      <c r="C97" s="16">
        <v>44190103</v>
      </c>
      <c r="D97" s="34">
        <v>686.09569999999997</v>
      </c>
      <c r="E97" s="16">
        <v>64408.074558694949</v>
      </c>
    </row>
    <row r="98" spans="1:5" x14ac:dyDescent="0.25">
      <c r="A98" s="15">
        <v>22091</v>
      </c>
      <c r="B98" s="13" t="s">
        <v>104</v>
      </c>
      <c r="C98" s="16">
        <v>38481742</v>
      </c>
      <c r="D98" s="34">
        <v>376.92099999999999</v>
      </c>
      <c r="E98" s="16">
        <v>102094.98011519655</v>
      </c>
    </row>
    <row r="99" spans="1:5" x14ac:dyDescent="0.25">
      <c r="A99" s="15">
        <v>22092</v>
      </c>
      <c r="B99" s="13" t="s">
        <v>105</v>
      </c>
      <c r="C99" s="16">
        <v>78229746</v>
      </c>
      <c r="D99" s="34">
        <v>1200.1965</v>
      </c>
      <c r="E99" s="16">
        <v>65180.7816470053</v>
      </c>
    </row>
    <row r="100" spans="1:5" x14ac:dyDescent="0.25">
      <c r="A100" s="15">
        <v>22093</v>
      </c>
      <c r="B100" s="13" t="s">
        <v>106</v>
      </c>
      <c r="C100" s="16">
        <v>497221631</v>
      </c>
      <c r="D100" s="34">
        <v>5622.4412000000002</v>
      </c>
      <c r="E100" s="16">
        <v>88435.18559162521</v>
      </c>
    </row>
    <row r="101" spans="1:5" x14ac:dyDescent="0.25">
      <c r="A101" s="15">
        <v>22094</v>
      </c>
      <c r="B101" s="13" t="s">
        <v>107</v>
      </c>
      <c r="C101" s="16">
        <v>71207521</v>
      </c>
      <c r="D101" s="34">
        <v>682.03909999999996</v>
      </c>
      <c r="E101" s="16">
        <v>104403.86922098749</v>
      </c>
    </row>
    <row r="102" spans="1:5" x14ac:dyDescent="0.25">
      <c r="A102" s="15">
        <v>23101</v>
      </c>
      <c r="B102" s="13" t="s">
        <v>108</v>
      </c>
      <c r="C102" s="16">
        <v>97680950</v>
      </c>
      <c r="D102" s="34">
        <v>976.60260000000005</v>
      </c>
      <c r="E102" s="16">
        <v>100021.18569006471</v>
      </c>
    </row>
    <row r="103" spans="1:5" x14ac:dyDescent="0.25">
      <c r="A103" s="15">
        <v>24086</v>
      </c>
      <c r="B103" s="13" t="s">
        <v>109</v>
      </c>
      <c r="C103" s="16">
        <v>395854491</v>
      </c>
      <c r="D103" s="34">
        <v>3380.6597000000002</v>
      </c>
      <c r="E103" s="16">
        <v>117093.85922516839</v>
      </c>
    </row>
    <row r="104" spans="1:5" x14ac:dyDescent="0.25">
      <c r="A104" s="15">
        <v>24087</v>
      </c>
      <c r="B104" s="13" t="s">
        <v>110</v>
      </c>
      <c r="C104" s="16">
        <v>273816720</v>
      </c>
      <c r="D104" s="34">
        <v>2564.9196999999999</v>
      </c>
      <c r="E104" s="16">
        <v>106754.49995569063</v>
      </c>
    </row>
    <row r="105" spans="1:5" x14ac:dyDescent="0.25">
      <c r="A105" s="15">
        <v>24089</v>
      </c>
      <c r="B105" s="13" t="s">
        <v>111</v>
      </c>
      <c r="C105" s="16">
        <v>238389098</v>
      </c>
      <c r="D105" s="34">
        <v>2610.4342000000001</v>
      </c>
      <c r="E105" s="16">
        <v>91321.626877245173</v>
      </c>
    </row>
    <row r="106" spans="1:5" x14ac:dyDescent="0.25">
      <c r="A106" s="15">
        <v>24090</v>
      </c>
      <c r="B106" s="13" t="s">
        <v>112</v>
      </c>
      <c r="C106" s="16">
        <v>1069787061</v>
      </c>
      <c r="D106" s="34">
        <v>12326.4292</v>
      </c>
      <c r="E106" s="16">
        <v>86788.074927652196</v>
      </c>
    </row>
    <row r="107" spans="1:5" x14ac:dyDescent="0.25">
      <c r="A107" s="15">
        <v>24091</v>
      </c>
      <c r="B107" s="13" t="s">
        <v>113</v>
      </c>
      <c r="C107" s="16">
        <v>7579529</v>
      </c>
      <c r="D107" s="34">
        <v>28.462</v>
      </c>
      <c r="E107" s="16">
        <v>266303.4572412339</v>
      </c>
    </row>
    <row r="108" spans="1:5" x14ac:dyDescent="0.25">
      <c r="A108" s="15">
        <v>24093</v>
      </c>
      <c r="B108" s="13" t="s">
        <v>114</v>
      </c>
      <c r="C108" s="16">
        <v>2398877044</v>
      </c>
      <c r="D108" s="34">
        <v>20005.301200000002</v>
      </c>
      <c r="E108" s="16">
        <v>119912.06830717449</v>
      </c>
    </row>
    <row r="109" spans="1:5" x14ac:dyDescent="0.25">
      <c r="A109" s="15">
        <v>25001</v>
      </c>
      <c r="B109" s="13" t="s">
        <v>115</v>
      </c>
      <c r="C109" s="16">
        <v>121359375</v>
      </c>
      <c r="D109" s="34">
        <v>1608.7505000000001</v>
      </c>
      <c r="E109" s="16">
        <v>75437.039491207615</v>
      </c>
    </row>
    <row r="110" spans="1:5" x14ac:dyDescent="0.25">
      <c r="A110" s="15">
        <v>25002</v>
      </c>
      <c r="B110" s="13" t="s">
        <v>116</v>
      </c>
      <c r="C110" s="16">
        <v>69481323</v>
      </c>
      <c r="D110" s="34">
        <v>904.93</v>
      </c>
      <c r="E110" s="16">
        <v>76780.88139414099</v>
      </c>
    </row>
    <row r="111" spans="1:5" x14ac:dyDescent="0.25">
      <c r="A111" s="15">
        <v>25003</v>
      </c>
      <c r="B111" s="13" t="s">
        <v>117</v>
      </c>
      <c r="C111" s="16">
        <v>81922797</v>
      </c>
      <c r="D111" s="34">
        <v>589.89790000000005</v>
      </c>
      <c r="E111" s="16">
        <v>138876.23095454313</v>
      </c>
    </row>
    <row r="112" spans="1:5" x14ac:dyDescent="0.25">
      <c r="A112" s="15">
        <v>26001</v>
      </c>
      <c r="B112" s="13" t="s">
        <v>118</v>
      </c>
      <c r="C112" s="16">
        <v>57825723</v>
      </c>
      <c r="D112" s="34">
        <v>586.86469999999997</v>
      </c>
      <c r="E112" s="16">
        <v>98533.31270393329</v>
      </c>
    </row>
    <row r="113" spans="1:5" x14ac:dyDescent="0.25">
      <c r="A113" s="15">
        <v>26002</v>
      </c>
      <c r="B113" s="13" t="s">
        <v>119</v>
      </c>
      <c r="C113" s="16">
        <v>114746990</v>
      </c>
      <c r="D113" s="34">
        <v>1223.3599999999999</v>
      </c>
      <c r="E113" s="16">
        <v>93796.584815589857</v>
      </c>
    </row>
    <row r="114" spans="1:5" x14ac:dyDescent="0.25">
      <c r="A114" s="15">
        <v>26005</v>
      </c>
      <c r="B114" s="13" t="s">
        <v>120</v>
      </c>
      <c r="C114" s="16">
        <v>70930135</v>
      </c>
      <c r="D114" s="34">
        <v>586.93219999999997</v>
      </c>
      <c r="E114" s="16">
        <v>120848.94132576132</v>
      </c>
    </row>
    <row r="115" spans="1:5" x14ac:dyDescent="0.25">
      <c r="A115" s="15">
        <v>26006</v>
      </c>
      <c r="B115" s="13" t="s">
        <v>121</v>
      </c>
      <c r="C115" s="16">
        <v>1337391779</v>
      </c>
      <c r="D115" s="34">
        <v>8314.6808000000001</v>
      </c>
      <c r="E115" s="16">
        <v>160847.03804865244</v>
      </c>
    </row>
    <row r="116" spans="1:5" x14ac:dyDescent="0.25">
      <c r="A116" s="15">
        <v>27055</v>
      </c>
      <c r="B116" s="13" t="s">
        <v>122</v>
      </c>
      <c r="C116" s="16">
        <v>9911934</v>
      </c>
      <c r="D116" s="34">
        <v>146.2097</v>
      </c>
      <c r="E116" s="16">
        <v>67792.588316643829</v>
      </c>
    </row>
    <row r="117" spans="1:5" x14ac:dyDescent="0.25">
      <c r="A117" s="15">
        <v>27056</v>
      </c>
      <c r="B117" s="13" t="s">
        <v>123</v>
      </c>
      <c r="C117" s="16">
        <v>10301560</v>
      </c>
      <c r="D117" s="34">
        <v>95.909000000000006</v>
      </c>
      <c r="E117" s="16">
        <v>107409.7321419262</v>
      </c>
    </row>
    <row r="118" spans="1:5" x14ac:dyDescent="0.25">
      <c r="A118" s="15">
        <v>27057</v>
      </c>
      <c r="B118" s="13" t="s">
        <v>124</v>
      </c>
      <c r="C118" s="16">
        <v>15157667</v>
      </c>
      <c r="D118" s="34">
        <v>138.89169999999999</v>
      </c>
      <c r="E118" s="16">
        <v>109132.99354821059</v>
      </c>
    </row>
    <row r="119" spans="1:5" x14ac:dyDescent="0.25">
      <c r="A119" s="15">
        <v>27058</v>
      </c>
      <c r="B119" s="13" t="s">
        <v>125</v>
      </c>
      <c r="C119" s="16">
        <v>16787270</v>
      </c>
      <c r="D119" s="34">
        <v>212.38120000000001</v>
      </c>
      <c r="E119" s="16">
        <v>79043.107393686441</v>
      </c>
    </row>
    <row r="120" spans="1:5" x14ac:dyDescent="0.25">
      <c r="A120" s="15">
        <v>27059</v>
      </c>
      <c r="B120" s="13" t="s">
        <v>126</v>
      </c>
      <c r="C120" s="16">
        <v>21716770</v>
      </c>
      <c r="D120" s="34">
        <v>205.85300000000001</v>
      </c>
      <c r="E120" s="16">
        <v>105496.49507172593</v>
      </c>
    </row>
    <row r="121" spans="1:5" x14ac:dyDescent="0.25">
      <c r="A121" s="15">
        <v>27061</v>
      </c>
      <c r="B121" s="13" t="s">
        <v>127</v>
      </c>
      <c r="C121" s="16">
        <v>151100603</v>
      </c>
      <c r="D121" s="34">
        <v>1486.8513</v>
      </c>
      <c r="E121" s="16">
        <v>101624.55586513595</v>
      </c>
    </row>
    <row r="122" spans="1:5" x14ac:dyDescent="0.25">
      <c r="A122" s="15">
        <v>28101</v>
      </c>
      <c r="B122" s="13" t="s">
        <v>128</v>
      </c>
      <c r="C122" s="16">
        <v>73679982</v>
      </c>
      <c r="D122" s="34">
        <v>888.32150000000001</v>
      </c>
      <c r="E122" s="16">
        <v>82942.923254700014</v>
      </c>
    </row>
    <row r="123" spans="1:5" x14ac:dyDescent="0.25">
      <c r="A123" s="15">
        <v>28102</v>
      </c>
      <c r="B123" s="13" t="s">
        <v>129</v>
      </c>
      <c r="C123" s="16">
        <v>128712340</v>
      </c>
      <c r="D123" s="34">
        <v>1284.1156000000001</v>
      </c>
      <c r="E123" s="16">
        <v>100234.23124833932</v>
      </c>
    </row>
    <row r="124" spans="1:5" x14ac:dyDescent="0.25">
      <c r="A124" s="15">
        <v>28103</v>
      </c>
      <c r="B124" s="13" t="s">
        <v>130</v>
      </c>
      <c r="C124" s="16">
        <v>66673974</v>
      </c>
      <c r="D124" s="34">
        <v>959.93169999999998</v>
      </c>
      <c r="E124" s="16">
        <v>69456.997825991159</v>
      </c>
    </row>
    <row r="125" spans="1:5" x14ac:dyDescent="0.25">
      <c r="A125" s="15">
        <v>29001</v>
      </c>
      <c r="B125" s="13" t="s">
        <v>131</v>
      </c>
      <c r="C125" s="16">
        <v>34107869</v>
      </c>
      <c r="D125" s="34">
        <v>265.03960000000001</v>
      </c>
      <c r="E125" s="16">
        <v>128689.7090095216</v>
      </c>
    </row>
    <row r="126" spans="1:5" x14ac:dyDescent="0.25">
      <c r="A126" s="15">
        <v>29002</v>
      </c>
      <c r="B126" s="13" t="s">
        <v>132</v>
      </c>
      <c r="C126" s="16">
        <v>12637530</v>
      </c>
      <c r="D126" s="34">
        <v>161.15029999999999</v>
      </c>
      <c r="E126" s="16">
        <v>78420.766203972322</v>
      </c>
    </row>
    <row r="127" spans="1:5" x14ac:dyDescent="0.25">
      <c r="A127" s="15">
        <v>29003</v>
      </c>
      <c r="B127" s="13" t="s">
        <v>133</v>
      </c>
      <c r="C127" s="16">
        <v>12033114</v>
      </c>
      <c r="D127" s="34">
        <v>154.1223</v>
      </c>
      <c r="E127" s="16">
        <v>78075.100099077157</v>
      </c>
    </row>
    <row r="128" spans="1:5" x14ac:dyDescent="0.25">
      <c r="A128" s="15">
        <v>29004</v>
      </c>
      <c r="B128" s="13" t="s">
        <v>134</v>
      </c>
      <c r="C128" s="16">
        <v>41853680</v>
      </c>
      <c r="D128" s="34">
        <v>359.02199999999999</v>
      </c>
      <c r="E128" s="16">
        <v>116576.9228626658</v>
      </c>
    </row>
    <row r="129" spans="1:5" x14ac:dyDescent="0.25">
      <c r="A129" s="15">
        <v>30093</v>
      </c>
      <c r="B129" s="13" t="s">
        <v>135</v>
      </c>
      <c r="C129" s="16">
        <v>132542186</v>
      </c>
      <c r="D129" s="34">
        <v>1617.0565999999999</v>
      </c>
      <c r="E129" s="16">
        <v>81965.087678439959</v>
      </c>
    </row>
    <row r="130" spans="1:5" x14ac:dyDescent="0.25">
      <c r="A130" s="15">
        <v>31116</v>
      </c>
      <c r="B130" s="13" t="s">
        <v>136</v>
      </c>
      <c r="C130" s="16">
        <v>14719583</v>
      </c>
      <c r="D130" s="34">
        <v>190.8459</v>
      </c>
      <c r="E130" s="16">
        <v>77128.107022472061</v>
      </c>
    </row>
    <row r="131" spans="1:5" x14ac:dyDescent="0.25">
      <c r="A131" s="15">
        <v>31117</v>
      </c>
      <c r="B131" s="13" t="s">
        <v>137</v>
      </c>
      <c r="C131" s="16">
        <v>25454770</v>
      </c>
      <c r="D131" s="34">
        <v>144.792</v>
      </c>
      <c r="E131" s="16">
        <v>175802.32333278083</v>
      </c>
    </row>
    <row r="132" spans="1:5" x14ac:dyDescent="0.25">
      <c r="A132" s="15">
        <v>31118</v>
      </c>
      <c r="B132" s="13" t="s">
        <v>138</v>
      </c>
      <c r="C132" s="16">
        <v>11599061</v>
      </c>
      <c r="D132" s="34">
        <v>56.0092</v>
      </c>
      <c r="E132" s="16">
        <v>207092.06701756141</v>
      </c>
    </row>
    <row r="133" spans="1:5" x14ac:dyDescent="0.25">
      <c r="A133" s="15">
        <v>31121</v>
      </c>
      <c r="B133" s="13" t="s">
        <v>139</v>
      </c>
      <c r="C133" s="16">
        <v>47011541</v>
      </c>
      <c r="D133" s="34">
        <v>536.83789999999999</v>
      </c>
      <c r="E133" s="16">
        <v>87571.203523447213</v>
      </c>
    </row>
    <row r="134" spans="1:5" x14ac:dyDescent="0.25">
      <c r="A134" s="15">
        <v>31122</v>
      </c>
      <c r="B134" s="13" t="s">
        <v>140</v>
      </c>
      <c r="C134" s="16">
        <v>22581545</v>
      </c>
      <c r="D134" s="34">
        <v>152.72460000000001</v>
      </c>
      <c r="E134" s="16">
        <v>147857.94168064606</v>
      </c>
    </row>
    <row r="135" spans="1:5" x14ac:dyDescent="0.25">
      <c r="A135" s="15">
        <v>32054</v>
      </c>
      <c r="B135" s="13" t="s">
        <v>141</v>
      </c>
      <c r="C135" s="16">
        <v>20179240</v>
      </c>
      <c r="D135" s="34">
        <v>108.1932</v>
      </c>
      <c r="E135" s="16">
        <v>186511.16706040673</v>
      </c>
    </row>
    <row r="136" spans="1:5" x14ac:dyDescent="0.25">
      <c r="A136" s="15">
        <v>32055</v>
      </c>
      <c r="B136" s="13" t="s">
        <v>142</v>
      </c>
      <c r="C136" s="16">
        <v>71239891</v>
      </c>
      <c r="D136" s="34">
        <v>522.64269999999999</v>
      </c>
      <c r="E136" s="16">
        <v>136307.06216694502</v>
      </c>
    </row>
    <row r="137" spans="1:5" x14ac:dyDescent="0.25">
      <c r="A137" s="15">
        <v>32056</v>
      </c>
      <c r="B137" s="13" t="s">
        <v>143</v>
      </c>
      <c r="C137" s="16">
        <v>28365553</v>
      </c>
      <c r="D137" s="34">
        <v>136.3656</v>
      </c>
      <c r="E137" s="16">
        <v>208011.05997406971</v>
      </c>
    </row>
    <row r="138" spans="1:5" x14ac:dyDescent="0.25">
      <c r="A138" s="15">
        <v>32058</v>
      </c>
      <c r="B138" s="13" t="s">
        <v>144</v>
      </c>
      <c r="C138" s="16">
        <v>19520105</v>
      </c>
      <c r="D138" s="34">
        <v>222.2304</v>
      </c>
      <c r="E138" s="16">
        <v>87837.240089564701</v>
      </c>
    </row>
    <row r="139" spans="1:5" x14ac:dyDescent="0.25">
      <c r="A139" s="15">
        <v>33090</v>
      </c>
      <c r="B139" s="13" t="s">
        <v>145</v>
      </c>
      <c r="C139" s="16">
        <v>72359251</v>
      </c>
      <c r="D139" s="34">
        <v>1024.6329000000001</v>
      </c>
      <c r="E139" s="16">
        <v>70619.68340075748</v>
      </c>
    </row>
    <row r="140" spans="1:5" x14ac:dyDescent="0.25">
      <c r="A140" s="15">
        <v>33091</v>
      </c>
      <c r="B140" s="13" t="s">
        <v>146</v>
      </c>
      <c r="C140" s="16">
        <v>15872025</v>
      </c>
      <c r="D140" s="34">
        <v>158.28540000000001</v>
      </c>
      <c r="E140" s="16">
        <v>100274.72527472526</v>
      </c>
    </row>
    <row r="141" spans="1:5" x14ac:dyDescent="0.25">
      <c r="A141" s="15">
        <v>33092</v>
      </c>
      <c r="B141" s="13" t="s">
        <v>147</v>
      </c>
      <c r="C141" s="16">
        <v>22155110</v>
      </c>
      <c r="D141" s="34">
        <v>262.79340000000002</v>
      </c>
      <c r="E141" s="16">
        <v>84306.188816005262</v>
      </c>
    </row>
    <row r="142" spans="1:5" x14ac:dyDescent="0.25">
      <c r="A142" s="15">
        <v>33093</v>
      </c>
      <c r="B142" s="13" t="s">
        <v>148</v>
      </c>
      <c r="C142" s="16">
        <v>35513443</v>
      </c>
      <c r="D142" s="34">
        <v>343.79759999999999</v>
      </c>
      <c r="E142" s="16">
        <v>103297.53029107825</v>
      </c>
    </row>
    <row r="143" spans="1:5" x14ac:dyDescent="0.25">
      <c r="A143" s="15">
        <v>33094</v>
      </c>
      <c r="B143" s="13" t="s">
        <v>149</v>
      </c>
      <c r="C143" s="16">
        <v>22102040</v>
      </c>
      <c r="D143" s="34">
        <v>254.79519999999999</v>
      </c>
      <c r="E143" s="16">
        <v>86744.334273173125</v>
      </c>
    </row>
    <row r="144" spans="1:5" x14ac:dyDescent="0.25">
      <c r="A144" s="15">
        <v>34121</v>
      </c>
      <c r="B144" s="13" t="s">
        <v>150</v>
      </c>
      <c r="C144" s="16">
        <v>11027411</v>
      </c>
      <c r="D144" s="34">
        <v>105.2334</v>
      </c>
      <c r="E144" s="16">
        <v>104790.02864109684</v>
      </c>
    </row>
    <row r="145" spans="1:5" x14ac:dyDescent="0.25">
      <c r="A145" s="15">
        <v>34122</v>
      </c>
      <c r="B145" s="13" t="s">
        <v>151</v>
      </c>
      <c r="C145" s="16">
        <v>7797280</v>
      </c>
      <c r="D145" s="34">
        <v>107.7411</v>
      </c>
      <c r="E145" s="16">
        <v>72370.525268444442</v>
      </c>
    </row>
    <row r="146" spans="1:5" x14ac:dyDescent="0.25">
      <c r="A146" s="15">
        <v>34124</v>
      </c>
      <c r="B146" s="13" t="s">
        <v>152</v>
      </c>
      <c r="C146" s="16">
        <v>108420302</v>
      </c>
      <c r="D146" s="34">
        <v>1268.8051</v>
      </c>
      <c r="E146" s="16">
        <v>85450.714219228787</v>
      </c>
    </row>
    <row r="147" spans="1:5" x14ac:dyDescent="0.25">
      <c r="A147" s="15">
        <v>35092</v>
      </c>
      <c r="B147" s="13" t="s">
        <v>153</v>
      </c>
      <c r="C147" s="16">
        <v>48363009</v>
      </c>
      <c r="D147" s="34">
        <v>899.47580000000005</v>
      </c>
      <c r="E147" s="16">
        <v>53767.993535790512</v>
      </c>
    </row>
    <row r="148" spans="1:5" x14ac:dyDescent="0.25">
      <c r="A148" s="15">
        <v>35093</v>
      </c>
      <c r="B148" s="13" t="s">
        <v>154</v>
      </c>
      <c r="C148" s="16">
        <v>47210067</v>
      </c>
      <c r="D148" s="34">
        <v>542.51120000000003</v>
      </c>
      <c r="E148" s="16">
        <v>87021.368406772061</v>
      </c>
    </row>
    <row r="149" spans="1:5" x14ac:dyDescent="0.25">
      <c r="A149" s="15">
        <v>35094</v>
      </c>
      <c r="B149" s="13" t="s">
        <v>155</v>
      </c>
      <c r="C149" s="16">
        <v>22717170</v>
      </c>
      <c r="D149" s="34">
        <v>448.89190000000002</v>
      </c>
      <c r="E149" s="16">
        <v>50607.217461486827</v>
      </c>
    </row>
    <row r="150" spans="1:5" x14ac:dyDescent="0.25">
      <c r="A150" s="15">
        <v>35097</v>
      </c>
      <c r="B150" s="13" t="s">
        <v>156</v>
      </c>
      <c r="C150" s="16">
        <v>14188274</v>
      </c>
      <c r="D150" s="34">
        <v>337.6352</v>
      </c>
      <c r="E150" s="16">
        <v>42022.496469562415</v>
      </c>
    </row>
    <row r="151" spans="1:5" x14ac:dyDescent="0.25">
      <c r="A151" s="15">
        <v>35098</v>
      </c>
      <c r="B151" s="13" t="s">
        <v>157</v>
      </c>
      <c r="C151" s="16">
        <v>51326480</v>
      </c>
      <c r="D151" s="34">
        <v>695.77179999999998</v>
      </c>
      <c r="E151" s="16">
        <v>73769.12947607247</v>
      </c>
    </row>
    <row r="152" spans="1:5" x14ac:dyDescent="0.25">
      <c r="A152" s="15">
        <v>35099</v>
      </c>
      <c r="B152" s="13" t="s">
        <v>158</v>
      </c>
      <c r="C152" s="16">
        <v>15071605</v>
      </c>
      <c r="D152" s="34">
        <v>217.60249999999999</v>
      </c>
      <c r="E152" s="16">
        <v>69262.094874829112</v>
      </c>
    </row>
    <row r="153" spans="1:5" x14ac:dyDescent="0.25">
      <c r="A153" s="15">
        <v>35102</v>
      </c>
      <c r="B153" s="13" t="s">
        <v>159</v>
      </c>
      <c r="C153" s="16">
        <v>90950492</v>
      </c>
      <c r="D153" s="34">
        <v>1781.5226</v>
      </c>
      <c r="E153" s="16">
        <v>51052.112389705297</v>
      </c>
    </row>
    <row r="154" spans="1:5" x14ac:dyDescent="0.25">
      <c r="A154" s="15">
        <v>36123</v>
      </c>
      <c r="B154" s="13" t="s">
        <v>160</v>
      </c>
      <c r="C154" s="16">
        <v>36971309</v>
      </c>
      <c r="D154" s="34">
        <v>165.83969999999999</v>
      </c>
      <c r="E154" s="16">
        <v>222934.00796069941</v>
      </c>
    </row>
    <row r="155" spans="1:5" x14ac:dyDescent="0.25">
      <c r="A155" s="15">
        <v>36126</v>
      </c>
      <c r="B155" s="13" t="s">
        <v>161</v>
      </c>
      <c r="C155" s="16">
        <v>363532056</v>
      </c>
      <c r="D155" s="34">
        <v>2876.7793999999999</v>
      </c>
      <c r="E155" s="16">
        <v>126367.72079221647</v>
      </c>
    </row>
    <row r="156" spans="1:5" x14ac:dyDescent="0.25">
      <c r="A156" s="15">
        <v>36131</v>
      </c>
      <c r="B156" s="13" t="s">
        <v>162</v>
      </c>
      <c r="C156" s="16">
        <v>348413412</v>
      </c>
      <c r="D156" s="34">
        <v>3119.3454000000002</v>
      </c>
      <c r="E156" s="16">
        <v>111694.39972886619</v>
      </c>
    </row>
    <row r="157" spans="1:5" x14ac:dyDescent="0.25">
      <c r="A157" s="15">
        <v>36133</v>
      </c>
      <c r="B157" s="13" t="s">
        <v>163</v>
      </c>
      <c r="C157" s="16">
        <v>41636457</v>
      </c>
      <c r="D157" s="34">
        <v>404.97680000000003</v>
      </c>
      <c r="E157" s="16">
        <v>102811.95614168515</v>
      </c>
    </row>
    <row r="158" spans="1:5" x14ac:dyDescent="0.25">
      <c r="A158" s="15">
        <v>36134</v>
      </c>
      <c r="B158" s="13" t="s">
        <v>164</v>
      </c>
      <c r="C158" s="16">
        <v>29356979</v>
      </c>
      <c r="D158" s="34">
        <v>285.30799999999999</v>
      </c>
      <c r="E158" s="16">
        <v>102895.74424832112</v>
      </c>
    </row>
    <row r="159" spans="1:5" x14ac:dyDescent="0.25">
      <c r="A159" s="15">
        <v>36135</v>
      </c>
      <c r="B159" s="13" t="s">
        <v>165</v>
      </c>
      <c r="C159" s="16">
        <v>13157838</v>
      </c>
      <c r="D159" s="34">
        <v>85.579300000000003</v>
      </c>
      <c r="E159" s="16">
        <v>153750.24100454198</v>
      </c>
    </row>
    <row r="160" spans="1:5" x14ac:dyDescent="0.25">
      <c r="A160" s="15">
        <v>36136</v>
      </c>
      <c r="B160" s="13" t="s">
        <v>166</v>
      </c>
      <c r="C160" s="16">
        <v>155874627</v>
      </c>
      <c r="D160" s="34">
        <v>2030.3425</v>
      </c>
      <c r="E160" s="16">
        <v>76772.57753310095</v>
      </c>
    </row>
    <row r="161" spans="1:5" x14ac:dyDescent="0.25">
      <c r="A161" s="15">
        <v>36137</v>
      </c>
      <c r="B161" s="13" t="s">
        <v>1577</v>
      </c>
      <c r="C161" s="16">
        <v>175971294</v>
      </c>
      <c r="D161" s="34">
        <v>1864.8103000000001</v>
      </c>
      <c r="E161" s="16">
        <v>94364.179562929261</v>
      </c>
    </row>
    <row r="162" spans="1:5" x14ac:dyDescent="0.25">
      <c r="A162" s="15">
        <v>36138</v>
      </c>
      <c r="B162" s="13" t="s">
        <v>168</v>
      </c>
      <c r="C162" s="16">
        <v>40728455</v>
      </c>
      <c r="D162" s="34">
        <v>465.59780000000001</v>
      </c>
      <c r="E162" s="16">
        <v>87475.617367607832</v>
      </c>
    </row>
    <row r="163" spans="1:5" x14ac:dyDescent="0.25">
      <c r="A163" s="15">
        <v>36139</v>
      </c>
      <c r="B163" s="13" t="s">
        <v>169</v>
      </c>
      <c r="C163" s="16">
        <v>820866296</v>
      </c>
      <c r="D163" s="34">
        <v>3628.1295</v>
      </c>
      <c r="E163" s="16">
        <v>226250.55031800823</v>
      </c>
    </row>
    <row r="164" spans="1:5" x14ac:dyDescent="0.25">
      <c r="A164" s="15">
        <v>37037</v>
      </c>
      <c r="B164" s="13" t="s">
        <v>170</v>
      </c>
      <c r="C164" s="16">
        <v>171479543</v>
      </c>
      <c r="D164" s="34">
        <v>1703.1748</v>
      </c>
      <c r="E164" s="16">
        <v>100682.29226970713</v>
      </c>
    </row>
    <row r="165" spans="1:5" x14ac:dyDescent="0.25">
      <c r="A165" s="15">
        <v>37039</v>
      </c>
      <c r="B165" s="13" t="s">
        <v>171</v>
      </c>
      <c r="C165" s="16">
        <v>127290207</v>
      </c>
      <c r="D165" s="34">
        <v>858.19090000000006</v>
      </c>
      <c r="E165" s="16">
        <v>148323.88341568291</v>
      </c>
    </row>
    <row r="166" spans="1:5" x14ac:dyDescent="0.25">
      <c r="A166" s="15">
        <v>38044</v>
      </c>
      <c r="B166" s="13" t="s">
        <v>172</v>
      </c>
      <c r="C166" s="16">
        <v>46980950</v>
      </c>
      <c r="D166" s="34">
        <v>312.30220000000003</v>
      </c>
      <c r="E166" s="16">
        <v>150434.2588684934</v>
      </c>
    </row>
    <row r="167" spans="1:5" x14ac:dyDescent="0.25">
      <c r="A167" s="15">
        <v>38045</v>
      </c>
      <c r="B167" s="13" t="s">
        <v>173</v>
      </c>
      <c r="C167" s="16">
        <v>28411674</v>
      </c>
      <c r="D167" s="34">
        <v>296.78050000000002</v>
      </c>
      <c r="E167" s="16">
        <v>95732.954152985112</v>
      </c>
    </row>
    <row r="168" spans="1:5" x14ac:dyDescent="0.25">
      <c r="A168" s="15">
        <v>38046</v>
      </c>
      <c r="B168" s="13" t="s">
        <v>174</v>
      </c>
      <c r="C168" s="16">
        <v>39658884</v>
      </c>
      <c r="D168" s="34">
        <v>402.42910000000001</v>
      </c>
      <c r="E168" s="16">
        <v>98548.748090036228</v>
      </c>
    </row>
    <row r="169" spans="1:5" x14ac:dyDescent="0.25">
      <c r="A169" s="15">
        <v>39133</v>
      </c>
      <c r="B169" s="13" t="s">
        <v>175</v>
      </c>
      <c r="C169" s="16">
        <v>424792620</v>
      </c>
      <c r="D169" s="34">
        <v>4414.3050000000003</v>
      </c>
      <c r="E169" s="16">
        <v>96230.91743773935</v>
      </c>
    </row>
    <row r="170" spans="1:5" x14ac:dyDescent="0.25">
      <c r="A170" s="15">
        <v>39134</v>
      </c>
      <c r="B170" s="13" t="s">
        <v>176</v>
      </c>
      <c r="C170" s="16">
        <v>431540941</v>
      </c>
      <c r="D170" s="34">
        <v>4763.2673999999997</v>
      </c>
      <c r="E170" s="16">
        <v>90597.672723559474</v>
      </c>
    </row>
    <row r="171" spans="1:5" x14ac:dyDescent="0.25">
      <c r="A171" s="15">
        <v>39135</v>
      </c>
      <c r="B171" s="13" t="s">
        <v>177</v>
      </c>
      <c r="C171" s="16">
        <v>65595122</v>
      </c>
      <c r="D171" s="34">
        <v>665.755</v>
      </c>
      <c r="E171" s="16">
        <v>98527.419245818659</v>
      </c>
    </row>
    <row r="172" spans="1:5" x14ac:dyDescent="0.25">
      <c r="A172" s="15">
        <v>39136</v>
      </c>
      <c r="B172" s="13" t="s">
        <v>178</v>
      </c>
      <c r="C172" s="16">
        <v>22740355</v>
      </c>
      <c r="D172" s="34">
        <v>252.15450000000001</v>
      </c>
      <c r="E172" s="16">
        <v>90184.212457045185</v>
      </c>
    </row>
    <row r="173" spans="1:5" x14ac:dyDescent="0.25">
      <c r="A173" s="15">
        <v>39137</v>
      </c>
      <c r="B173" s="13" t="s">
        <v>179</v>
      </c>
      <c r="C173" s="16">
        <v>216414815</v>
      </c>
      <c r="D173" s="34">
        <v>1164.6842999999999</v>
      </c>
      <c r="E173" s="16">
        <v>185814.14293985075</v>
      </c>
    </row>
    <row r="174" spans="1:5" x14ac:dyDescent="0.25">
      <c r="A174" s="15">
        <v>39139</v>
      </c>
      <c r="B174" s="13" t="s">
        <v>180</v>
      </c>
      <c r="C174" s="16">
        <v>272495082</v>
      </c>
      <c r="D174" s="34">
        <v>2202.5039000000002</v>
      </c>
      <c r="E174" s="16">
        <v>123720.59000667375</v>
      </c>
    </row>
    <row r="175" spans="1:5" x14ac:dyDescent="0.25">
      <c r="A175" s="15">
        <v>39141</v>
      </c>
      <c r="B175" s="13" t="s">
        <v>181</v>
      </c>
      <c r="C175" s="16">
        <v>3858827635</v>
      </c>
      <c r="D175" s="34">
        <v>24194.1237</v>
      </c>
      <c r="E175" s="16">
        <v>159494.41619991386</v>
      </c>
    </row>
    <row r="176" spans="1:5" x14ac:dyDescent="0.25">
      <c r="A176" s="15">
        <v>39142</v>
      </c>
      <c r="B176" s="13" t="s">
        <v>182</v>
      </c>
      <c r="C176" s="16">
        <v>75933945</v>
      </c>
      <c r="D176" s="34">
        <v>1138.3077000000001</v>
      </c>
      <c r="E176" s="16">
        <v>66707.749582999386</v>
      </c>
    </row>
    <row r="177" spans="1:5" x14ac:dyDescent="0.25">
      <c r="A177" s="15">
        <v>40100</v>
      </c>
      <c r="B177" s="13" t="s">
        <v>1578</v>
      </c>
      <c r="C177" s="16">
        <v>11350002</v>
      </c>
      <c r="D177" s="34">
        <v>105.7229</v>
      </c>
      <c r="E177" s="16">
        <v>107356.13570948206</v>
      </c>
    </row>
    <row r="178" spans="1:5" x14ac:dyDescent="0.25">
      <c r="A178" s="15">
        <v>40101</v>
      </c>
      <c r="B178" s="13" t="s">
        <v>184</v>
      </c>
      <c r="C178" s="16">
        <v>4568134</v>
      </c>
      <c r="D178" s="34">
        <v>39.3812</v>
      </c>
      <c r="E178" s="16">
        <v>115997.83653113668</v>
      </c>
    </row>
    <row r="179" spans="1:5" x14ac:dyDescent="0.25">
      <c r="A179" s="15">
        <v>40103</v>
      </c>
      <c r="B179" s="13" t="s">
        <v>185</v>
      </c>
      <c r="C179" s="16">
        <v>8221868</v>
      </c>
      <c r="D179" s="34">
        <v>68.869600000000005</v>
      </c>
      <c r="E179" s="16">
        <v>119383.12404892723</v>
      </c>
    </row>
    <row r="180" spans="1:5" x14ac:dyDescent="0.25">
      <c r="A180" s="15">
        <v>40104</v>
      </c>
      <c r="B180" s="13" t="s">
        <v>186</v>
      </c>
      <c r="C180" s="16">
        <v>6366783</v>
      </c>
      <c r="D180" s="34">
        <v>56.5642</v>
      </c>
      <c r="E180" s="16">
        <v>112558.52641776955</v>
      </c>
    </row>
    <row r="181" spans="1:5" x14ac:dyDescent="0.25">
      <c r="A181" s="15">
        <v>40107</v>
      </c>
      <c r="B181" s="13" t="s">
        <v>187</v>
      </c>
      <c r="C181" s="16">
        <v>79851328</v>
      </c>
      <c r="D181" s="34">
        <v>1053.0551</v>
      </c>
      <c r="E181" s="16">
        <v>75828.252481755218</v>
      </c>
    </row>
    <row r="182" spans="1:5" x14ac:dyDescent="0.25">
      <c r="A182" s="15">
        <v>41001</v>
      </c>
      <c r="B182" s="13" t="s">
        <v>188</v>
      </c>
      <c r="C182" s="16">
        <v>6302081</v>
      </c>
      <c r="D182" s="34">
        <v>80.584299999999999</v>
      </c>
      <c r="E182" s="16">
        <v>78204.824016588842</v>
      </c>
    </row>
    <row r="183" spans="1:5" x14ac:dyDescent="0.25">
      <c r="A183" s="15">
        <v>41002</v>
      </c>
      <c r="B183" s="13" t="s">
        <v>189</v>
      </c>
      <c r="C183" s="16">
        <v>72513971</v>
      </c>
      <c r="D183" s="34">
        <v>784.09389999999996</v>
      </c>
      <c r="E183" s="16">
        <v>92481.233433903777</v>
      </c>
    </row>
    <row r="184" spans="1:5" x14ac:dyDescent="0.25">
      <c r="A184" s="15">
        <v>41003</v>
      </c>
      <c r="B184" s="13" t="s">
        <v>190</v>
      </c>
      <c r="C184" s="16">
        <v>21796017</v>
      </c>
      <c r="D184" s="34">
        <v>192.4297</v>
      </c>
      <c r="E184" s="16">
        <v>113267.42701360548</v>
      </c>
    </row>
    <row r="185" spans="1:5" x14ac:dyDescent="0.25">
      <c r="A185" s="15">
        <v>41004</v>
      </c>
      <c r="B185" s="13" t="s">
        <v>191</v>
      </c>
      <c r="C185" s="16">
        <v>12356722</v>
      </c>
      <c r="D185" s="34">
        <v>121.8661</v>
      </c>
      <c r="E185" s="16">
        <v>101395.89270519036</v>
      </c>
    </row>
    <row r="186" spans="1:5" x14ac:dyDescent="0.25">
      <c r="A186" s="15">
        <v>41005</v>
      </c>
      <c r="B186" s="13" t="s">
        <v>192</v>
      </c>
      <c r="C186" s="16">
        <v>8459600</v>
      </c>
      <c r="D186" s="34">
        <v>71.319100000000006</v>
      </c>
      <c r="E186" s="16">
        <v>118616.19117459418</v>
      </c>
    </row>
    <row r="187" spans="1:5" x14ac:dyDescent="0.25">
      <c r="A187" s="15">
        <v>42111</v>
      </c>
      <c r="B187" s="13" t="s">
        <v>193</v>
      </c>
      <c r="C187" s="16">
        <v>49530287</v>
      </c>
      <c r="D187" s="34">
        <v>661.99760000000003</v>
      </c>
      <c r="E187" s="16">
        <v>74819.435901278193</v>
      </c>
    </row>
    <row r="188" spans="1:5" x14ac:dyDescent="0.25">
      <c r="A188" s="15">
        <v>42113</v>
      </c>
      <c r="B188" s="13" t="s">
        <v>194</v>
      </c>
      <c r="C188" s="16">
        <v>10614156</v>
      </c>
      <c r="D188" s="34">
        <v>73.053299999999993</v>
      </c>
      <c r="E188" s="16">
        <v>145293.31323841636</v>
      </c>
    </row>
    <row r="189" spans="1:5" x14ac:dyDescent="0.25">
      <c r="A189" s="15">
        <v>42117</v>
      </c>
      <c r="B189" s="13" t="s">
        <v>195</v>
      </c>
      <c r="C189" s="16">
        <v>12012425</v>
      </c>
      <c r="D189" s="34">
        <v>80.656300000000002</v>
      </c>
      <c r="E189" s="16">
        <v>148933.49930507597</v>
      </c>
    </row>
    <row r="190" spans="1:5" x14ac:dyDescent="0.25">
      <c r="A190" s="15">
        <v>42118</v>
      </c>
      <c r="B190" s="13" t="s">
        <v>196</v>
      </c>
      <c r="C190" s="16">
        <v>18296564</v>
      </c>
      <c r="D190" s="34">
        <v>124.5758</v>
      </c>
      <c r="E190" s="16">
        <v>146870.9331989038</v>
      </c>
    </row>
    <row r="191" spans="1:5" x14ac:dyDescent="0.25">
      <c r="A191" s="15">
        <v>42119</v>
      </c>
      <c r="B191" s="13" t="s">
        <v>197</v>
      </c>
      <c r="C191" s="16">
        <v>13860708</v>
      </c>
      <c r="D191" s="34">
        <v>59.886200000000002</v>
      </c>
      <c r="E191" s="16">
        <v>231450.7849888622</v>
      </c>
    </row>
    <row r="192" spans="1:5" x14ac:dyDescent="0.25">
      <c r="A192" s="15">
        <v>42121</v>
      </c>
      <c r="B192" s="13" t="s">
        <v>198</v>
      </c>
      <c r="C192" s="16">
        <v>12033724</v>
      </c>
      <c r="D192" s="34">
        <v>97.268100000000004</v>
      </c>
      <c r="E192" s="16">
        <v>123717.06654082891</v>
      </c>
    </row>
    <row r="193" spans="1:5" x14ac:dyDescent="0.25">
      <c r="A193" s="15">
        <v>42124</v>
      </c>
      <c r="B193" s="13" t="s">
        <v>199</v>
      </c>
      <c r="C193" s="16">
        <v>184914327</v>
      </c>
      <c r="D193" s="34">
        <v>1599.0084999999999</v>
      </c>
      <c r="E193" s="16">
        <v>115643.11696904677</v>
      </c>
    </row>
    <row r="194" spans="1:5" x14ac:dyDescent="0.25">
      <c r="A194" s="15">
        <v>43001</v>
      </c>
      <c r="B194" s="13" t="s">
        <v>200</v>
      </c>
      <c r="C194" s="16">
        <v>47638448</v>
      </c>
      <c r="D194" s="34">
        <v>699.21199999999999</v>
      </c>
      <c r="E194" s="16">
        <v>68131.62245499219</v>
      </c>
    </row>
    <row r="195" spans="1:5" x14ac:dyDescent="0.25">
      <c r="A195" s="15">
        <v>43002</v>
      </c>
      <c r="B195" s="13" t="s">
        <v>201</v>
      </c>
      <c r="C195" s="16">
        <v>40636903</v>
      </c>
      <c r="D195" s="34">
        <v>297.77789999999999</v>
      </c>
      <c r="E195" s="16">
        <v>136467.1555545257</v>
      </c>
    </row>
    <row r="196" spans="1:5" x14ac:dyDescent="0.25">
      <c r="A196" s="15">
        <v>43003</v>
      </c>
      <c r="B196" s="13" t="s">
        <v>202</v>
      </c>
      <c r="C196" s="16">
        <v>25504693</v>
      </c>
      <c r="D196" s="34">
        <v>331.77510000000001</v>
      </c>
      <c r="E196" s="16">
        <v>76873.439266539295</v>
      </c>
    </row>
    <row r="197" spans="1:5" x14ac:dyDescent="0.25">
      <c r="A197" s="15">
        <v>43004</v>
      </c>
      <c r="B197" s="13" t="s">
        <v>203</v>
      </c>
      <c r="C197" s="16">
        <v>45212727</v>
      </c>
      <c r="D197" s="34">
        <v>226.28980000000001</v>
      </c>
      <c r="E197" s="16">
        <v>199800.11030103875</v>
      </c>
    </row>
    <row r="198" spans="1:5" x14ac:dyDescent="0.25">
      <c r="A198" s="15">
        <v>44078</v>
      </c>
      <c r="B198" s="13" t="s">
        <v>204</v>
      </c>
      <c r="C198" s="16">
        <v>26177222</v>
      </c>
      <c r="D198" s="34">
        <v>43.928699999999999</v>
      </c>
      <c r="E198" s="16">
        <v>595902.49654553854</v>
      </c>
    </row>
    <row r="199" spans="1:5" x14ac:dyDescent="0.25">
      <c r="A199" s="15">
        <v>44083</v>
      </c>
      <c r="B199" s="13" t="s">
        <v>205</v>
      </c>
      <c r="C199" s="16">
        <v>32332413</v>
      </c>
      <c r="D199" s="34">
        <v>239.31829999999999</v>
      </c>
      <c r="E199" s="16">
        <v>135102.13385269744</v>
      </c>
    </row>
    <row r="200" spans="1:5" x14ac:dyDescent="0.25">
      <c r="A200" s="15">
        <v>44084</v>
      </c>
      <c r="B200" s="13" t="s">
        <v>206</v>
      </c>
      <c r="C200" s="16">
        <v>35614318</v>
      </c>
      <c r="D200" s="34">
        <v>253.34299999999999</v>
      </c>
      <c r="E200" s="16">
        <v>140577.47007022102</v>
      </c>
    </row>
    <row r="201" spans="1:5" x14ac:dyDescent="0.25">
      <c r="A201" s="15">
        <v>45076</v>
      </c>
      <c r="B201" s="13" t="s">
        <v>207</v>
      </c>
      <c r="C201" s="16">
        <v>29238268</v>
      </c>
      <c r="D201" s="34">
        <v>430.5958</v>
      </c>
      <c r="E201" s="16">
        <v>67901.888499609151</v>
      </c>
    </row>
    <row r="202" spans="1:5" x14ac:dyDescent="0.25">
      <c r="A202" s="15">
        <v>45077</v>
      </c>
      <c r="B202" s="13" t="s">
        <v>208</v>
      </c>
      <c r="C202" s="16">
        <v>55443297</v>
      </c>
      <c r="D202" s="34">
        <v>559.19870000000003</v>
      </c>
      <c r="E202" s="16">
        <v>99147.757317747688</v>
      </c>
    </row>
    <row r="203" spans="1:5" x14ac:dyDescent="0.25">
      <c r="A203" s="15">
        <v>45078</v>
      </c>
      <c r="B203" s="13" t="s">
        <v>209</v>
      </c>
      <c r="C203" s="16">
        <v>27752247</v>
      </c>
      <c r="D203" s="34">
        <v>283.21109999999999</v>
      </c>
      <c r="E203" s="16">
        <v>97991.381693725998</v>
      </c>
    </row>
    <row r="204" spans="1:5" x14ac:dyDescent="0.25">
      <c r="A204" s="15">
        <v>46128</v>
      </c>
      <c r="B204" s="13" t="s">
        <v>210</v>
      </c>
      <c r="C204" s="16">
        <v>26505860</v>
      </c>
      <c r="D204" s="34">
        <v>281.5847</v>
      </c>
      <c r="E204" s="16">
        <v>94131.037659361464</v>
      </c>
    </row>
    <row r="205" spans="1:5" x14ac:dyDescent="0.25">
      <c r="A205" s="15">
        <v>46130</v>
      </c>
      <c r="B205" s="13" t="s">
        <v>211</v>
      </c>
      <c r="C205" s="16">
        <v>74872683</v>
      </c>
      <c r="D205" s="34">
        <v>1151.5614</v>
      </c>
      <c r="E205" s="16">
        <v>65018.4028398312</v>
      </c>
    </row>
    <row r="206" spans="1:5" x14ac:dyDescent="0.25">
      <c r="A206" s="15">
        <v>46131</v>
      </c>
      <c r="B206" s="13" t="s">
        <v>212</v>
      </c>
      <c r="C206" s="16">
        <v>78506497</v>
      </c>
      <c r="D206" s="34">
        <v>1180.7085999999999</v>
      </c>
      <c r="E206" s="16">
        <v>66491.001251282491</v>
      </c>
    </row>
    <row r="207" spans="1:5" x14ac:dyDescent="0.25">
      <c r="A207" s="15">
        <v>46132</v>
      </c>
      <c r="B207" s="13" t="s">
        <v>213</v>
      </c>
      <c r="C207" s="16">
        <v>43732333</v>
      </c>
      <c r="D207" s="34">
        <v>525.06269999999995</v>
      </c>
      <c r="E207" s="16">
        <v>83289.734730728364</v>
      </c>
    </row>
    <row r="208" spans="1:5" x14ac:dyDescent="0.25">
      <c r="A208" s="15">
        <v>46134</v>
      </c>
      <c r="B208" s="13" t="s">
        <v>214</v>
      </c>
      <c r="C208" s="16">
        <v>164410583</v>
      </c>
      <c r="D208" s="34">
        <v>2027.3958</v>
      </c>
      <c r="E208" s="16">
        <v>81094.46759236652</v>
      </c>
    </row>
    <row r="209" spans="1:5" x14ac:dyDescent="0.25">
      <c r="A209" s="15">
        <v>46135</v>
      </c>
      <c r="B209" s="13" t="s">
        <v>215</v>
      </c>
      <c r="C209" s="16">
        <v>31191620</v>
      </c>
      <c r="D209" s="34">
        <v>298.19</v>
      </c>
      <c r="E209" s="16">
        <v>104603.17247392602</v>
      </c>
    </row>
    <row r="210" spans="1:5" x14ac:dyDescent="0.25">
      <c r="A210" s="15">
        <v>46137</v>
      </c>
      <c r="B210" s="13" t="s">
        <v>216</v>
      </c>
      <c r="C210" s="16">
        <v>19697380</v>
      </c>
      <c r="D210" s="34">
        <v>279.27800000000002</v>
      </c>
      <c r="E210" s="16">
        <v>70529.651458403445</v>
      </c>
    </row>
    <row r="211" spans="1:5" x14ac:dyDescent="0.25">
      <c r="A211" s="15">
        <v>46140</v>
      </c>
      <c r="B211" s="13" t="s">
        <v>217</v>
      </c>
      <c r="C211" s="16">
        <v>51383158</v>
      </c>
      <c r="D211" s="34">
        <v>633.09950000000003</v>
      </c>
      <c r="E211" s="16">
        <v>81161.267699626987</v>
      </c>
    </row>
    <row r="212" spans="1:5" x14ac:dyDescent="0.25">
      <c r="A212" s="15">
        <v>47060</v>
      </c>
      <c r="B212" s="13" t="s">
        <v>218</v>
      </c>
      <c r="C212" s="16">
        <v>37944627</v>
      </c>
      <c r="D212" s="34">
        <v>254.87970000000001</v>
      </c>
      <c r="E212" s="16">
        <v>148872.69170514558</v>
      </c>
    </row>
    <row r="213" spans="1:5" x14ac:dyDescent="0.25">
      <c r="A213" s="15">
        <v>47062</v>
      </c>
      <c r="B213" s="13" t="s">
        <v>219</v>
      </c>
      <c r="C213" s="16">
        <v>55205907</v>
      </c>
      <c r="D213" s="34">
        <v>858.0865</v>
      </c>
      <c r="E213" s="16">
        <v>64336.062856133969</v>
      </c>
    </row>
    <row r="214" spans="1:5" x14ac:dyDescent="0.25">
      <c r="A214" s="15">
        <v>47064</v>
      </c>
      <c r="B214" s="13" t="s">
        <v>220</v>
      </c>
      <c r="C214" s="16">
        <v>10883870</v>
      </c>
      <c r="D214" s="34">
        <v>157.7869</v>
      </c>
      <c r="E214" s="16">
        <v>68978.286537095279</v>
      </c>
    </row>
    <row r="215" spans="1:5" x14ac:dyDescent="0.25">
      <c r="A215" s="15">
        <v>47065</v>
      </c>
      <c r="B215" s="13" t="s">
        <v>221</v>
      </c>
      <c r="C215" s="16">
        <v>90597835</v>
      </c>
      <c r="D215" s="34">
        <v>325.37029999999999</v>
      </c>
      <c r="E215" s="16">
        <v>278445.31292499654</v>
      </c>
    </row>
    <row r="216" spans="1:5" x14ac:dyDescent="0.25">
      <c r="A216" s="15">
        <v>48066</v>
      </c>
      <c r="B216" s="13" t="s">
        <v>222</v>
      </c>
      <c r="C216" s="16">
        <v>318259729</v>
      </c>
      <c r="D216" s="34">
        <v>4648.4219000000003</v>
      </c>
      <c r="E216" s="16">
        <v>68466.188277789493</v>
      </c>
    </row>
    <row r="217" spans="1:5" x14ac:dyDescent="0.25">
      <c r="A217" s="15">
        <v>48068</v>
      </c>
      <c r="B217" s="13" t="s">
        <v>223</v>
      </c>
      <c r="C217" s="16">
        <v>1721867538</v>
      </c>
      <c r="D217" s="34">
        <v>14046.4982</v>
      </c>
      <c r="E217" s="16">
        <v>122583.40217492785</v>
      </c>
    </row>
    <row r="218" spans="1:5" x14ac:dyDescent="0.25">
      <c r="A218" s="15">
        <v>48069</v>
      </c>
      <c r="B218" s="13" t="s">
        <v>224</v>
      </c>
      <c r="C218" s="16">
        <v>365427418</v>
      </c>
      <c r="D218" s="34">
        <v>4267.0120999999999</v>
      </c>
      <c r="E218" s="16">
        <v>85640.117589542337</v>
      </c>
    </row>
    <row r="219" spans="1:5" x14ac:dyDescent="0.25">
      <c r="A219" s="15">
        <v>48070</v>
      </c>
      <c r="B219" s="13" t="s">
        <v>225</v>
      </c>
      <c r="C219" s="16">
        <v>160591433</v>
      </c>
      <c r="D219" s="34">
        <v>1921.1650999999999</v>
      </c>
      <c r="E219" s="16">
        <v>83590.646634170073</v>
      </c>
    </row>
    <row r="220" spans="1:5" x14ac:dyDescent="0.25">
      <c r="A220" s="15">
        <v>48071</v>
      </c>
      <c r="B220" s="13" t="s">
        <v>226</v>
      </c>
      <c r="C220" s="16">
        <v>2370651227</v>
      </c>
      <c r="D220" s="34">
        <v>17175.104599999999</v>
      </c>
      <c r="E220" s="16">
        <v>138028.34289579815</v>
      </c>
    </row>
    <row r="221" spans="1:5" x14ac:dyDescent="0.25">
      <c r="A221" s="15">
        <v>48072</v>
      </c>
      <c r="B221" s="13" t="s">
        <v>227</v>
      </c>
      <c r="C221" s="16">
        <v>501235452</v>
      </c>
      <c r="D221" s="34">
        <v>4895.8395</v>
      </c>
      <c r="E221" s="16">
        <v>102379.87826194057</v>
      </c>
    </row>
    <row r="222" spans="1:5" x14ac:dyDescent="0.25">
      <c r="A222" s="15">
        <v>48073</v>
      </c>
      <c r="B222" s="13" t="s">
        <v>228</v>
      </c>
      <c r="C222" s="16">
        <v>749676117</v>
      </c>
      <c r="D222" s="34">
        <v>8053.2965999999997</v>
      </c>
      <c r="E222" s="16">
        <v>93089.346417465858</v>
      </c>
    </row>
    <row r="223" spans="1:5" x14ac:dyDescent="0.25">
      <c r="A223" s="15">
        <v>48074</v>
      </c>
      <c r="B223" s="13" t="s">
        <v>229</v>
      </c>
      <c r="C223" s="16">
        <v>578528709</v>
      </c>
      <c r="D223" s="34">
        <v>3695.8458000000001</v>
      </c>
      <c r="E223" s="16">
        <v>156534.86111352372</v>
      </c>
    </row>
    <row r="224" spans="1:5" x14ac:dyDescent="0.25">
      <c r="A224" s="15">
        <v>48075</v>
      </c>
      <c r="B224" s="13" t="s">
        <v>230</v>
      </c>
      <c r="C224" s="16">
        <v>71395596</v>
      </c>
      <c r="D224" s="34">
        <v>631.53219999999999</v>
      </c>
      <c r="E224" s="16">
        <v>113051.39468739678</v>
      </c>
    </row>
    <row r="225" spans="1:5" x14ac:dyDescent="0.25">
      <c r="A225" s="15">
        <v>48077</v>
      </c>
      <c r="B225" s="13" t="s">
        <v>231</v>
      </c>
      <c r="C225" s="16">
        <v>1138719492</v>
      </c>
      <c r="D225" s="34">
        <v>13583.9076</v>
      </c>
      <c r="E225" s="16">
        <v>83828.565795014685</v>
      </c>
    </row>
    <row r="226" spans="1:5" x14ac:dyDescent="0.25">
      <c r="A226" s="15">
        <v>48078</v>
      </c>
      <c r="B226" s="13" t="s">
        <v>1587</v>
      </c>
      <c r="C226" s="16">
        <v>4002558478</v>
      </c>
      <c r="D226" s="34">
        <v>13337.6185</v>
      </c>
      <c r="E226" s="16">
        <v>300095.43892712181</v>
      </c>
    </row>
    <row r="227" spans="1:5" x14ac:dyDescent="0.25">
      <c r="A227" s="15">
        <v>48080</v>
      </c>
      <c r="B227" s="13" t="s">
        <v>233</v>
      </c>
      <c r="C227" s="16">
        <v>562928856</v>
      </c>
      <c r="D227" s="34">
        <v>2355.4875999999999</v>
      </c>
      <c r="E227" s="16">
        <v>238986.12584502675</v>
      </c>
    </row>
    <row r="228" spans="1:5" x14ac:dyDescent="0.25">
      <c r="A228" s="15">
        <v>49132</v>
      </c>
      <c r="B228" s="13" t="s">
        <v>234</v>
      </c>
      <c r="C228" s="16">
        <v>256666702</v>
      </c>
      <c r="D228" s="34">
        <v>3051.5453000000002</v>
      </c>
      <c r="E228" s="16">
        <v>84110.402031390448</v>
      </c>
    </row>
    <row r="229" spans="1:5" x14ac:dyDescent="0.25">
      <c r="A229" s="15">
        <v>49135</v>
      </c>
      <c r="B229" s="13" t="s">
        <v>235</v>
      </c>
      <c r="C229" s="16">
        <v>22960846</v>
      </c>
      <c r="D229" s="34">
        <v>189.75659999999999</v>
      </c>
      <c r="E229" s="16">
        <v>121001.56727091443</v>
      </c>
    </row>
    <row r="230" spans="1:5" x14ac:dyDescent="0.25">
      <c r="A230" s="15">
        <v>49137</v>
      </c>
      <c r="B230" s="13" t="s">
        <v>236</v>
      </c>
      <c r="C230" s="16">
        <v>44506670</v>
      </c>
      <c r="D230" s="34">
        <v>467.22320000000002</v>
      </c>
      <c r="E230" s="16">
        <v>95257.83394317748</v>
      </c>
    </row>
    <row r="231" spans="1:5" x14ac:dyDescent="0.25">
      <c r="A231" s="15">
        <v>49140</v>
      </c>
      <c r="B231" s="13" t="s">
        <v>237</v>
      </c>
      <c r="C231" s="16">
        <v>38457708</v>
      </c>
      <c r="D231" s="34">
        <v>778.05650000000003</v>
      </c>
      <c r="E231" s="16">
        <v>49427.911726204969</v>
      </c>
    </row>
    <row r="232" spans="1:5" x14ac:dyDescent="0.25">
      <c r="A232" s="15">
        <v>49142</v>
      </c>
      <c r="B232" s="13" t="s">
        <v>238</v>
      </c>
      <c r="C232" s="16">
        <v>324178600</v>
      </c>
      <c r="D232" s="34">
        <v>4833.2295999999997</v>
      </c>
      <c r="E232" s="16">
        <v>67072.874005406251</v>
      </c>
    </row>
    <row r="233" spans="1:5" x14ac:dyDescent="0.25">
      <c r="A233" s="15">
        <v>49144</v>
      </c>
      <c r="B233" s="13" t="s">
        <v>239</v>
      </c>
      <c r="C233" s="16">
        <v>263270099</v>
      </c>
      <c r="D233" s="34">
        <v>4394.6139000000003</v>
      </c>
      <c r="E233" s="16">
        <v>59907.446931799852</v>
      </c>
    </row>
    <row r="234" spans="1:5" x14ac:dyDescent="0.25">
      <c r="A234" s="15">
        <v>49148</v>
      </c>
      <c r="B234" s="13" t="s">
        <v>240</v>
      </c>
      <c r="C234" s="16">
        <v>931876011</v>
      </c>
      <c r="D234" s="34">
        <v>7288.8248999999996</v>
      </c>
      <c r="E234" s="16">
        <v>127849.96536272946</v>
      </c>
    </row>
    <row r="235" spans="1:5" x14ac:dyDescent="0.25">
      <c r="A235" s="15">
        <v>50001</v>
      </c>
      <c r="B235" s="13" t="s">
        <v>241</v>
      </c>
      <c r="C235" s="16">
        <v>626990563</v>
      </c>
      <c r="D235" s="34">
        <v>5953.4421000000002</v>
      </c>
      <c r="E235" s="16">
        <v>105315.63967003222</v>
      </c>
    </row>
    <row r="236" spans="1:5" x14ac:dyDescent="0.25">
      <c r="A236" s="15">
        <v>50002</v>
      </c>
      <c r="B236" s="13" t="s">
        <v>242</v>
      </c>
      <c r="C236" s="16">
        <v>58154388</v>
      </c>
      <c r="D236" s="34">
        <v>732.45630000000006</v>
      </c>
      <c r="E236" s="16">
        <v>79396.392658510813</v>
      </c>
    </row>
    <row r="237" spans="1:5" x14ac:dyDescent="0.25">
      <c r="A237" s="15">
        <v>50003</v>
      </c>
      <c r="B237" s="13" t="s">
        <v>243</v>
      </c>
      <c r="C237" s="16">
        <v>292016816</v>
      </c>
      <c r="D237" s="34">
        <v>3297.9014999999999</v>
      </c>
      <c r="E237" s="16">
        <v>88546.251608788196</v>
      </c>
    </row>
    <row r="238" spans="1:5" x14ac:dyDescent="0.25">
      <c r="A238" s="15">
        <v>50005</v>
      </c>
      <c r="B238" s="13" t="s">
        <v>244</v>
      </c>
      <c r="C238" s="16">
        <v>164504736</v>
      </c>
      <c r="D238" s="34">
        <v>1500.6955</v>
      </c>
      <c r="E238" s="16">
        <v>109618.99732490702</v>
      </c>
    </row>
    <row r="239" spans="1:5" x14ac:dyDescent="0.25">
      <c r="A239" s="15">
        <v>50006</v>
      </c>
      <c r="B239" s="13" t="s">
        <v>245</v>
      </c>
      <c r="C239" s="16">
        <v>286005842</v>
      </c>
      <c r="D239" s="34">
        <v>3063.8056000000001</v>
      </c>
      <c r="E239" s="16">
        <v>93349.8659314416</v>
      </c>
    </row>
    <row r="240" spans="1:5" x14ac:dyDescent="0.25">
      <c r="A240" s="15">
        <v>50007</v>
      </c>
      <c r="B240" s="13" t="s">
        <v>246</v>
      </c>
      <c r="C240" s="16">
        <v>197552043</v>
      </c>
      <c r="D240" s="34">
        <v>966.67499999999995</v>
      </c>
      <c r="E240" s="16">
        <v>204362.42066878735</v>
      </c>
    </row>
    <row r="241" spans="1:5" x14ac:dyDescent="0.25">
      <c r="A241" s="15">
        <v>50009</v>
      </c>
      <c r="B241" s="13" t="s">
        <v>247</v>
      </c>
      <c r="C241" s="16">
        <v>39162992</v>
      </c>
      <c r="D241" s="34">
        <v>400.9812</v>
      </c>
      <c r="E241" s="16">
        <v>97667.900639730738</v>
      </c>
    </row>
    <row r="242" spans="1:5" x14ac:dyDescent="0.25">
      <c r="A242" s="15">
        <v>50010</v>
      </c>
      <c r="B242" s="13" t="s">
        <v>248</v>
      </c>
      <c r="C242" s="16">
        <v>236912753</v>
      </c>
      <c r="D242" s="34">
        <v>2870.1966000000002</v>
      </c>
      <c r="E242" s="16">
        <v>82542.343266659853</v>
      </c>
    </row>
    <row r="243" spans="1:5" x14ac:dyDescent="0.25">
      <c r="A243" s="15">
        <v>50012</v>
      </c>
      <c r="B243" s="13" t="s">
        <v>249</v>
      </c>
      <c r="C243" s="16">
        <v>1013297185</v>
      </c>
      <c r="D243" s="34">
        <v>10750.6456</v>
      </c>
      <c r="E243" s="16">
        <v>94254.542722531944</v>
      </c>
    </row>
    <row r="244" spans="1:5" x14ac:dyDescent="0.25">
      <c r="A244" s="15">
        <v>50013</v>
      </c>
      <c r="B244" s="13" t="s">
        <v>250</v>
      </c>
      <c r="C244" s="16">
        <v>63752798</v>
      </c>
      <c r="D244" s="34">
        <v>506.72449999999998</v>
      </c>
      <c r="E244" s="16">
        <v>125813.52983721925</v>
      </c>
    </row>
    <row r="245" spans="1:5" x14ac:dyDescent="0.25">
      <c r="A245" s="15">
        <v>50014</v>
      </c>
      <c r="B245" s="13" t="s">
        <v>251</v>
      </c>
      <c r="C245" s="16">
        <v>203840381</v>
      </c>
      <c r="D245" s="34">
        <v>2455.5066000000002</v>
      </c>
      <c r="E245" s="16">
        <v>83013.574876972431</v>
      </c>
    </row>
    <row r="246" spans="1:5" x14ac:dyDescent="0.25">
      <c r="A246" s="15">
        <v>51150</v>
      </c>
      <c r="B246" s="13" t="s">
        <v>252</v>
      </c>
      <c r="C246" s="16">
        <v>25672725</v>
      </c>
      <c r="D246" s="34">
        <v>231.982</v>
      </c>
      <c r="E246" s="16">
        <v>110666.8836375236</v>
      </c>
    </row>
    <row r="247" spans="1:5" x14ac:dyDescent="0.25">
      <c r="A247" s="15">
        <v>51152</v>
      </c>
      <c r="B247" s="13" t="s">
        <v>253</v>
      </c>
      <c r="C247" s="16">
        <v>105791254</v>
      </c>
      <c r="D247" s="34">
        <v>1170.6745000000001</v>
      </c>
      <c r="E247" s="16">
        <v>90367.778575513512</v>
      </c>
    </row>
    <row r="248" spans="1:5" x14ac:dyDescent="0.25">
      <c r="A248" s="15">
        <v>51153</v>
      </c>
      <c r="B248" s="13" t="s">
        <v>254</v>
      </c>
      <c r="C248" s="16">
        <v>10609369</v>
      </c>
      <c r="D248" s="34">
        <v>168.99459999999999</v>
      </c>
      <c r="E248" s="16">
        <v>62779.337327938294</v>
      </c>
    </row>
    <row r="249" spans="1:5" x14ac:dyDescent="0.25">
      <c r="A249" s="15">
        <v>51154</v>
      </c>
      <c r="B249" s="13" t="s">
        <v>255</v>
      </c>
      <c r="C249" s="16">
        <v>44084997</v>
      </c>
      <c r="D249" s="34">
        <v>524.36099999999999</v>
      </c>
      <c r="E249" s="16">
        <v>84073.752624623114</v>
      </c>
    </row>
    <row r="250" spans="1:5" x14ac:dyDescent="0.25">
      <c r="A250" s="15">
        <v>51155</v>
      </c>
      <c r="B250" s="13" t="s">
        <v>256</v>
      </c>
      <c r="C250" s="16">
        <v>64581608</v>
      </c>
      <c r="D250" s="34">
        <v>1608.0759</v>
      </c>
      <c r="E250" s="16">
        <v>40160.79589278093</v>
      </c>
    </row>
    <row r="251" spans="1:5" x14ac:dyDescent="0.25">
      <c r="A251" s="15">
        <v>51156</v>
      </c>
      <c r="B251" s="13" t="s">
        <v>257</v>
      </c>
      <c r="C251" s="16">
        <v>17311099</v>
      </c>
      <c r="D251" s="34">
        <v>263.82690000000002</v>
      </c>
      <c r="E251" s="16">
        <v>65615.367500433043</v>
      </c>
    </row>
    <row r="252" spans="1:5" x14ac:dyDescent="0.25">
      <c r="A252" s="15">
        <v>51159</v>
      </c>
      <c r="B252" s="13" t="s">
        <v>258</v>
      </c>
      <c r="C252" s="16">
        <v>301066267</v>
      </c>
      <c r="D252" s="34">
        <v>3214.4729000000002</v>
      </c>
      <c r="E252" s="16">
        <v>93659.606525225332</v>
      </c>
    </row>
    <row r="253" spans="1:5" x14ac:dyDescent="0.25">
      <c r="A253" s="15">
        <v>52096</v>
      </c>
      <c r="B253" s="13" t="s">
        <v>259</v>
      </c>
      <c r="C253" s="16">
        <v>72534962</v>
      </c>
      <c r="D253" s="34">
        <v>401.4051</v>
      </c>
      <c r="E253" s="16">
        <v>180702.64179503449</v>
      </c>
    </row>
    <row r="254" spans="1:5" x14ac:dyDescent="0.25">
      <c r="A254" s="15">
        <v>53111</v>
      </c>
      <c r="B254" s="13" t="s">
        <v>260</v>
      </c>
      <c r="C254" s="16">
        <v>40048829</v>
      </c>
      <c r="D254" s="34">
        <v>673.721</v>
      </c>
      <c r="E254" s="16">
        <v>59444.234334390647</v>
      </c>
    </row>
    <row r="255" spans="1:5" x14ac:dyDescent="0.25">
      <c r="A255" s="15">
        <v>53112</v>
      </c>
      <c r="B255" s="13" t="s">
        <v>261</v>
      </c>
      <c r="C255" s="16">
        <v>9974309</v>
      </c>
      <c r="D255" s="34">
        <v>89.721800000000002</v>
      </c>
      <c r="E255" s="16">
        <v>111169.29218985798</v>
      </c>
    </row>
    <row r="256" spans="1:5" x14ac:dyDescent="0.25">
      <c r="A256" s="15">
        <v>53113</v>
      </c>
      <c r="B256" s="13" t="s">
        <v>262</v>
      </c>
      <c r="C256" s="16">
        <v>331860023</v>
      </c>
      <c r="D256" s="34">
        <v>4111.2132000000001</v>
      </c>
      <c r="E256" s="16">
        <v>80720.703805874131</v>
      </c>
    </row>
    <row r="257" spans="1:5" x14ac:dyDescent="0.25">
      <c r="A257" s="15">
        <v>53114</v>
      </c>
      <c r="B257" s="13" t="s">
        <v>263</v>
      </c>
      <c r="C257" s="16">
        <v>32318333</v>
      </c>
      <c r="D257" s="34">
        <v>548.49770000000001</v>
      </c>
      <c r="E257" s="16">
        <v>58921.546981874308</v>
      </c>
    </row>
    <row r="258" spans="1:5" x14ac:dyDescent="0.25">
      <c r="A258" s="15">
        <v>54037</v>
      </c>
      <c r="B258" s="13" t="s">
        <v>264</v>
      </c>
      <c r="C258" s="16">
        <v>52382587</v>
      </c>
      <c r="D258" s="34">
        <v>405.24880000000002</v>
      </c>
      <c r="E258" s="16">
        <v>129260.31366409968</v>
      </c>
    </row>
    <row r="259" spans="1:5" x14ac:dyDescent="0.25">
      <c r="A259" s="15">
        <v>54039</v>
      </c>
      <c r="B259" s="13" t="s">
        <v>265</v>
      </c>
      <c r="C259" s="16">
        <v>77740022</v>
      </c>
      <c r="D259" s="34">
        <v>966.11270000000002</v>
      </c>
      <c r="E259" s="16">
        <v>80466.825454214602</v>
      </c>
    </row>
    <row r="260" spans="1:5" x14ac:dyDescent="0.25">
      <c r="A260" s="15">
        <v>54041</v>
      </c>
      <c r="B260" s="13" t="s">
        <v>266</v>
      </c>
      <c r="C260" s="16">
        <v>145076534</v>
      </c>
      <c r="D260" s="34">
        <v>1949.8989999999999</v>
      </c>
      <c r="E260" s="16">
        <v>74402.07621010115</v>
      </c>
    </row>
    <row r="261" spans="1:5" x14ac:dyDescent="0.25">
      <c r="A261" s="15">
        <v>54042</v>
      </c>
      <c r="B261" s="13" t="s">
        <v>267</v>
      </c>
      <c r="C261" s="16">
        <v>34541583</v>
      </c>
      <c r="D261" s="34">
        <v>262.21159999999998</v>
      </c>
      <c r="E261" s="16">
        <v>131731.71209816806</v>
      </c>
    </row>
    <row r="262" spans="1:5" x14ac:dyDescent="0.25">
      <c r="A262" s="15">
        <v>54043</v>
      </c>
      <c r="B262" s="13" t="s">
        <v>268</v>
      </c>
      <c r="C262" s="16">
        <v>30169414</v>
      </c>
      <c r="D262" s="34">
        <v>392.31180000000001</v>
      </c>
      <c r="E262" s="16">
        <v>76901.622637911991</v>
      </c>
    </row>
    <row r="263" spans="1:5" x14ac:dyDescent="0.25">
      <c r="A263" s="15">
        <v>54045</v>
      </c>
      <c r="B263" s="13" t="s">
        <v>269</v>
      </c>
      <c r="C263" s="16">
        <v>60717690</v>
      </c>
      <c r="D263" s="34">
        <v>933.85170000000005</v>
      </c>
      <c r="E263" s="16">
        <v>65018.557014994993</v>
      </c>
    </row>
    <row r="264" spans="1:5" x14ac:dyDescent="0.25">
      <c r="A264" s="15">
        <v>55104</v>
      </c>
      <c r="B264" s="13" t="s">
        <v>270</v>
      </c>
      <c r="C264" s="16">
        <v>52947636</v>
      </c>
      <c r="D264" s="34">
        <v>554.07150000000001</v>
      </c>
      <c r="E264" s="16">
        <v>95561.016944564006</v>
      </c>
    </row>
    <row r="265" spans="1:5" x14ac:dyDescent="0.25">
      <c r="A265" s="15">
        <v>55105</v>
      </c>
      <c r="B265" s="13" t="s">
        <v>271</v>
      </c>
      <c r="C265" s="16">
        <v>44233091</v>
      </c>
      <c r="D265" s="34">
        <v>680.8931</v>
      </c>
      <c r="E265" s="16">
        <v>64963.341528941914</v>
      </c>
    </row>
    <row r="266" spans="1:5" x14ac:dyDescent="0.25">
      <c r="A266" s="15">
        <v>55106</v>
      </c>
      <c r="B266" s="13" t="s">
        <v>272</v>
      </c>
      <c r="C266" s="16">
        <v>42421187</v>
      </c>
      <c r="D266" s="34">
        <v>683.88909999999998</v>
      </c>
      <c r="E266" s="16">
        <v>62029.336335379521</v>
      </c>
    </row>
    <row r="267" spans="1:5" x14ac:dyDescent="0.25">
      <c r="A267" s="15">
        <v>55108</v>
      </c>
      <c r="B267" s="13" t="s">
        <v>273</v>
      </c>
      <c r="C267" s="16">
        <v>119193060</v>
      </c>
      <c r="D267" s="34">
        <v>1371.0108</v>
      </c>
      <c r="E267" s="16">
        <v>86938.08976559485</v>
      </c>
    </row>
    <row r="268" spans="1:5" x14ac:dyDescent="0.25">
      <c r="A268" s="15">
        <v>55110</v>
      </c>
      <c r="B268" s="13" t="s">
        <v>274</v>
      </c>
      <c r="C268" s="16">
        <v>121084464</v>
      </c>
      <c r="D268" s="34">
        <v>1736.0333000000001</v>
      </c>
      <c r="E268" s="16">
        <v>69747.777303580529</v>
      </c>
    </row>
    <row r="269" spans="1:5" x14ac:dyDescent="0.25">
      <c r="A269" s="15">
        <v>55111</v>
      </c>
      <c r="B269" s="13" t="s">
        <v>275</v>
      </c>
      <c r="C269" s="16">
        <v>31055399</v>
      </c>
      <c r="D269" s="34">
        <v>350.87459999999999</v>
      </c>
      <c r="E269" s="16">
        <v>88508.541228119677</v>
      </c>
    </row>
    <row r="270" spans="1:5" x14ac:dyDescent="0.25">
      <c r="A270" s="15">
        <v>56015</v>
      </c>
      <c r="B270" s="13" t="s">
        <v>276</v>
      </c>
      <c r="C270" s="16">
        <v>44622190</v>
      </c>
      <c r="D270" s="34">
        <v>453.0317</v>
      </c>
      <c r="E270" s="16">
        <v>98496.838079984242</v>
      </c>
    </row>
    <row r="271" spans="1:5" x14ac:dyDescent="0.25">
      <c r="A271" s="15">
        <v>56017</v>
      </c>
      <c r="B271" s="13" t="s">
        <v>277</v>
      </c>
      <c r="C271" s="16">
        <v>86621544</v>
      </c>
      <c r="D271" s="34">
        <v>839.27419999999995</v>
      </c>
      <c r="E271" s="16">
        <v>103210.06412445421</v>
      </c>
    </row>
    <row r="272" spans="1:5" x14ac:dyDescent="0.25">
      <c r="A272" s="15">
        <v>57001</v>
      </c>
      <c r="B272" s="13" t="s">
        <v>278</v>
      </c>
      <c r="C272" s="16">
        <v>38341264</v>
      </c>
      <c r="D272" s="34">
        <v>408.26190000000003</v>
      </c>
      <c r="E272" s="16">
        <v>93913.402156801792</v>
      </c>
    </row>
    <row r="273" spans="1:5" x14ac:dyDescent="0.25">
      <c r="A273" s="15">
        <v>57002</v>
      </c>
      <c r="B273" s="13" t="s">
        <v>279</v>
      </c>
      <c r="C273" s="16">
        <v>54468588</v>
      </c>
      <c r="D273" s="34">
        <v>777.35599999999999</v>
      </c>
      <c r="E273" s="16">
        <v>70069.039153232239</v>
      </c>
    </row>
    <row r="274" spans="1:5" x14ac:dyDescent="0.25">
      <c r="A274" s="15">
        <v>57003</v>
      </c>
      <c r="B274" s="13" t="s">
        <v>280</v>
      </c>
      <c r="C274" s="16">
        <v>580487060</v>
      </c>
      <c r="D274" s="34">
        <v>6017.7467999999999</v>
      </c>
      <c r="E274" s="16">
        <v>96462.526472532874</v>
      </c>
    </row>
    <row r="275" spans="1:5" x14ac:dyDescent="0.25">
      <c r="A275" s="15">
        <v>57004</v>
      </c>
      <c r="B275" s="13" t="s">
        <v>281</v>
      </c>
      <c r="C275" s="16">
        <v>119730475</v>
      </c>
      <c r="D275" s="34">
        <v>1470.8467000000001</v>
      </c>
      <c r="E275" s="16">
        <v>81402.416036966999</v>
      </c>
    </row>
    <row r="276" spans="1:5" x14ac:dyDescent="0.25">
      <c r="A276" s="15">
        <v>58106</v>
      </c>
      <c r="B276" s="13" t="s">
        <v>282</v>
      </c>
      <c r="C276" s="16">
        <v>19688424</v>
      </c>
      <c r="D276" s="34">
        <v>167.6481</v>
      </c>
      <c r="E276" s="16">
        <v>117438.99274730821</v>
      </c>
    </row>
    <row r="277" spans="1:5" x14ac:dyDescent="0.25">
      <c r="A277" s="15">
        <v>58107</v>
      </c>
      <c r="B277" s="13" t="s">
        <v>283</v>
      </c>
      <c r="C277" s="16">
        <v>12512168</v>
      </c>
      <c r="D277" s="34">
        <v>106.203</v>
      </c>
      <c r="E277" s="16">
        <v>117813.69641158912</v>
      </c>
    </row>
    <row r="278" spans="1:5" x14ac:dyDescent="0.25">
      <c r="A278" s="15">
        <v>58108</v>
      </c>
      <c r="B278" s="13" t="s">
        <v>284</v>
      </c>
      <c r="C278" s="16">
        <v>19648635</v>
      </c>
      <c r="D278" s="34">
        <v>216.82939999999999</v>
      </c>
      <c r="E278" s="16">
        <v>90617.946643766947</v>
      </c>
    </row>
    <row r="279" spans="1:5" x14ac:dyDescent="0.25">
      <c r="A279" s="15">
        <v>58109</v>
      </c>
      <c r="B279" s="13" t="s">
        <v>285</v>
      </c>
      <c r="C279" s="16">
        <v>45235111</v>
      </c>
      <c r="D279" s="34">
        <v>610.84529999999995</v>
      </c>
      <c r="E279" s="16">
        <v>74053.301220456313</v>
      </c>
    </row>
    <row r="280" spans="1:5" x14ac:dyDescent="0.25">
      <c r="A280" s="15">
        <v>58112</v>
      </c>
      <c r="B280" s="13" t="s">
        <v>286</v>
      </c>
      <c r="C280" s="16">
        <v>66404383</v>
      </c>
      <c r="D280" s="34">
        <v>837.12120000000004</v>
      </c>
      <c r="E280" s="16">
        <v>79324.693963072481</v>
      </c>
    </row>
    <row r="281" spans="1:5" x14ac:dyDescent="0.25">
      <c r="A281" s="15">
        <v>59113</v>
      </c>
      <c r="B281" s="13" t="s">
        <v>287</v>
      </c>
      <c r="C281" s="16">
        <v>12488960</v>
      </c>
      <c r="D281" s="34">
        <v>154.18199999999999</v>
      </c>
      <c r="E281" s="16">
        <v>81001.413913426994</v>
      </c>
    </row>
    <row r="282" spans="1:5" x14ac:dyDescent="0.25">
      <c r="A282" s="15">
        <v>59114</v>
      </c>
      <c r="B282" s="13" t="s">
        <v>288</v>
      </c>
      <c r="C282" s="16">
        <v>8466580</v>
      </c>
      <c r="D282" s="34">
        <v>67.889499999999998</v>
      </c>
      <c r="E282" s="16">
        <v>124711.18508753195</v>
      </c>
    </row>
    <row r="283" spans="1:5" x14ac:dyDescent="0.25">
      <c r="A283" s="15">
        <v>59117</v>
      </c>
      <c r="B283" s="13" t="s">
        <v>289</v>
      </c>
      <c r="C283" s="16">
        <v>150803046</v>
      </c>
      <c r="D283" s="34">
        <v>1706.3597</v>
      </c>
      <c r="E283" s="16">
        <v>88377.055552823949</v>
      </c>
    </row>
    <row r="284" spans="1:5" x14ac:dyDescent="0.25">
      <c r="A284" s="15">
        <v>60077</v>
      </c>
      <c r="B284" s="13" t="s">
        <v>290</v>
      </c>
      <c r="C284" s="16">
        <v>242424903</v>
      </c>
      <c r="D284" s="34">
        <v>3549.7755999999999</v>
      </c>
      <c r="E284" s="16">
        <v>68293.021958909172</v>
      </c>
    </row>
    <row r="285" spans="1:5" x14ac:dyDescent="0.25">
      <c r="A285" s="15">
        <v>61150</v>
      </c>
      <c r="B285" s="13" t="s">
        <v>291</v>
      </c>
      <c r="C285" s="16">
        <v>17979084</v>
      </c>
      <c r="D285" s="34">
        <v>193.5172</v>
      </c>
      <c r="E285" s="16">
        <v>92906.904399195526</v>
      </c>
    </row>
    <row r="286" spans="1:5" x14ac:dyDescent="0.25">
      <c r="A286" s="15">
        <v>61151</v>
      </c>
      <c r="B286" s="13" t="s">
        <v>292</v>
      </c>
      <c r="C286" s="16">
        <v>15278833</v>
      </c>
      <c r="D286" s="34">
        <v>156.4563</v>
      </c>
      <c r="E286" s="16">
        <v>97655.594565383435</v>
      </c>
    </row>
    <row r="287" spans="1:5" x14ac:dyDescent="0.25">
      <c r="A287" s="15">
        <v>61154</v>
      </c>
      <c r="B287" s="13" t="s">
        <v>293</v>
      </c>
      <c r="C287" s="16">
        <v>27783282</v>
      </c>
      <c r="D287" s="34">
        <v>313.4914</v>
      </c>
      <c r="E287" s="16">
        <v>88625.340280467019</v>
      </c>
    </row>
    <row r="288" spans="1:5" x14ac:dyDescent="0.25">
      <c r="A288" s="15">
        <v>61156</v>
      </c>
      <c r="B288" s="13" t="s">
        <v>294</v>
      </c>
      <c r="C288" s="16">
        <v>120905358</v>
      </c>
      <c r="D288" s="34">
        <v>1214.2347</v>
      </c>
      <c r="E288" s="16">
        <v>99573.30160305911</v>
      </c>
    </row>
    <row r="289" spans="1:5" x14ac:dyDescent="0.25">
      <c r="A289" s="15">
        <v>61157</v>
      </c>
      <c r="B289" s="13" t="s">
        <v>295</v>
      </c>
      <c r="C289" s="16">
        <v>7035316</v>
      </c>
      <c r="D289" s="34">
        <v>81.2012</v>
      </c>
      <c r="E289" s="16">
        <v>86640.542257996189</v>
      </c>
    </row>
    <row r="290" spans="1:5" x14ac:dyDescent="0.25">
      <c r="A290" s="15">
        <v>61158</v>
      </c>
      <c r="B290" s="13" t="s">
        <v>296</v>
      </c>
      <c r="C290" s="16">
        <v>13410772</v>
      </c>
      <c r="D290" s="34">
        <v>94.032799999999995</v>
      </c>
      <c r="E290" s="16">
        <v>142618.02264741666</v>
      </c>
    </row>
    <row r="291" spans="1:5" x14ac:dyDescent="0.25">
      <c r="A291" s="15">
        <v>62070</v>
      </c>
      <c r="B291" s="13" t="s">
        <v>297</v>
      </c>
      <c r="C291" s="16">
        <v>11253698</v>
      </c>
      <c r="D291" s="34">
        <v>111.0287</v>
      </c>
      <c r="E291" s="16">
        <v>101358.45956946268</v>
      </c>
    </row>
    <row r="292" spans="1:5" x14ac:dyDescent="0.25">
      <c r="A292" s="15">
        <v>62072</v>
      </c>
      <c r="B292" s="13" t="s">
        <v>298</v>
      </c>
      <c r="C292" s="16">
        <v>104216445</v>
      </c>
      <c r="D292" s="34">
        <v>1860.6801</v>
      </c>
      <c r="E292" s="16">
        <v>56009.867037326832</v>
      </c>
    </row>
    <row r="293" spans="1:5" x14ac:dyDescent="0.25">
      <c r="A293" s="15">
        <v>63066</v>
      </c>
      <c r="B293" s="13" t="s">
        <v>299</v>
      </c>
      <c r="C293" s="16">
        <v>59022610</v>
      </c>
      <c r="D293" s="34">
        <v>443.73430000000002</v>
      </c>
      <c r="E293" s="16">
        <v>133013.40464327415</v>
      </c>
    </row>
    <row r="294" spans="1:5" x14ac:dyDescent="0.25">
      <c r="A294" s="15">
        <v>63067</v>
      </c>
      <c r="B294" s="13" t="s">
        <v>300</v>
      </c>
      <c r="C294" s="16">
        <v>72308958</v>
      </c>
      <c r="D294" s="34">
        <v>709.10339999999997</v>
      </c>
      <c r="E294" s="16">
        <v>101972.37525585126</v>
      </c>
    </row>
    <row r="295" spans="1:5" x14ac:dyDescent="0.25">
      <c r="A295" s="15">
        <v>64072</v>
      </c>
      <c r="B295" s="13" t="s">
        <v>301</v>
      </c>
      <c r="C295" s="16">
        <v>17716192</v>
      </c>
      <c r="D295" s="34">
        <v>188.57490000000001</v>
      </c>
      <c r="E295" s="16">
        <v>93947.773537199275</v>
      </c>
    </row>
    <row r="296" spans="1:5" x14ac:dyDescent="0.25">
      <c r="A296" s="15">
        <v>64074</v>
      </c>
      <c r="B296" s="13" t="s">
        <v>302</v>
      </c>
      <c r="C296" s="16">
        <v>140946820</v>
      </c>
      <c r="D296" s="34">
        <v>1063.3387</v>
      </c>
      <c r="E296" s="16">
        <v>132551.19934974622</v>
      </c>
    </row>
    <row r="297" spans="1:5" x14ac:dyDescent="0.25">
      <c r="A297" s="15">
        <v>64075</v>
      </c>
      <c r="B297" s="13" t="s">
        <v>303</v>
      </c>
      <c r="C297" s="16">
        <v>336298699</v>
      </c>
      <c r="D297" s="34">
        <v>3258.1343000000002</v>
      </c>
      <c r="E297" s="16">
        <v>103218.18195155429</v>
      </c>
    </row>
    <row r="298" spans="1:5" x14ac:dyDescent="0.25">
      <c r="A298" s="15">
        <v>65096</v>
      </c>
      <c r="B298" s="13" t="s">
        <v>304</v>
      </c>
      <c r="C298" s="16">
        <v>18228356</v>
      </c>
      <c r="D298" s="34">
        <v>160.73259999999999</v>
      </c>
      <c r="E298" s="16">
        <v>113407.95831088405</v>
      </c>
    </row>
    <row r="299" spans="1:5" x14ac:dyDescent="0.25">
      <c r="A299" s="15">
        <v>65098</v>
      </c>
      <c r="B299" s="13" t="s">
        <v>305</v>
      </c>
      <c r="C299" s="16">
        <v>47914081</v>
      </c>
      <c r="D299" s="34">
        <v>310.04880000000003</v>
      </c>
      <c r="E299" s="16">
        <v>154537.22446272973</v>
      </c>
    </row>
    <row r="300" spans="1:5" x14ac:dyDescent="0.25">
      <c r="A300" s="15">
        <v>66102</v>
      </c>
      <c r="B300" s="13" t="s">
        <v>306</v>
      </c>
      <c r="C300" s="16">
        <v>190351325</v>
      </c>
      <c r="D300" s="34">
        <v>1777.1142</v>
      </c>
      <c r="E300" s="16">
        <v>107112.60142989122</v>
      </c>
    </row>
    <row r="301" spans="1:5" x14ac:dyDescent="0.25">
      <c r="A301" s="15">
        <v>66103</v>
      </c>
      <c r="B301" s="13" t="s">
        <v>307</v>
      </c>
      <c r="C301" s="16">
        <v>12819726</v>
      </c>
      <c r="D301" s="34">
        <v>190.31120000000001</v>
      </c>
      <c r="E301" s="16">
        <v>67361.910386777017</v>
      </c>
    </row>
    <row r="302" spans="1:5" x14ac:dyDescent="0.25">
      <c r="A302" s="15">
        <v>66104</v>
      </c>
      <c r="B302" s="13" t="s">
        <v>308</v>
      </c>
      <c r="C302" s="16">
        <v>18042861</v>
      </c>
      <c r="D302" s="34">
        <v>240.2098</v>
      </c>
      <c r="E302" s="16">
        <v>75112.926283607085</v>
      </c>
    </row>
    <row r="303" spans="1:5" x14ac:dyDescent="0.25">
      <c r="A303" s="15">
        <v>66105</v>
      </c>
      <c r="B303" s="13" t="s">
        <v>309</v>
      </c>
      <c r="C303" s="16">
        <v>565661050</v>
      </c>
      <c r="D303" s="34">
        <v>1877.7373</v>
      </c>
      <c r="E303" s="16">
        <v>301246.10615127045</v>
      </c>
    </row>
    <row r="304" spans="1:5" x14ac:dyDescent="0.25">
      <c r="A304" s="15">
        <v>66107</v>
      </c>
      <c r="B304" s="13" t="s">
        <v>310</v>
      </c>
      <c r="C304" s="16">
        <v>38869669</v>
      </c>
      <c r="D304" s="34">
        <v>702.59490000000005</v>
      </c>
      <c r="E304" s="16">
        <v>55323.016150558447</v>
      </c>
    </row>
    <row r="305" spans="1:5" x14ac:dyDescent="0.25">
      <c r="A305" s="15">
        <v>67055</v>
      </c>
      <c r="B305" s="13" t="s">
        <v>311</v>
      </c>
      <c r="C305" s="16">
        <v>71382691</v>
      </c>
      <c r="D305" s="34">
        <v>1000.2849</v>
      </c>
      <c r="E305" s="16">
        <v>71362.359863674836</v>
      </c>
    </row>
    <row r="306" spans="1:5" x14ac:dyDescent="0.25">
      <c r="A306" s="15">
        <v>67061</v>
      </c>
      <c r="B306" s="13" t="s">
        <v>312</v>
      </c>
      <c r="C306" s="16">
        <v>90851658</v>
      </c>
      <c r="D306" s="34">
        <v>768.005</v>
      </c>
      <c r="E306" s="16">
        <v>118295.65953346658</v>
      </c>
    </row>
    <row r="307" spans="1:5" x14ac:dyDescent="0.25">
      <c r="A307" s="15">
        <v>68070</v>
      </c>
      <c r="B307" s="13" t="s">
        <v>313</v>
      </c>
      <c r="C307" s="16">
        <v>93878466</v>
      </c>
      <c r="D307" s="34">
        <v>1307.5056999999999</v>
      </c>
      <c r="E307" s="16">
        <v>71799.660988093587</v>
      </c>
    </row>
    <row r="308" spans="1:5" x14ac:dyDescent="0.25">
      <c r="A308" s="15">
        <v>68071</v>
      </c>
      <c r="B308" s="13" t="s">
        <v>314</v>
      </c>
      <c r="C308" s="16">
        <v>11296348</v>
      </c>
      <c r="D308" s="34">
        <v>114.0909</v>
      </c>
      <c r="E308" s="16">
        <v>99011.82302883052</v>
      </c>
    </row>
    <row r="309" spans="1:5" x14ac:dyDescent="0.25">
      <c r="A309" s="15">
        <v>68072</v>
      </c>
      <c r="B309" s="13" t="s">
        <v>315</v>
      </c>
      <c r="C309" s="16">
        <v>11538516</v>
      </c>
      <c r="D309" s="34">
        <v>55.207999999999998</v>
      </c>
      <c r="E309" s="16">
        <v>209000.79698594406</v>
      </c>
    </row>
    <row r="310" spans="1:5" x14ac:dyDescent="0.25">
      <c r="A310" s="15">
        <v>68073</v>
      </c>
      <c r="B310" s="13" t="s">
        <v>316</v>
      </c>
      <c r="C310" s="16">
        <v>50690559</v>
      </c>
      <c r="D310" s="34">
        <v>566.73609999999996</v>
      </c>
      <c r="E310" s="16">
        <v>89442.968252772334</v>
      </c>
    </row>
    <row r="311" spans="1:5" x14ac:dyDescent="0.25">
      <c r="A311" s="15">
        <v>68074</v>
      </c>
      <c r="B311" s="13" t="s">
        <v>317</v>
      </c>
      <c r="C311" s="16">
        <v>17962064</v>
      </c>
      <c r="D311" s="34">
        <v>194.77680000000001</v>
      </c>
      <c r="E311" s="16">
        <v>92218.703664912857</v>
      </c>
    </row>
    <row r="312" spans="1:5" x14ac:dyDescent="0.25">
      <c r="A312" s="15">
        <v>68075</v>
      </c>
      <c r="B312" s="13" t="s">
        <v>318</v>
      </c>
      <c r="C312" s="16">
        <v>8015535</v>
      </c>
      <c r="D312" s="34">
        <v>78.775800000000004</v>
      </c>
      <c r="E312" s="16">
        <v>101751.23578560929</v>
      </c>
    </row>
    <row r="313" spans="1:5" x14ac:dyDescent="0.25">
      <c r="A313" s="15">
        <v>69104</v>
      </c>
      <c r="B313" s="13" t="s">
        <v>319</v>
      </c>
      <c r="C313" s="16">
        <v>5018462</v>
      </c>
      <c r="D313" s="34">
        <v>37.695399999999999</v>
      </c>
      <c r="E313" s="16">
        <v>133131.94713413308</v>
      </c>
    </row>
    <row r="314" spans="1:5" x14ac:dyDescent="0.25">
      <c r="A314" s="15">
        <v>69106</v>
      </c>
      <c r="B314" s="13" t="s">
        <v>320</v>
      </c>
      <c r="C314" s="16">
        <v>88955488</v>
      </c>
      <c r="D314" s="34">
        <v>672.70740000000001</v>
      </c>
      <c r="E314" s="16">
        <v>132235.0371052853</v>
      </c>
    </row>
    <row r="315" spans="1:5" x14ac:dyDescent="0.25">
      <c r="A315" s="15">
        <v>69107</v>
      </c>
      <c r="B315" s="13" t="s">
        <v>321</v>
      </c>
      <c r="C315" s="16">
        <v>8967690</v>
      </c>
      <c r="D315" s="34">
        <v>65.5197</v>
      </c>
      <c r="E315" s="16">
        <v>136870.13218924994</v>
      </c>
    </row>
    <row r="316" spans="1:5" x14ac:dyDescent="0.25">
      <c r="A316" s="15">
        <v>69108</v>
      </c>
      <c r="B316" s="13" t="s">
        <v>322</v>
      </c>
      <c r="C316" s="16">
        <v>15051898</v>
      </c>
      <c r="D316" s="34">
        <v>167.4717</v>
      </c>
      <c r="E316" s="16">
        <v>89877.262845006058</v>
      </c>
    </row>
    <row r="317" spans="1:5" x14ac:dyDescent="0.25">
      <c r="A317" s="15">
        <v>69109</v>
      </c>
      <c r="B317" s="13" t="s">
        <v>323</v>
      </c>
      <c r="C317" s="16">
        <v>49759095</v>
      </c>
      <c r="D317" s="34">
        <v>378.06369999999998</v>
      </c>
      <c r="E317" s="16">
        <v>131615.63778802357</v>
      </c>
    </row>
    <row r="318" spans="1:5" x14ac:dyDescent="0.25">
      <c r="A318" s="15">
        <v>70092</v>
      </c>
      <c r="B318" s="13" t="s">
        <v>324</v>
      </c>
      <c r="C318" s="16">
        <v>30713507</v>
      </c>
      <c r="D318" s="34">
        <v>317.541</v>
      </c>
      <c r="E318" s="16">
        <v>96722.964908468508</v>
      </c>
    </row>
    <row r="319" spans="1:5" x14ac:dyDescent="0.25">
      <c r="A319" s="15">
        <v>70093</v>
      </c>
      <c r="B319" s="13" t="s">
        <v>325</v>
      </c>
      <c r="C319" s="16">
        <v>136204035</v>
      </c>
      <c r="D319" s="34">
        <v>1113.1196</v>
      </c>
      <c r="E319" s="16">
        <v>122362.44425127363</v>
      </c>
    </row>
    <row r="320" spans="1:5" x14ac:dyDescent="0.25">
      <c r="A320" s="15">
        <v>71091</v>
      </c>
      <c r="B320" s="13" t="s">
        <v>326</v>
      </c>
      <c r="C320" s="16">
        <v>89760062</v>
      </c>
      <c r="D320" s="34">
        <v>684.8433</v>
      </c>
      <c r="E320" s="16">
        <v>131066.56953495785</v>
      </c>
    </row>
    <row r="321" spans="1:5" x14ac:dyDescent="0.25">
      <c r="A321" s="15">
        <v>71092</v>
      </c>
      <c r="B321" s="13" t="s">
        <v>327</v>
      </c>
      <c r="C321" s="16">
        <v>283767186</v>
      </c>
      <c r="D321" s="34">
        <v>1228.2164</v>
      </c>
      <c r="E321" s="16">
        <v>231040.05613343057</v>
      </c>
    </row>
    <row r="322" spans="1:5" x14ac:dyDescent="0.25">
      <c r="A322" s="15">
        <v>72066</v>
      </c>
      <c r="B322" s="13" t="s">
        <v>328</v>
      </c>
      <c r="C322" s="16">
        <v>10786431</v>
      </c>
      <c r="D322" s="34">
        <v>165.46430000000001</v>
      </c>
      <c r="E322" s="16">
        <v>65188.871557187864</v>
      </c>
    </row>
    <row r="323" spans="1:5" x14ac:dyDescent="0.25">
      <c r="A323" s="15">
        <v>72068</v>
      </c>
      <c r="B323" s="13" t="s">
        <v>329</v>
      </c>
      <c r="C323" s="16">
        <v>52268056</v>
      </c>
      <c r="D323" s="34">
        <v>686.84879999999998</v>
      </c>
      <c r="E323" s="16">
        <v>76098.343623807741</v>
      </c>
    </row>
    <row r="324" spans="1:5" x14ac:dyDescent="0.25">
      <c r="A324" s="15">
        <v>72073</v>
      </c>
      <c r="B324" s="13" t="s">
        <v>330</v>
      </c>
      <c r="C324" s="16">
        <v>14886243</v>
      </c>
      <c r="D324" s="34">
        <v>222.05109999999999</v>
      </c>
      <c r="E324" s="16">
        <v>67039.71743441037</v>
      </c>
    </row>
    <row r="325" spans="1:5" x14ac:dyDescent="0.25">
      <c r="A325" s="15">
        <v>72074</v>
      </c>
      <c r="B325" s="13" t="s">
        <v>331</v>
      </c>
      <c r="C325" s="16">
        <v>267141957</v>
      </c>
      <c r="D325" s="34">
        <v>1200.6373000000001</v>
      </c>
      <c r="E325" s="16">
        <v>222500.13138855505</v>
      </c>
    </row>
    <row r="326" spans="1:5" x14ac:dyDescent="0.25">
      <c r="A326" s="15">
        <v>73099</v>
      </c>
      <c r="B326" s="13" t="s">
        <v>332</v>
      </c>
      <c r="C326" s="16">
        <v>79676163</v>
      </c>
      <c r="D326" s="34">
        <v>1256.7342000000001</v>
      </c>
      <c r="E326" s="16">
        <v>63399.375142333192</v>
      </c>
    </row>
    <row r="327" spans="1:5" x14ac:dyDescent="0.25">
      <c r="A327" s="15">
        <v>73102</v>
      </c>
      <c r="B327" s="13" t="s">
        <v>333</v>
      </c>
      <c r="C327" s="16">
        <v>77195217</v>
      </c>
      <c r="D327" s="34">
        <v>668.90899999999999</v>
      </c>
      <c r="E327" s="16">
        <v>115404.66191963332</v>
      </c>
    </row>
    <row r="328" spans="1:5" x14ac:dyDescent="0.25">
      <c r="A328" s="15">
        <v>73105</v>
      </c>
      <c r="B328" s="13" t="s">
        <v>334</v>
      </c>
      <c r="C328" s="16">
        <v>9777190</v>
      </c>
      <c r="D328" s="34">
        <v>142.4956</v>
      </c>
      <c r="E328" s="16">
        <v>68613.978256170725</v>
      </c>
    </row>
    <row r="329" spans="1:5" x14ac:dyDescent="0.25">
      <c r="A329" s="15">
        <v>73106</v>
      </c>
      <c r="B329" s="13" t="s">
        <v>335</v>
      </c>
      <c r="C329" s="16">
        <v>100885596</v>
      </c>
      <c r="D329" s="34">
        <v>1390.1566</v>
      </c>
      <c r="E329" s="16">
        <v>72571.389439146646</v>
      </c>
    </row>
    <row r="330" spans="1:5" x14ac:dyDescent="0.25">
      <c r="A330" s="15">
        <v>73108</v>
      </c>
      <c r="B330" s="13" t="s">
        <v>1579</v>
      </c>
      <c r="C330" s="16">
        <v>328416994</v>
      </c>
      <c r="D330" s="34">
        <v>4435.8761000000004</v>
      </c>
      <c r="E330" s="16">
        <v>74036.557062538326</v>
      </c>
    </row>
    <row r="331" spans="1:5" x14ac:dyDescent="0.25">
      <c r="A331" s="15">
        <v>74187</v>
      </c>
      <c r="B331" s="13" t="s">
        <v>337</v>
      </c>
      <c r="C331" s="16">
        <v>28349269</v>
      </c>
      <c r="D331" s="34">
        <v>188.69810000000001</v>
      </c>
      <c r="E331" s="16">
        <v>150236.11260526735</v>
      </c>
    </row>
    <row r="332" spans="1:5" x14ac:dyDescent="0.25">
      <c r="A332" s="15">
        <v>74190</v>
      </c>
      <c r="B332" s="13" t="s">
        <v>338</v>
      </c>
      <c r="C332" s="16">
        <v>24567931</v>
      </c>
      <c r="D332" s="34">
        <v>227.49350000000001</v>
      </c>
      <c r="E332" s="16">
        <v>107993.99103710655</v>
      </c>
    </row>
    <row r="333" spans="1:5" x14ac:dyDescent="0.25">
      <c r="A333" s="15">
        <v>74194</v>
      </c>
      <c r="B333" s="13" t="s">
        <v>339</v>
      </c>
      <c r="C333" s="16">
        <v>16754801</v>
      </c>
      <c r="D333" s="34">
        <v>193.34180000000001</v>
      </c>
      <c r="E333" s="16">
        <v>86658.968727921223</v>
      </c>
    </row>
    <row r="334" spans="1:5" x14ac:dyDescent="0.25">
      <c r="A334" s="15">
        <v>74195</v>
      </c>
      <c r="B334" s="13" t="s">
        <v>340</v>
      </c>
      <c r="C334" s="16">
        <v>14479575</v>
      </c>
      <c r="D334" s="34">
        <v>125.07940000000001</v>
      </c>
      <c r="E334" s="16">
        <v>115763.06729965126</v>
      </c>
    </row>
    <row r="335" spans="1:5" x14ac:dyDescent="0.25">
      <c r="A335" s="15">
        <v>74197</v>
      </c>
      <c r="B335" s="13" t="s">
        <v>341</v>
      </c>
      <c r="C335" s="16">
        <v>16209262</v>
      </c>
      <c r="D335" s="34">
        <v>197.3801</v>
      </c>
      <c r="E335" s="16">
        <v>82122.068030161099</v>
      </c>
    </row>
    <row r="336" spans="1:5" x14ac:dyDescent="0.25">
      <c r="A336" s="15">
        <v>74201</v>
      </c>
      <c r="B336" s="13" t="s">
        <v>342</v>
      </c>
      <c r="C336" s="16">
        <v>189583746</v>
      </c>
      <c r="D336" s="34">
        <v>1386.5007000000001</v>
      </c>
      <c r="E336" s="16">
        <v>136735.41311591116</v>
      </c>
    </row>
    <row r="337" spans="1:5" x14ac:dyDescent="0.25">
      <c r="A337" s="15">
        <v>74202</v>
      </c>
      <c r="B337" s="13" t="s">
        <v>343</v>
      </c>
      <c r="C337" s="16">
        <v>15773993</v>
      </c>
      <c r="D337" s="34">
        <v>157.19839999999999</v>
      </c>
      <c r="E337" s="16">
        <v>100344.48823906605</v>
      </c>
    </row>
    <row r="338" spans="1:5" x14ac:dyDescent="0.25">
      <c r="A338" s="15">
        <v>75084</v>
      </c>
      <c r="B338" s="13" t="s">
        <v>344</v>
      </c>
      <c r="C338" s="16">
        <v>12902305</v>
      </c>
      <c r="D338" s="34">
        <v>128.99940000000001</v>
      </c>
      <c r="E338" s="16">
        <v>100018.33341860503</v>
      </c>
    </row>
    <row r="339" spans="1:5" x14ac:dyDescent="0.25">
      <c r="A339" s="15">
        <v>75085</v>
      </c>
      <c r="B339" s="13" t="s">
        <v>345</v>
      </c>
      <c r="C339" s="16">
        <v>33424869</v>
      </c>
      <c r="D339" s="34">
        <v>635.48829999999998</v>
      </c>
      <c r="E339" s="16">
        <v>52597.143015850961</v>
      </c>
    </row>
    <row r="340" spans="1:5" x14ac:dyDescent="0.25">
      <c r="A340" s="15">
        <v>75086</v>
      </c>
      <c r="B340" s="13" t="s">
        <v>346</v>
      </c>
      <c r="C340" s="16">
        <v>15144969</v>
      </c>
      <c r="D340" s="34">
        <v>196.30420000000001</v>
      </c>
      <c r="E340" s="16">
        <v>77150.509260627121</v>
      </c>
    </row>
    <row r="341" spans="1:5" x14ac:dyDescent="0.25">
      <c r="A341" s="15">
        <v>75087</v>
      </c>
      <c r="B341" s="13" t="s">
        <v>347</v>
      </c>
      <c r="C341" s="16">
        <v>41590350</v>
      </c>
      <c r="D341" s="34">
        <v>625.83540000000005</v>
      </c>
      <c r="E341" s="16">
        <v>66455.732609564744</v>
      </c>
    </row>
    <row r="342" spans="1:5" x14ac:dyDescent="0.25">
      <c r="A342" s="15">
        <v>76081</v>
      </c>
      <c r="B342" s="13" t="s">
        <v>348</v>
      </c>
      <c r="C342" s="16">
        <v>16045593</v>
      </c>
      <c r="D342" s="34">
        <v>137.2457</v>
      </c>
      <c r="E342" s="16">
        <v>116911.44422011035</v>
      </c>
    </row>
    <row r="343" spans="1:5" x14ac:dyDescent="0.25">
      <c r="A343" s="15">
        <v>76082</v>
      </c>
      <c r="B343" s="13" t="s">
        <v>349</v>
      </c>
      <c r="C343" s="16">
        <v>66827641</v>
      </c>
      <c r="D343" s="34">
        <v>606.71799999999996</v>
      </c>
      <c r="E343" s="16">
        <v>110146.13214046725</v>
      </c>
    </row>
    <row r="344" spans="1:5" x14ac:dyDescent="0.25">
      <c r="A344" s="15">
        <v>76083</v>
      </c>
      <c r="B344" s="13" t="s">
        <v>350</v>
      </c>
      <c r="C344" s="16">
        <v>96094326</v>
      </c>
      <c r="D344" s="34">
        <v>781.19560000000001</v>
      </c>
      <c r="E344" s="16">
        <v>123009.30266376308</v>
      </c>
    </row>
    <row r="345" spans="1:5" x14ac:dyDescent="0.25">
      <c r="A345" s="15">
        <v>77100</v>
      </c>
      <c r="B345" s="13" t="s">
        <v>351</v>
      </c>
      <c r="C345" s="16">
        <v>7375660</v>
      </c>
      <c r="D345" s="34">
        <v>55.954599999999999</v>
      </c>
      <c r="E345" s="16">
        <v>131815.07865305088</v>
      </c>
    </row>
    <row r="346" spans="1:5" x14ac:dyDescent="0.25">
      <c r="A346" s="15">
        <v>77101</v>
      </c>
      <c r="B346" s="13" t="s">
        <v>352</v>
      </c>
      <c r="C346" s="16">
        <v>15568476</v>
      </c>
      <c r="D346" s="34">
        <v>325.53789999999998</v>
      </c>
      <c r="E346" s="16">
        <v>47823.850924884631</v>
      </c>
    </row>
    <row r="347" spans="1:5" x14ac:dyDescent="0.25">
      <c r="A347" s="15">
        <v>77102</v>
      </c>
      <c r="B347" s="13" t="s">
        <v>353</v>
      </c>
      <c r="C347" s="16">
        <v>54874509</v>
      </c>
      <c r="D347" s="34">
        <v>642.00750000000005</v>
      </c>
      <c r="E347" s="16">
        <v>85473.314564082189</v>
      </c>
    </row>
    <row r="348" spans="1:5" x14ac:dyDescent="0.25">
      <c r="A348" s="15">
        <v>77103</v>
      </c>
      <c r="B348" s="13" t="s">
        <v>354</v>
      </c>
      <c r="C348" s="16">
        <v>19343177</v>
      </c>
      <c r="D348" s="34">
        <v>280.69450000000001</v>
      </c>
      <c r="E348" s="16">
        <v>68911.849003097668</v>
      </c>
    </row>
    <row r="349" spans="1:5" x14ac:dyDescent="0.25">
      <c r="A349" s="15">
        <v>77104</v>
      </c>
      <c r="B349" s="13" t="s">
        <v>355</v>
      </c>
      <c r="C349" s="16">
        <v>27107891</v>
      </c>
      <c r="D349" s="34">
        <v>109.9165</v>
      </c>
      <c r="E349" s="16">
        <v>246622.58168700786</v>
      </c>
    </row>
    <row r="350" spans="1:5" x14ac:dyDescent="0.25">
      <c r="A350" s="15">
        <v>78001</v>
      </c>
      <c r="B350" s="13" t="s">
        <v>356</v>
      </c>
      <c r="C350" s="16">
        <v>19371856</v>
      </c>
      <c r="D350" s="34">
        <v>205.846</v>
      </c>
      <c r="E350" s="16">
        <v>94108.488870320536</v>
      </c>
    </row>
    <row r="351" spans="1:5" x14ac:dyDescent="0.25">
      <c r="A351" s="15">
        <v>78002</v>
      </c>
      <c r="B351" s="13" t="s">
        <v>357</v>
      </c>
      <c r="C351" s="16">
        <v>28817944</v>
      </c>
      <c r="D351" s="34">
        <v>584.36800000000005</v>
      </c>
      <c r="E351" s="16">
        <v>49314.719491827062</v>
      </c>
    </row>
    <row r="352" spans="1:5" x14ac:dyDescent="0.25">
      <c r="A352" s="15">
        <v>78003</v>
      </c>
      <c r="B352" s="13" t="s">
        <v>358</v>
      </c>
      <c r="C352" s="16">
        <v>12383740</v>
      </c>
      <c r="D352" s="34">
        <v>153.16730000000001</v>
      </c>
      <c r="E352" s="16">
        <v>80851.069386220159</v>
      </c>
    </row>
    <row r="353" spans="1:5" x14ac:dyDescent="0.25">
      <c r="A353" s="15">
        <v>78004</v>
      </c>
      <c r="B353" s="13" t="s">
        <v>359</v>
      </c>
      <c r="C353" s="16">
        <v>8529593</v>
      </c>
      <c r="D353" s="34">
        <v>148.77340000000001</v>
      </c>
      <c r="E353" s="16">
        <v>57332.782607643567</v>
      </c>
    </row>
    <row r="354" spans="1:5" x14ac:dyDescent="0.25">
      <c r="A354" s="15">
        <v>78005</v>
      </c>
      <c r="B354" s="13" t="s">
        <v>360</v>
      </c>
      <c r="C354" s="16">
        <v>30735543</v>
      </c>
      <c r="D354" s="34">
        <v>597.04600000000005</v>
      </c>
      <c r="E354" s="16">
        <v>51479.35502457097</v>
      </c>
    </row>
    <row r="355" spans="1:5" x14ac:dyDescent="0.25">
      <c r="A355" s="15">
        <v>78009</v>
      </c>
      <c r="B355" s="13" t="s">
        <v>361</v>
      </c>
      <c r="C355" s="16">
        <v>12585843</v>
      </c>
      <c r="D355" s="34">
        <v>161.5865</v>
      </c>
      <c r="E355" s="16">
        <v>77889.198664492389</v>
      </c>
    </row>
    <row r="356" spans="1:5" x14ac:dyDescent="0.25">
      <c r="A356" s="15">
        <v>78012</v>
      </c>
      <c r="B356" s="13" t="s">
        <v>362</v>
      </c>
      <c r="C356" s="16">
        <v>50621682</v>
      </c>
      <c r="D356" s="34">
        <v>947.66039999999998</v>
      </c>
      <c r="E356" s="16">
        <v>53417.53438256996</v>
      </c>
    </row>
    <row r="357" spans="1:5" x14ac:dyDescent="0.25">
      <c r="A357" s="15">
        <v>79077</v>
      </c>
      <c r="B357" s="13" t="s">
        <v>363</v>
      </c>
      <c r="C357" s="16">
        <v>329517782</v>
      </c>
      <c r="D357" s="34">
        <v>2045.3073999999999</v>
      </c>
      <c r="E357" s="16">
        <v>161109.17214693499</v>
      </c>
    </row>
    <row r="358" spans="1:5" x14ac:dyDescent="0.25">
      <c r="A358" s="15">
        <v>79078</v>
      </c>
      <c r="B358" s="13" t="s">
        <v>364</v>
      </c>
      <c r="C358" s="16">
        <v>19224201</v>
      </c>
      <c r="D358" s="34">
        <v>96.355099999999993</v>
      </c>
      <c r="E358" s="16">
        <v>199514.09940937223</v>
      </c>
    </row>
    <row r="359" spans="1:5" x14ac:dyDescent="0.25">
      <c r="A359" s="15">
        <v>80116</v>
      </c>
      <c r="B359" s="13" t="s">
        <v>365</v>
      </c>
      <c r="C359" s="16">
        <v>33445519</v>
      </c>
      <c r="D359" s="34">
        <v>284.9436</v>
      </c>
      <c r="E359" s="16">
        <v>117375.92632366545</v>
      </c>
    </row>
    <row r="360" spans="1:5" x14ac:dyDescent="0.25">
      <c r="A360" s="15">
        <v>80118</v>
      </c>
      <c r="B360" s="13" t="s">
        <v>366</v>
      </c>
      <c r="C360" s="16">
        <v>22671320</v>
      </c>
      <c r="D360" s="34">
        <v>287.6549</v>
      </c>
      <c r="E360" s="16">
        <v>78814.30144245761</v>
      </c>
    </row>
    <row r="361" spans="1:5" x14ac:dyDescent="0.25">
      <c r="A361" s="15">
        <v>80119</v>
      </c>
      <c r="B361" s="13" t="s">
        <v>367</v>
      </c>
      <c r="C361" s="16">
        <v>48697620</v>
      </c>
      <c r="D361" s="34">
        <v>495.82850000000002</v>
      </c>
      <c r="E361" s="16">
        <v>98214.644781411305</v>
      </c>
    </row>
    <row r="362" spans="1:5" x14ac:dyDescent="0.25">
      <c r="A362" s="15">
        <v>80121</v>
      </c>
      <c r="B362" s="13" t="s">
        <v>368</v>
      </c>
      <c r="C362" s="16">
        <v>31598196</v>
      </c>
      <c r="D362" s="34">
        <v>382.12150000000003</v>
      </c>
      <c r="E362" s="16">
        <v>82691.489486982537</v>
      </c>
    </row>
    <row r="363" spans="1:5" x14ac:dyDescent="0.25">
      <c r="A363" s="15">
        <v>80122</v>
      </c>
      <c r="B363" s="13" t="s">
        <v>369</v>
      </c>
      <c r="C363" s="16">
        <v>55806798</v>
      </c>
      <c r="D363" s="34">
        <v>180.6985</v>
      </c>
      <c r="E363" s="16">
        <v>308839.29861066915</v>
      </c>
    </row>
    <row r="364" spans="1:5" x14ac:dyDescent="0.25">
      <c r="A364" s="15">
        <v>80125</v>
      </c>
      <c r="B364" s="13" t="s">
        <v>370</v>
      </c>
      <c r="C364" s="16">
        <v>386098944</v>
      </c>
      <c r="D364" s="34">
        <v>4634.3554999999997</v>
      </c>
      <c r="E364" s="16">
        <v>83312.327679652546</v>
      </c>
    </row>
    <row r="365" spans="1:5" x14ac:dyDescent="0.25">
      <c r="A365" s="15">
        <v>81094</v>
      </c>
      <c r="B365" s="13" t="s">
        <v>371</v>
      </c>
      <c r="C365" s="16">
        <v>123220163</v>
      </c>
      <c r="D365" s="34">
        <v>1754.1569999999999</v>
      </c>
      <c r="E365" s="16">
        <v>70244.660540647164</v>
      </c>
    </row>
    <row r="366" spans="1:5" x14ac:dyDescent="0.25">
      <c r="A366" s="15">
        <v>81095</v>
      </c>
      <c r="B366" s="13" t="s">
        <v>372</v>
      </c>
      <c r="C366" s="16">
        <v>28583751</v>
      </c>
      <c r="D366" s="34">
        <v>364.06490000000002</v>
      </c>
      <c r="E366" s="16">
        <v>78512.789889934458</v>
      </c>
    </row>
    <row r="367" spans="1:5" x14ac:dyDescent="0.25">
      <c r="A367" s="15">
        <v>81096</v>
      </c>
      <c r="B367" s="13" t="s">
        <v>373</v>
      </c>
      <c r="C367" s="16">
        <v>430690070</v>
      </c>
      <c r="D367" s="34">
        <v>3732.8308999999999</v>
      </c>
      <c r="E367" s="16">
        <v>115378.93934600681</v>
      </c>
    </row>
    <row r="368" spans="1:5" x14ac:dyDescent="0.25">
      <c r="A368" s="15">
        <v>81097</v>
      </c>
      <c r="B368" s="13" t="s">
        <v>374</v>
      </c>
      <c r="C368" s="16">
        <v>20043691</v>
      </c>
      <c r="D368" s="34">
        <v>212.1242</v>
      </c>
      <c r="E368" s="16">
        <v>94490.355178711339</v>
      </c>
    </row>
    <row r="369" spans="1:5" x14ac:dyDescent="0.25">
      <c r="A369" s="15">
        <v>82100</v>
      </c>
      <c r="B369" s="13" t="s">
        <v>375</v>
      </c>
      <c r="C369" s="16">
        <v>116882007</v>
      </c>
      <c r="D369" s="34">
        <v>1292.8517999999999</v>
      </c>
      <c r="E369" s="16">
        <v>90406.345878158667</v>
      </c>
    </row>
    <row r="370" spans="1:5" x14ac:dyDescent="0.25">
      <c r="A370" s="15">
        <v>82101</v>
      </c>
      <c r="B370" s="13" t="s">
        <v>376</v>
      </c>
      <c r="C370" s="16">
        <v>43072395</v>
      </c>
      <c r="D370" s="34">
        <v>383.46469999999999</v>
      </c>
      <c r="E370" s="16">
        <v>112324.27652401903</v>
      </c>
    </row>
    <row r="371" spans="1:5" x14ac:dyDescent="0.25">
      <c r="A371" s="15">
        <v>82105</v>
      </c>
      <c r="B371" s="13" t="s">
        <v>377</v>
      </c>
      <c r="C371" s="16">
        <v>12382932</v>
      </c>
      <c r="D371" s="34">
        <v>56.8459</v>
      </c>
      <c r="E371" s="16">
        <v>217833.33538566544</v>
      </c>
    </row>
    <row r="372" spans="1:5" x14ac:dyDescent="0.25">
      <c r="A372" s="15">
        <v>82108</v>
      </c>
      <c r="B372" s="13" t="s">
        <v>378</v>
      </c>
      <c r="C372" s="16">
        <v>51013559</v>
      </c>
      <c r="D372" s="34">
        <v>650.36300000000006</v>
      </c>
      <c r="E372" s="16">
        <v>78438.593523924326</v>
      </c>
    </row>
    <row r="373" spans="1:5" x14ac:dyDescent="0.25">
      <c r="A373" s="15">
        <v>83001</v>
      </c>
      <c r="B373" s="13" t="s">
        <v>379</v>
      </c>
      <c r="C373" s="16">
        <v>64513876</v>
      </c>
      <c r="D373" s="34">
        <v>577.90160000000003</v>
      </c>
      <c r="E373" s="16">
        <v>111634.70736194534</v>
      </c>
    </row>
    <row r="374" spans="1:5" x14ac:dyDescent="0.25">
      <c r="A374" s="15">
        <v>83002</v>
      </c>
      <c r="B374" s="13" t="s">
        <v>380</v>
      </c>
      <c r="C374" s="16">
        <v>214982124</v>
      </c>
      <c r="D374" s="34">
        <v>637.55129999999997</v>
      </c>
      <c r="E374" s="16">
        <v>337199.72651612508</v>
      </c>
    </row>
    <row r="375" spans="1:5" x14ac:dyDescent="0.25">
      <c r="A375" s="15">
        <v>83003</v>
      </c>
      <c r="B375" s="13" t="s">
        <v>381</v>
      </c>
      <c r="C375" s="16">
        <v>583856007</v>
      </c>
      <c r="D375" s="34">
        <v>4052.8669</v>
      </c>
      <c r="E375" s="16">
        <v>144060.00034198014</v>
      </c>
    </row>
    <row r="376" spans="1:5" x14ac:dyDescent="0.25">
      <c r="A376" s="15">
        <v>83005</v>
      </c>
      <c r="B376" s="13" t="s">
        <v>382</v>
      </c>
      <c r="C376" s="16">
        <v>1881727803</v>
      </c>
      <c r="D376" s="34">
        <v>11347.0267</v>
      </c>
      <c r="E376" s="16">
        <v>165834.43863756838</v>
      </c>
    </row>
    <row r="377" spans="1:5" x14ac:dyDescent="0.25">
      <c r="A377" s="15">
        <v>84001</v>
      </c>
      <c r="B377" s="13" t="s">
        <v>383</v>
      </c>
      <c r="C377" s="16">
        <v>181102419</v>
      </c>
      <c r="D377" s="34">
        <v>2716.6797999999999</v>
      </c>
      <c r="E377" s="16">
        <v>66663.144843201619</v>
      </c>
    </row>
    <row r="378" spans="1:5" x14ac:dyDescent="0.25">
      <c r="A378" s="15">
        <v>84002</v>
      </c>
      <c r="B378" s="13" t="s">
        <v>384</v>
      </c>
      <c r="C378" s="16">
        <v>22339122</v>
      </c>
      <c r="D378" s="34">
        <v>329.09070000000003</v>
      </c>
      <c r="E378" s="16">
        <v>67881.353073787861</v>
      </c>
    </row>
    <row r="379" spans="1:5" x14ac:dyDescent="0.25">
      <c r="A379" s="15">
        <v>84003</v>
      </c>
      <c r="B379" s="13" t="s">
        <v>385</v>
      </c>
      <c r="C379" s="16">
        <v>24295490</v>
      </c>
      <c r="D379" s="34">
        <v>247.32419999999999</v>
      </c>
      <c r="E379" s="16">
        <v>98233.371420993179</v>
      </c>
    </row>
    <row r="380" spans="1:5" x14ac:dyDescent="0.25">
      <c r="A380" s="15">
        <v>84004</v>
      </c>
      <c r="B380" s="13" t="s">
        <v>386</v>
      </c>
      <c r="C380" s="16">
        <v>24473519</v>
      </c>
      <c r="D380" s="34">
        <v>342.50420000000003</v>
      </c>
      <c r="E380" s="16">
        <v>71454.65369475761</v>
      </c>
    </row>
    <row r="381" spans="1:5" x14ac:dyDescent="0.25">
      <c r="A381" s="15">
        <v>84005</v>
      </c>
      <c r="B381" s="13" t="s">
        <v>387</v>
      </c>
      <c r="C381" s="16">
        <v>41904980</v>
      </c>
      <c r="D381" s="34">
        <v>499.90660000000003</v>
      </c>
      <c r="E381" s="16">
        <v>83825.618625559247</v>
      </c>
    </row>
    <row r="382" spans="1:5" x14ac:dyDescent="0.25">
      <c r="A382" s="15">
        <v>84006</v>
      </c>
      <c r="B382" s="13" t="s">
        <v>388</v>
      </c>
      <c r="C382" s="16">
        <v>47051932</v>
      </c>
      <c r="D382" s="34">
        <v>751.14930000000004</v>
      </c>
      <c r="E382" s="16">
        <v>62639.919920047847</v>
      </c>
    </row>
    <row r="383" spans="1:5" x14ac:dyDescent="0.25">
      <c r="A383" s="15">
        <v>85043</v>
      </c>
      <c r="B383" s="13" t="s">
        <v>389</v>
      </c>
      <c r="C383" s="16">
        <v>6256474</v>
      </c>
      <c r="D383" s="34">
        <v>60.621299999999998</v>
      </c>
      <c r="E383" s="16">
        <v>103205.86988401767</v>
      </c>
    </row>
    <row r="384" spans="1:5" x14ac:dyDescent="0.25">
      <c r="A384" s="15">
        <v>85044</v>
      </c>
      <c r="B384" s="13" t="s">
        <v>390</v>
      </c>
      <c r="C384" s="16">
        <v>36884607</v>
      </c>
      <c r="D384" s="34">
        <v>471.31670000000003</v>
      </c>
      <c r="E384" s="16">
        <v>78258.646468499835</v>
      </c>
    </row>
    <row r="385" spans="1:5" x14ac:dyDescent="0.25">
      <c r="A385" s="15">
        <v>85045</v>
      </c>
      <c r="B385" s="13" t="s">
        <v>391</v>
      </c>
      <c r="C385" s="16">
        <v>38282523</v>
      </c>
      <c r="D385" s="34">
        <v>574.24699999999996</v>
      </c>
      <c r="E385" s="16">
        <v>66665.603825531522</v>
      </c>
    </row>
    <row r="386" spans="1:5" x14ac:dyDescent="0.25">
      <c r="A386" s="15">
        <v>85046</v>
      </c>
      <c r="B386" s="13" t="s">
        <v>392</v>
      </c>
      <c r="C386" s="16">
        <v>325567723</v>
      </c>
      <c r="D386" s="34">
        <v>5734.3653999999997</v>
      </c>
      <c r="E386" s="16">
        <v>56774.847832333813</v>
      </c>
    </row>
    <row r="387" spans="1:5" x14ac:dyDescent="0.25">
      <c r="A387" s="15">
        <v>85048</v>
      </c>
      <c r="B387" s="13" t="s">
        <v>393</v>
      </c>
      <c r="C387" s="16">
        <v>68603234</v>
      </c>
      <c r="D387" s="34">
        <v>835.07709999999997</v>
      </c>
      <c r="E387" s="16">
        <v>82151.976146873145</v>
      </c>
    </row>
    <row r="388" spans="1:5" x14ac:dyDescent="0.25">
      <c r="A388" s="15">
        <v>85049</v>
      </c>
      <c r="B388" s="13" t="s">
        <v>394</v>
      </c>
      <c r="C388" s="16">
        <v>33242977</v>
      </c>
      <c r="D388" s="34">
        <v>529.47979999999995</v>
      </c>
      <c r="E388" s="16">
        <v>62784.221418834117</v>
      </c>
    </row>
    <row r="389" spans="1:5" x14ac:dyDescent="0.25">
      <c r="A389" s="15">
        <v>86100</v>
      </c>
      <c r="B389" s="13" t="s">
        <v>395</v>
      </c>
      <c r="C389" s="16">
        <v>99076312</v>
      </c>
      <c r="D389" s="34">
        <v>637.15629999999999</v>
      </c>
      <c r="E389" s="16">
        <v>155497.65732521203</v>
      </c>
    </row>
    <row r="390" spans="1:5" x14ac:dyDescent="0.25">
      <c r="A390" s="15">
        <v>87083</v>
      </c>
      <c r="B390" s="13" t="s">
        <v>396</v>
      </c>
      <c r="C390" s="16">
        <v>92454659</v>
      </c>
      <c r="D390" s="34">
        <v>712.76710000000003</v>
      </c>
      <c r="E390" s="16">
        <v>129712.29872983755</v>
      </c>
    </row>
    <row r="391" spans="1:5" x14ac:dyDescent="0.25">
      <c r="A391" s="15">
        <v>88072</v>
      </c>
      <c r="B391" s="13" t="s">
        <v>397</v>
      </c>
      <c r="C391" s="16">
        <v>28313446</v>
      </c>
      <c r="D391" s="34">
        <v>347.38029999999998</v>
      </c>
      <c r="E391" s="16">
        <v>81505.617906369487</v>
      </c>
    </row>
    <row r="392" spans="1:5" x14ac:dyDescent="0.25">
      <c r="A392" s="15">
        <v>88073</v>
      </c>
      <c r="B392" s="13" t="s">
        <v>398</v>
      </c>
      <c r="C392" s="16">
        <v>16449739</v>
      </c>
      <c r="D392" s="34">
        <v>122.07599999999999</v>
      </c>
      <c r="E392" s="16">
        <v>134749.98361676335</v>
      </c>
    </row>
    <row r="393" spans="1:5" x14ac:dyDescent="0.25">
      <c r="A393" s="15">
        <v>88075</v>
      </c>
      <c r="B393" s="13" t="s">
        <v>399</v>
      </c>
      <c r="C393" s="16">
        <v>13338747</v>
      </c>
      <c r="D393" s="34">
        <v>191.4211</v>
      </c>
      <c r="E393" s="16">
        <v>69682.741348785479</v>
      </c>
    </row>
    <row r="394" spans="1:5" x14ac:dyDescent="0.25">
      <c r="A394" s="15">
        <v>88080</v>
      </c>
      <c r="B394" s="13" t="s">
        <v>400</v>
      </c>
      <c r="C394" s="16">
        <v>165047772</v>
      </c>
      <c r="D394" s="34">
        <v>537.67899999999997</v>
      </c>
      <c r="E394" s="16">
        <v>306963.39637590462</v>
      </c>
    </row>
    <row r="395" spans="1:5" x14ac:dyDescent="0.25">
      <c r="A395" s="15">
        <v>88081</v>
      </c>
      <c r="B395" s="13" t="s">
        <v>401</v>
      </c>
      <c r="C395" s="16">
        <v>187830658</v>
      </c>
      <c r="D395" s="34">
        <v>2026.6139000000001</v>
      </c>
      <c r="E395" s="16">
        <v>92682.01407283351</v>
      </c>
    </row>
    <row r="396" spans="1:5" x14ac:dyDescent="0.25">
      <c r="A396" s="15">
        <v>89080</v>
      </c>
      <c r="B396" s="13" t="s">
        <v>402</v>
      </c>
      <c r="C396" s="16">
        <v>78934797</v>
      </c>
      <c r="D396" s="34">
        <v>1087.3126</v>
      </c>
      <c r="E396" s="16">
        <v>72596.231295397476</v>
      </c>
    </row>
    <row r="397" spans="1:5" x14ac:dyDescent="0.25">
      <c r="A397" s="15">
        <v>89087</v>
      </c>
      <c r="B397" s="13" t="s">
        <v>403</v>
      </c>
      <c r="C397" s="16">
        <v>26414735</v>
      </c>
      <c r="D397" s="34">
        <v>257.00569999999999</v>
      </c>
      <c r="E397" s="16">
        <v>102778.79050931556</v>
      </c>
    </row>
    <row r="398" spans="1:5" x14ac:dyDescent="0.25">
      <c r="A398" s="15">
        <v>89088</v>
      </c>
      <c r="B398" s="13" t="s">
        <v>404</v>
      </c>
      <c r="C398" s="16">
        <v>19440337</v>
      </c>
      <c r="D398" s="34">
        <v>199.92189999999999</v>
      </c>
      <c r="E398" s="16">
        <v>97239.65708609212</v>
      </c>
    </row>
    <row r="399" spans="1:5" x14ac:dyDescent="0.25">
      <c r="A399" s="15">
        <v>89089</v>
      </c>
      <c r="B399" s="13" t="s">
        <v>405</v>
      </c>
      <c r="C399" s="16">
        <v>125669264</v>
      </c>
      <c r="D399" s="34">
        <v>1381.5831000000001</v>
      </c>
      <c r="E399" s="16">
        <v>90960.336732549782</v>
      </c>
    </row>
    <row r="400" spans="1:5" x14ac:dyDescent="0.25">
      <c r="A400" s="15">
        <v>90075</v>
      </c>
      <c r="B400" s="13" t="s">
        <v>406</v>
      </c>
      <c r="C400" s="16">
        <v>6300178</v>
      </c>
      <c r="D400" s="34">
        <v>84.749600000000001</v>
      </c>
      <c r="E400" s="16">
        <v>74338.73434210899</v>
      </c>
    </row>
    <row r="401" spans="1:5" x14ac:dyDescent="0.25">
      <c r="A401" s="15">
        <v>90076</v>
      </c>
      <c r="B401" s="13" t="s">
        <v>407</v>
      </c>
      <c r="C401" s="16">
        <v>52462365</v>
      </c>
      <c r="D401" s="34">
        <v>448.34879999999998</v>
      </c>
      <c r="E401" s="16">
        <v>117012.39079930626</v>
      </c>
    </row>
    <row r="402" spans="1:5" x14ac:dyDescent="0.25">
      <c r="A402" s="15">
        <v>90077</v>
      </c>
      <c r="B402" s="13" t="s">
        <v>408</v>
      </c>
      <c r="C402" s="16">
        <v>47550049</v>
      </c>
      <c r="D402" s="34">
        <v>206.922</v>
      </c>
      <c r="E402" s="16">
        <v>229796.97180580124</v>
      </c>
    </row>
    <row r="403" spans="1:5" x14ac:dyDescent="0.25">
      <c r="A403" s="15">
        <v>90078</v>
      </c>
      <c r="B403" s="13" t="s">
        <v>409</v>
      </c>
      <c r="C403" s="16">
        <v>58501720</v>
      </c>
      <c r="D403" s="34">
        <v>213.20070000000001</v>
      </c>
      <c r="E403" s="16">
        <v>274397.41051506862</v>
      </c>
    </row>
    <row r="404" spans="1:5" x14ac:dyDescent="0.25">
      <c r="A404" s="15">
        <v>91091</v>
      </c>
      <c r="B404" s="13" t="s">
        <v>410</v>
      </c>
      <c r="C404" s="16">
        <v>11362526</v>
      </c>
      <c r="D404" s="34">
        <v>375.82769999999999</v>
      </c>
      <c r="E404" s="16">
        <v>30233.338309017669</v>
      </c>
    </row>
    <row r="405" spans="1:5" x14ac:dyDescent="0.25">
      <c r="A405" s="15">
        <v>91092</v>
      </c>
      <c r="B405" s="13" t="s">
        <v>411</v>
      </c>
      <c r="C405" s="16">
        <v>78050459</v>
      </c>
      <c r="D405" s="34">
        <v>1456.8838000000001</v>
      </c>
      <c r="E405" s="16">
        <v>53573.565029688711</v>
      </c>
    </row>
    <row r="406" spans="1:5" x14ac:dyDescent="0.25">
      <c r="A406" s="15">
        <v>91093</v>
      </c>
      <c r="B406" s="13" t="s">
        <v>412</v>
      </c>
      <c r="C406" s="16">
        <v>6580525</v>
      </c>
      <c r="D406" s="34">
        <v>135.21019999999999</v>
      </c>
      <c r="E406" s="16">
        <v>48668.850426964833</v>
      </c>
    </row>
    <row r="407" spans="1:5" x14ac:dyDescent="0.25">
      <c r="A407" s="15">
        <v>91095</v>
      </c>
      <c r="B407" s="13" t="s">
        <v>413</v>
      </c>
      <c r="C407" s="16">
        <v>6656500</v>
      </c>
      <c r="D407" s="34">
        <v>104.97110000000001</v>
      </c>
      <c r="E407" s="16">
        <v>63412.691683711033</v>
      </c>
    </row>
    <row r="408" spans="1:5" x14ac:dyDescent="0.25">
      <c r="A408" s="15">
        <v>92087</v>
      </c>
      <c r="B408" s="13" t="s">
        <v>414</v>
      </c>
      <c r="C408" s="16">
        <v>2704697541</v>
      </c>
      <c r="D408" s="34">
        <v>16633.2238</v>
      </c>
      <c r="E408" s="16">
        <v>162608.13739546991</v>
      </c>
    </row>
    <row r="409" spans="1:5" x14ac:dyDescent="0.25">
      <c r="A409" s="15">
        <v>92088</v>
      </c>
      <c r="B409" s="13" t="s">
        <v>415</v>
      </c>
      <c r="C409" s="16">
        <v>2843749454</v>
      </c>
      <c r="D409" s="34">
        <v>15806.6875</v>
      </c>
      <c r="E409" s="16">
        <v>179907.99489140278</v>
      </c>
    </row>
    <row r="410" spans="1:5" x14ac:dyDescent="0.25">
      <c r="A410" s="15">
        <v>92089</v>
      </c>
      <c r="B410" s="13" t="s">
        <v>416</v>
      </c>
      <c r="C410" s="16">
        <v>2238536661</v>
      </c>
      <c r="D410" s="34">
        <v>16406.765800000001</v>
      </c>
      <c r="E410" s="16">
        <v>136439.84977222019</v>
      </c>
    </row>
    <row r="411" spans="1:5" x14ac:dyDescent="0.25">
      <c r="A411" s="15">
        <v>92090</v>
      </c>
      <c r="B411" s="13" t="s">
        <v>417</v>
      </c>
      <c r="C411" s="16">
        <v>1119964267</v>
      </c>
      <c r="D411" s="34">
        <v>4446.4666999999999</v>
      </c>
      <c r="E411" s="16">
        <v>251877.35398985445</v>
      </c>
    </row>
    <row r="412" spans="1:5" x14ac:dyDescent="0.25">
      <c r="A412" s="15">
        <v>92091</v>
      </c>
      <c r="B412" s="13" t="s">
        <v>418</v>
      </c>
      <c r="C412" s="16">
        <v>407373155</v>
      </c>
      <c r="D412" s="34">
        <v>1841.4892</v>
      </c>
      <c r="E412" s="16">
        <v>221219.41035548836</v>
      </c>
    </row>
    <row r="413" spans="1:5" x14ac:dyDescent="0.25">
      <c r="A413" s="15">
        <v>93120</v>
      </c>
      <c r="B413" s="13" t="s">
        <v>419</v>
      </c>
      <c r="C413" s="16">
        <v>28690797</v>
      </c>
      <c r="D413" s="34">
        <v>293.56139999999999</v>
      </c>
      <c r="E413" s="16">
        <v>97733.547394173758</v>
      </c>
    </row>
    <row r="414" spans="1:5" x14ac:dyDescent="0.25">
      <c r="A414" s="15">
        <v>93121</v>
      </c>
      <c r="B414" s="13" t="s">
        <v>420</v>
      </c>
      <c r="C414" s="16">
        <v>7151496</v>
      </c>
      <c r="D414" s="34">
        <v>87.9161</v>
      </c>
      <c r="E414" s="16">
        <v>81344.554637887719</v>
      </c>
    </row>
    <row r="415" spans="1:5" x14ac:dyDescent="0.25">
      <c r="A415" s="15">
        <v>93123</v>
      </c>
      <c r="B415" s="13" t="s">
        <v>421</v>
      </c>
      <c r="C415" s="16">
        <v>34377343</v>
      </c>
      <c r="D415" s="34">
        <v>391.15929999999997</v>
      </c>
      <c r="E415" s="16">
        <v>87885.787197185404</v>
      </c>
    </row>
    <row r="416" spans="1:5" x14ac:dyDescent="0.25">
      <c r="A416" s="15">
        <v>93124</v>
      </c>
      <c r="B416" s="13" t="s">
        <v>422</v>
      </c>
      <c r="C416" s="16">
        <v>32653758</v>
      </c>
      <c r="D416" s="34">
        <v>434.6617</v>
      </c>
      <c r="E416" s="16">
        <v>75124.53478187749</v>
      </c>
    </row>
    <row r="417" spans="1:5" x14ac:dyDescent="0.25">
      <c r="A417" s="15">
        <v>94076</v>
      </c>
      <c r="B417" s="13" t="s">
        <v>423</v>
      </c>
      <c r="C417" s="16">
        <v>28685547</v>
      </c>
      <c r="D417" s="34">
        <v>451.59410000000003</v>
      </c>
      <c r="E417" s="16">
        <v>63520.641655858657</v>
      </c>
    </row>
    <row r="418" spans="1:5" x14ac:dyDescent="0.25">
      <c r="A418" s="15">
        <v>94078</v>
      </c>
      <c r="B418" s="13" t="s">
        <v>424</v>
      </c>
      <c r="C418" s="16">
        <v>435491185</v>
      </c>
      <c r="D418" s="34">
        <v>3785.2905000000001</v>
      </c>
      <c r="E418" s="16">
        <v>115048.28625438391</v>
      </c>
    </row>
    <row r="419" spans="1:5" x14ac:dyDescent="0.25">
      <c r="A419" s="15">
        <v>94083</v>
      </c>
      <c r="B419" s="13" t="s">
        <v>425</v>
      </c>
      <c r="C419" s="16">
        <v>182570682</v>
      </c>
      <c r="D419" s="34">
        <v>2583.1017999999999</v>
      </c>
      <c r="E419" s="16">
        <v>70678.856714048205</v>
      </c>
    </row>
    <row r="420" spans="1:5" x14ac:dyDescent="0.25">
      <c r="A420" s="15">
        <v>94086</v>
      </c>
      <c r="B420" s="13" t="s">
        <v>426</v>
      </c>
      <c r="C420" s="16">
        <v>110041846</v>
      </c>
      <c r="D420" s="34">
        <v>2072.6853999999998</v>
      </c>
      <c r="E420" s="16">
        <v>53091.436838412628</v>
      </c>
    </row>
    <row r="421" spans="1:5" x14ac:dyDescent="0.25">
      <c r="A421" s="15">
        <v>94087</v>
      </c>
      <c r="B421" s="13" t="s">
        <v>427</v>
      </c>
      <c r="C421" s="16">
        <v>48972619</v>
      </c>
      <c r="D421" s="34">
        <v>967.86419999999998</v>
      </c>
      <c r="E421" s="16">
        <v>50598.647000271318</v>
      </c>
    </row>
    <row r="422" spans="1:5" x14ac:dyDescent="0.25">
      <c r="A422" s="15">
        <v>95059</v>
      </c>
      <c r="B422" s="13" t="s">
        <v>428</v>
      </c>
      <c r="C422" s="16">
        <v>397899949</v>
      </c>
      <c r="D422" s="34">
        <v>1712.0374999999999</v>
      </c>
      <c r="E422" s="16">
        <v>232413.10368493682</v>
      </c>
    </row>
    <row r="423" spans="1:5" x14ac:dyDescent="0.25">
      <c r="A423" s="15">
        <v>96088</v>
      </c>
      <c r="B423" s="13" t="s">
        <v>429</v>
      </c>
      <c r="C423" s="16">
        <v>1851667080</v>
      </c>
      <c r="D423" s="34">
        <v>15198.313399999999</v>
      </c>
      <c r="E423" s="16">
        <v>121833.72136542467</v>
      </c>
    </row>
    <row r="424" spans="1:5" x14ac:dyDescent="0.25">
      <c r="A424" s="15">
        <v>96089</v>
      </c>
      <c r="B424" s="13" t="s">
        <v>430</v>
      </c>
      <c r="C424" s="16">
        <v>1055962370</v>
      </c>
      <c r="D424" s="34">
        <v>8315.1774999999998</v>
      </c>
      <c r="E424" s="16">
        <v>126992.16222383708</v>
      </c>
    </row>
    <row r="425" spans="1:5" x14ac:dyDescent="0.25">
      <c r="A425" s="15">
        <v>96090</v>
      </c>
      <c r="B425" s="13" t="s">
        <v>431</v>
      </c>
      <c r="C425" s="16">
        <v>1505365420</v>
      </c>
      <c r="D425" s="34">
        <v>5634.7957999999999</v>
      </c>
      <c r="E425" s="16">
        <v>267155.27473062999</v>
      </c>
    </row>
    <row r="426" spans="1:5" x14ac:dyDescent="0.25">
      <c r="A426" s="15">
        <v>96091</v>
      </c>
      <c r="B426" s="13" t="s">
        <v>432</v>
      </c>
      <c r="C426" s="16">
        <v>4119645460</v>
      </c>
      <c r="D426" s="34">
        <v>19855.446</v>
      </c>
      <c r="E426" s="16">
        <v>207481.88985530721</v>
      </c>
    </row>
    <row r="427" spans="1:5" x14ac:dyDescent="0.25">
      <c r="A427" s="15">
        <v>96092</v>
      </c>
      <c r="B427" s="13" t="s">
        <v>433</v>
      </c>
      <c r="C427" s="16">
        <v>1648228770</v>
      </c>
      <c r="D427" s="34">
        <v>5531.5338000000002</v>
      </c>
      <c r="E427" s="16">
        <v>297969.57400856883</v>
      </c>
    </row>
    <row r="428" spans="1:5" x14ac:dyDescent="0.25">
      <c r="A428" s="15">
        <v>96093</v>
      </c>
      <c r="B428" s="13" t="s">
        <v>434</v>
      </c>
      <c r="C428" s="16">
        <v>1555036280</v>
      </c>
      <c r="D428" s="34">
        <v>6671.4584000000004</v>
      </c>
      <c r="E428" s="16">
        <v>233087.90773543605</v>
      </c>
    </row>
    <row r="429" spans="1:5" x14ac:dyDescent="0.25">
      <c r="A429" s="15">
        <v>96094</v>
      </c>
      <c r="B429" s="13" t="s">
        <v>435</v>
      </c>
      <c r="C429" s="16">
        <v>2053856480</v>
      </c>
      <c r="D429" s="34">
        <v>9403.8240999999998</v>
      </c>
      <c r="E429" s="16">
        <v>218406.51825888577</v>
      </c>
    </row>
    <row r="430" spans="1:5" x14ac:dyDescent="0.25">
      <c r="A430" s="15">
        <v>96095</v>
      </c>
      <c r="B430" s="13" t="s">
        <v>436</v>
      </c>
      <c r="C430" s="16">
        <v>5168617150</v>
      </c>
      <c r="D430" s="34">
        <v>16768.955900000001</v>
      </c>
      <c r="E430" s="16">
        <v>308225.34097069217</v>
      </c>
    </row>
    <row r="431" spans="1:5" x14ac:dyDescent="0.25">
      <c r="A431" s="15">
        <v>96098</v>
      </c>
      <c r="B431" s="13" t="s">
        <v>437</v>
      </c>
      <c r="C431" s="16">
        <v>459425970</v>
      </c>
      <c r="D431" s="34">
        <v>2456.6109999999999</v>
      </c>
      <c r="E431" s="16">
        <v>187016.16576657843</v>
      </c>
    </row>
    <row r="432" spans="1:5" x14ac:dyDescent="0.25">
      <c r="A432" s="15">
        <v>96099</v>
      </c>
      <c r="B432" s="13" t="s">
        <v>438</v>
      </c>
      <c r="C432" s="16">
        <v>178503090</v>
      </c>
      <c r="D432" s="34">
        <v>1669.6485</v>
      </c>
      <c r="E432" s="16">
        <v>106910.58028081959</v>
      </c>
    </row>
    <row r="433" spans="1:5" x14ac:dyDescent="0.25">
      <c r="A433" s="15">
        <v>96101</v>
      </c>
      <c r="B433" s="13" t="s">
        <v>439</v>
      </c>
      <c r="C433" s="16">
        <v>354748750</v>
      </c>
      <c r="D433" s="34">
        <v>710.03800000000001</v>
      </c>
      <c r="E433" s="16">
        <v>499619.38656804286</v>
      </c>
    </row>
    <row r="434" spans="1:5" x14ac:dyDescent="0.25">
      <c r="A434" s="15">
        <v>96102</v>
      </c>
      <c r="B434" s="13" t="s">
        <v>440</v>
      </c>
      <c r="C434" s="16">
        <v>1309893760</v>
      </c>
      <c r="D434" s="34">
        <v>2462.63</v>
      </c>
      <c r="E434" s="16">
        <v>531908.47183701978</v>
      </c>
    </row>
    <row r="435" spans="1:5" x14ac:dyDescent="0.25">
      <c r="A435" s="15">
        <v>96103</v>
      </c>
      <c r="B435" s="13" t="s">
        <v>441</v>
      </c>
      <c r="C435" s="16">
        <v>174539900</v>
      </c>
      <c r="D435" s="34">
        <v>1376.0233000000001</v>
      </c>
      <c r="E435" s="16">
        <v>126843.70969590412</v>
      </c>
    </row>
    <row r="436" spans="1:5" x14ac:dyDescent="0.25">
      <c r="A436" s="15">
        <v>96104</v>
      </c>
      <c r="B436" s="13" t="s">
        <v>442</v>
      </c>
      <c r="C436" s="16">
        <v>102199800</v>
      </c>
      <c r="D436" s="34">
        <v>2327.9863999999998</v>
      </c>
      <c r="E436" s="16">
        <v>43900.514195443757</v>
      </c>
    </row>
    <row r="437" spans="1:5" x14ac:dyDescent="0.25">
      <c r="A437" s="15">
        <v>96106</v>
      </c>
      <c r="B437" s="13" t="s">
        <v>443</v>
      </c>
      <c r="C437" s="16">
        <v>1869741100</v>
      </c>
      <c r="D437" s="34">
        <v>3969.0731000000001</v>
      </c>
      <c r="E437" s="16">
        <v>471077.51681368629</v>
      </c>
    </row>
    <row r="438" spans="1:5" x14ac:dyDescent="0.25">
      <c r="A438" s="15">
        <v>96107</v>
      </c>
      <c r="B438" s="13" t="s">
        <v>444</v>
      </c>
      <c r="C438" s="16">
        <v>347947070</v>
      </c>
      <c r="D438" s="34">
        <v>1353.6922999999999</v>
      </c>
      <c r="E438" s="16">
        <v>257035.56857049422</v>
      </c>
    </row>
    <row r="439" spans="1:5" x14ac:dyDescent="0.25">
      <c r="A439" s="15">
        <v>96109</v>
      </c>
      <c r="B439" s="13" t="s">
        <v>521</v>
      </c>
      <c r="C439" s="16">
        <v>300657210</v>
      </c>
      <c r="D439" s="34">
        <v>2935.5165999999999</v>
      </c>
      <c r="E439" s="16">
        <v>102420.5449902753</v>
      </c>
    </row>
    <row r="440" spans="1:5" x14ac:dyDescent="0.25">
      <c r="A440" s="15">
        <v>96110</v>
      </c>
      <c r="B440" s="13" t="s">
        <v>445</v>
      </c>
      <c r="C440" s="16">
        <v>626765950</v>
      </c>
      <c r="D440" s="34">
        <v>5769.0222000000003</v>
      </c>
      <c r="E440" s="16">
        <v>108643.35900804818</v>
      </c>
    </row>
    <row r="441" spans="1:5" x14ac:dyDescent="0.25">
      <c r="A441" s="15">
        <v>96111</v>
      </c>
      <c r="B441" s="13" t="s">
        <v>446</v>
      </c>
      <c r="C441" s="16">
        <v>211878480</v>
      </c>
      <c r="D441" s="34">
        <v>4816.2299000000003</v>
      </c>
      <c r="E441" s="16">
        <v>43992.600934602393</v>
      </c>
    </row>
    <row r="442" spans="1:5" x14ac:dyDescent="0.25">
      <c r="A442" s="15">
        <v>96112</v>
      </c>
      <c r="B442" s="13" t="s">
        <v>447</v>
      </c>
      <c r="C442" s="16">
        <v>757213130</v>
      </c>
      <c r="D442" s="34">
        <v>2307.4769999999999</v>
      </c>
      <c r="E442" s="16">
        <v>328156.30665007717</v>
      </c>
    </row>
    <row r="443" spans="1:5" x14ac:dyDescent="0.25">
      <c r="A443" s="15">
        <v>96113</v>
      </c>
      <c r="B443" s="13" t="s">
        <v>448</v>
      </c>
      <c r="C443" s="16">
        <v>204881410</v>
      </c>
      <c r="D443" s="34">
        <v>764.83240000000001</v>
      </c>
      <c r="E443" s="16">
        <v>267877.52454001689</v>
      </c>
    </row>
    <row r="444" spans="1:5" x14ac:dyDescent="0.25">
      <c r="A444" s="15">
        <v>96114</v>
      </c>
      <c r="B444" s="13" t="s">
        <v>449</v>
      </c>
      <c r="C444" s="16">
        <v>952943860</v>
      </c>
      <c r="D444" s="34">
        <v>4299.4558999999999</v>
      </c>
      <c r="E444" s="16">
        <v>221642.89672095486</v>
      </c>
    </row>
    <row r="445" spans="1:5" x14ac:dyDescent="0.25">
      <c r="A445" s="15">
        <v>96119</v>
      </c>
      <c r="B445" s="13" t="s">
        <v>1581</v>
      </c>
      <c r="C445" s="16">
        <v>0</v>
      </c>
      <c r="D445" s="34">
        <v>1887.5436999999999</v>
      </c>
      <c r="E445" s="16">
        <v>0</v>
      </c>
    </row>
    <row r="446" spans="1:5" x14ac:dyDescent="0.25">
      <c r="A446" s="15">
        <v>97116</v>
      </c>
      <c r="B446" s="13" t="s">
        <v>30</v>
      </c>
      <c r="C446" s="16">
        <v>11010917</v>
      </c>
      <c r="D446" s="34">
        <v>69.386300000000006</v>
      </c>
      <c r="E446" s="16">
        <v>158690.07282417422</v>
      </c>
    </row>
    <row r="447" spans="1:5" x14ac:dyDescent="0.25">
      <c r="A447" s="15">
        <v>97118</v>
      </c>
      <c r="B447" s="13" t="s">
        <v>450</v>
      </c>
      <c r="C447" s="16">
        <v>7489405</v>
      </c>
      <c r="D447" s="34">
        <v>37.262099999999997</v>
      </c>
      <c r="E447" s="16">
        <v>200992.56348944371</v>
      </c>
    </row>
    <row r="448" spans="1:5" x14ac:dyDescent="0.25">
      <c r="A448" s="15">
        <v>97119</v>
      </c>
      <c r="B448" s="13" t="s">
        <v>451</v>
      </c>
      <c r="C448" s="16">
        <v>12253763</v>
      </c>
      <c r="D448" s="34">
        <v>65.543300000000002</v>
      </c>
      <c r="E448" s="16">
        <v>186956.75988239836</v>
      </c>
    </row>
    <row r="449" spans="1:5" x14ac:dyDescent="0.25">
      <c r="A449" s="15">
        <v>97122</v>
      </c>
      <c r="B449" s="13" t="s">
        <v>452</v>
      </c>
      <c r="C449" s="16">
        <v>8785031</v>
      </c>
      <c r="D449" s="34">
        <v>70.685000000000002</v>
      </c>
      <c r="E449" s="16">
        <v>124284.23286411543</v>
      </c>
    </row>
    <row r="450" spans="1:5" x14ac:dyDescent="0.25">
      <c r="A450" s="15">
        <v>97127</v>
      </c>
      <c r="B450" s="13" t="s">
        <v>453</v>
      </c>
      <c r="C450" s="16">
        <v>3356695</v>
      </c>
      <c r="D450" s="34">
        <v>45.510300000000001</v>
      </c>
      <c r="E450" s="16">
        <v>73756.819884729382</v>
      </c>
    </row>
    <row r="451" spans="1:5" x14ac:dyDescent="0.25">
      <c r="A451" s="15">
        <v>97129</v>
      </c>
      <c r="B451" s="13" t="s">
        <v>454</v>
      </c>
      <c r="C451" s="16">
        <v>171257838</v>
      </c>
      <c r="D451" s="34">
        <v>2348.8715000000002</v>
      </c>
      <c r="E451" s="16">
        <v>72910.688388019524</v>
      </c>
    </row>
    <row r="452" spans="1:5" x14ac:dyDescent="0.25">
      <c r="A452" s="15">
        <v>97130</v>
      </c>
      <c r="B452" s="13" t="s">
        <v>455</v>
      </c>
      <c r="C452" s="16">
        <v>20924877</v>
      </c>
      <c r="D452" s="34">
        <v>300.84649999999999</v>
      </c>
      <c r="E452" s="16">
        <v>69553.333676808601</v>
      </c>
    </row>
    <row r="453" spans="1:5" x14ac:dyDescent="0.25">
      <c r="A453" s="15">
        <v>97131</v>
      </c>
      <c r="B453" s="13" t="s">
        <v>456</v>
      </c>
      <c r="C453" s="16">
        <v>33764862</v>
      </c>
      <c r="D453" s="34">
        <v>407.84539999999998</v>
      </c>
      <c r="E453" s="16">
        <v>82788.385010594706</v>
      </c>
    </row>
    <row r="454" spans="1:5" x14ac:dyDescent="0.25">
      <c r="A454" s="15">
        <v>98080</v>
      </c>
      <c r="B454" s="13" t="s">
        <v>457</v>
      </c>
      <c r="C454" s="16">
        <v>50452816</v>
      </c>
      <c r="D454" s="34">
        <v>537.68219999999997</v>
      </c>
      <c r="E454" s="16">
        <v>93833.896677256576</v>
      </c>
    </row>
    <row r="455" spans="1:5" x14ac:dyDescent="0.25">
      <c r="A455" s="15">
        <v>99082</v>
      </c>
      <c r="B455" s="13" t="s">
        <v>458</v>
      </c>
      <c r="C455" s="16">
        <v>71431610</v>
      </c>
      <c r="D455" s="34">
        <v>513.17499999999995</v>
      </c>
      <c r="E455" s="16">
        <v>139195.420665465</v>
      </c>
    </row>
    <row r="456" spans="1:5" x14ac:dyDescent="0.25">
      <c r="A456" s="15">
        <v>100059</v>
      </c>
      <c r="B456" s="13" t="s">
        <v>459</v>
      </c>
      <c r="C456" s="16">
        <v>61498080</v>
      </c>
      <c r="D456" s="34">
        <v>816.96550000000002</v>
      </c>
      <c r="E456" s="16">
        <v>75276.226474679774</v>
      </c>
    </row>
    <row r="457" spans="1:5" x14ac:dyDescent="0.25">
      <c r="A457" s="15">
        <v>100060</v>
      </c>
      <c r="B457" s="13" t="s">
        <v>460</v>
      </c>
      <c r="C457" s="16">
        <v>26706340</v>
      </c>
      <c r="D457" s="34">
        <v>597.43010000000004</v>
      </c>
      <c r="E457" s="16">
        <v>44702.032924019055</v>
      </c>
    </row>
    <row r="458" spans="1:5" x14ac:dyDescent="0.25">
      <c r="A458" s="15">
        <v>100061</v>
      </c>
      <c r="B458" s="13" t="s">
        <v>461</v>
      </c>
      <c r="C458" s="16">
        <v>68998530</v>
      </c>
      <c r="D458" s="34">
        <v>880.96969999999999</v>
      </c>
      <c r="E458" s="16">
        <v>78321.115924872327</v>
      </c>
    </row>
    <row r="459" spans="1:5" x14ac:dyDescent="0.25">
      <c r="A459" s="15">
        <v>100062</v>
      </c>
      <c r="B459" s="13" t="s">
        <v>462</v>
      </c>
      <c r="C459" s="16">
        <v>18822590</v>
      </c>
      <c r="D459" s="34">
        <v>236.57239999999999</v>
      </c>
      <c r="E459" s="16">
        <v>79563.761453153464</v>
      </c>
    </row>
    <row r="460" spans="1:5" x14ac:dyDescent="0.25">
      <c r="A460" s="15">
        <v>100063</v>
      </c>
      <c r="B460" s="13" t="s">
        <v>463</v>
      </c>
      <c r="C460" s="16">
        <v>262879200</v>
      </c>
      <c r="D460" s="34">
        <v>3090.8431999999998</v>
      </c>
      <c r="E460" s="16">
        <v>85050.966027652263</v>
      </c>
    </row>
    <row r="461" spans="1:5" x14ac:dyDescent="0.25">
      <c r="A461" s="15">
        <v>100064</v>
      </c>
      <c r="B461" s="13" t="s">
        <v>464</v>
      </c>
      <c r="C461" s="16">
        <v>30113150</v>
      </c>
      <c r="D461" s="34">
        <v>156.3175</v>
      </c>
      <c r="E461" s="16">
        <v>192640.93911430263</v>
      </c>
    </row>
    <row r="462" spans="1:5" x14ac:dyDescent="0.25">
      <c r="A462" s="15">
        <v>100065</v>
      </c>
      <c r="B462" s="13" t="s">
        <v>465</v>
      </c>
      <c r="C462" s="16">
        <v>24241740</v>
      </c>
      <c r="D462" s="34">
        <v>345.17329999999998</v>
      </c>
      <c r="E462" s="16">
        <v>70230.634872395982</v>
      </c>
    </row>
    <row r="463" spans="1:5" x14ac:dyDescent="0.25">
      <c r="A463" s="15">
        <v>101105</v>
      </c>
      <c r="B463" s="13" t="s">
        <v>466</v>
      </c>
      <c r="C463" s="16">
        <v>20416779</v>
      </c>
      <c r="D463" s="34">
        <v>455.61970000000002</v>
      </c>
      <c r="E463" s="16">
        <v>44811.010147278532</v>
      </c>
    </row>
    <row r="464" spans="1:5" x14ac:dyDescent="0.25">
      <c r="A464" s="15">
        <v>101107</v>
      </c>
      <c r="B464" s="13" t="s">
        <v>467</v>
      </c>
      <c r="C464" s="16">
        <v>24954041</v>
      </c>
      <c r="D464" s="34">
        <v>273.95920000000001</v>
      </c>
      <c r="E464" s="16">
        <v>91086.705611638521</v>
      </c>
    </row>
    <row r="465" spans="1:5" x14ac:dyDescent="0.25">
      <c r="A465" s="15">
        <v>102081</v>
      </c>
      <c r="B465" s="13" t="s">
        <v>468</v>
      </c>
      <c r="C465" s="16">
        <v>36315683</v>
      </c>
      <c r="D465" s="34">
        <v>257.41879999999998</v>
      </c>
      <c r="E465" s="16">
        <v>141076.2656029785</v>
      </c>
    </row>
    <row r="466" spans="1:5" x14ac:dyDescent="0.25">
      <c r="A466" s="15">
        <v>102085</v>
      </c>
      <c r="B466" s="13" t="s">
        <v>469</v>
      </c>
      <c r="C466" s="16">
        <v>63766927</v>
      </c>
      <c r="D466" s="34">
        <v>601.96349999999995</v>
      </c>
      <c r="E466" s="16">
        <v>105931.55066710856</v>
      </c>
    </row>
    <row r="467" spans="1:5" x14ac:dyDescent="0.25">
      <c r="A467" s="15">
        <v>103127</v>
      </c>
      <c r="B467" s="13" t="s">
        <v>470</v>
      </c>
      <c r="C467" s="16">
        <v>29716145</v>
      </c>
      <c r="D467" s="34">
        <v>263.37759999999997</v>
      </c>
      <c r="E467" s="16">
        <v>112827.15386578055</v>
      </c>
    </row>
    <row r="468" spans="1:5" x14ac:dyDescent="0.25">
      <c r="A468" s="15">
        <v>103128</v>
      </c>
      <c r="B468" s="13" t="s">
        <v>471</v>
      </c>
      <c r="C468" s="16">
        <v>34790412</v>
      </c>
      <c r="D468" s="34">
        <v>216.2723</v>
      </c>
      <c r="E468" s="16">
        <v>160863.92940751082</v>
      </c>
    </row>
    <row r="469" spans="1:5" x14ac:dyDescent="0.25">
      <c r="A469" s="15">
        <v>103129</v>
      </c>
      <c r="B469" s="13" t="s">
        <v>472</v>
      </c>
      <c r="C469" s="16">
        <v>34278183</v>
      </c>
      <c r="D469" s="34">
        <v>425.89260000000002</v>
      </c>
      <c r="E469" s="16">
        <v>80485.509727100216</v>
      </c>
    </row>
    <row r="470" spans="1:5" x14ac:dyDescent="0.25">
      <c r="A470" s="15">
        <v>103130</v>
      </c>
      <c r="B470" s="13" t="s">
        <v>473</v>
      </c>
      <c r="C470" s="16">
        <v>46589046</v>
      </c>
      <c r="D470" s="34">
        <v>762.50519999999995</v>
      </c>
      <c r="E470" s="16">
        <v>61099.97151494836</v>
      </c>
    </row>
    <row r="471" spans="1:5" x14ac:dyDescent="0.25">
      <c r="A471" s="15">
        <v>103131</v>
      </c>
      <c r="B471" s="13" t="s">
        <v>474</v>
      </c>
      <c r="C471" s="16">
        <v>50602714</v>
      </c>
      <c r="D471" s="34">
        <v>601.20159999999998</v>
      </c>
      <c r="E471" s="16">
        <v>84169.293627961073</v>
      </c>
    </row>
    <row r="472" spans="1:5" x14ac:dyDescent="0.25">
      <c r="A472" s="15">
        <v>103132</v>
      </c>
      <c r="B472" s="13" t="s">
        <v>475</v>
      </c>
      <c r="C472" s="16">
        <v>192897044</v>
      </c>
      <c r="D472" s="34">
        <v>2012.5838000000001</v>
      </c>
      <c r="E472" s="16">
        <v>95845.471875506497</v>
      </c>
    </row>
    <row r="473" spans="1:5" x14ac:dyDescent="0.25">
      <c r="A473" s="15">
        <v>103135</v>
      </c>
      <c r="B473" s="13" t="s">
        <v>476</v>
      </c>
      <c r="C473" s="16">
        <v>38388460</v>
      </c>
      <c r="D473" s="34">
        <v>504.798</v>
      </c>
      <c r="E473" s="16">
        <v>76047.171343785041</v>
      </c>
    </row>
    <row r="474" spans="1:5" x14ac:dyDescent="0.25">
      <c r="A474" s="15">
        <v>104041</v>
      </c>
      <c r="B474" s="13" t="s">
        <v>477</v>
      </c>
      <c r="C474" s="16">
        <v>13185159</v>
      </c>
      <c r="D474" s="34">
        <v>202.55179999999999</v>
      </c>
      <c r="E474" s="16">
        <v>65095.244771954633</v>
      </c>
    </row>
    <row r="475" spans="1:5" x14ac:dyDescent="0.25">
      <c r="A475" s="15">
        <v>104042</v>
      </c>
      <c r="B475" s="13" t="s">
        <v>478</v>
      </c>
      <c r="C475" s="16">
        <v>35213717</v>
      </c>
      <c r="D475" s="34">
        <v>480.97359999999998</v>
      </c>
      <c r="E475" s="16">
        <v>73213.409218302215</v>
      </c>
    </row>
    <row r="476" spans="1:5" x14ac:dyDescent="0.25">
      <c r="A476" s="15">
        <v>104043</v>
      </c>
      <c r="B476" s="13" t="s">
        <v>479</v>
      </c>
      <c r="C476" s="16">
        <v>29668313</v>
      </c>
      <c r="D476" s="34">
        <v>525.20550000000003</v>
      </c>
      <c r="E476" s="16">
        <v>56488.960987651495</v>
      </c>
    </row>
    <row r="477" spans="1:5" x14ac:dyDescent="0.25">
      <c r="A477" s="15">
        <v>104044</v>
      </c>
      <c r="B477" s="13" t="s">
        <v>480</v>
      </c>
      <c r="C477" s="16">
        <v>410877118</v>
      </c>
      <c r="D477" s="34">
        <v>1660.5708999999999</v>
      </c>
      <c r="E477" s="16">
        <v>247431.24066548439</v>
      </c>
    </row>
    <row r="478" spans="1:5" x14ac:dyDescent="0.25">
      <c r="A478" s="15">
        <v>104045</v>
      </c>
      <c r="B478" s="13" t="s">
        <v>481</v>
      </c>
      <c r="C478" s="16">
        <v>128728843</v>
      </c>
      <c r="D478" s="34">
        <v>483.25549999999998</v>
      </c>
      <c r="E478" s="16">
        <v>266378.43335461261</v>
      </c>
    </row>
    <row r="479" spans="1:5" x14ac:dyDescent="0.25">
      <c r="A479" s="15">
        <v>105123</v>
      </c>
      <c r="B479" s="13" t="s">
        <v>482</v>
      </c>
      <c r="C479" s="16">
        <v>24696940</v>
      </c>
      <c r="D479" s="34">
        <v>248.22569999999999</v>
      </c>
      <c r="E479" s="16">
        <v>99493.888022070241</v>
      </c>
    </row>
    <row r="480" spans="1:5" x14ac:dyDescent="0.25">
      <c r="A480" s="15">
        <v>105124</v>
      </c>
      <c r="B480" s="13" t="s">
        <v>483</v>
      </c>
      <c r="C480" s="16">
        <v>48470646</v>
      </c>
      <c r="D480" s="34">
        <v>643.81219999999996</v>
      </c>
      <c r="E480" s="16">
        <v>75286.933052837456</v>
      </c>
    </row>
    <row r="481" spans="1:5" x14ac:dyDescent="0.25">
      <c r="A481" s="15">
        <v>105125</v>
      </c>
      <c r="B481" s="13" t="s">
        <v>484</v>
      </c>
      <c r="C481" s="16">
        <v>10958207</v>
      </c>
      <c r="D481" s="34">
        <v>62.619399999999999</v>
      </c>
      <c r="E481" s="16">
        <v>174996.99773552606</v>
      </c>
    </row>
    <row r="482" spans="1:5" x14ac:dyDescent="0.25">
      <c r="A482" s="15">
        <v>106001</v>
      </c>
      <c r="B482" s="13" t="s">
        <v>485</v>
      </c>
      <c r="C482" s="16">
        <v>9048775</v>
      </c>
      <c r="D482" s="34">
        <v>164.3937</v>
      </c>
      <c r="E482" s="16">
        <v>55043.319786585496</v>
      </c>
    </row>
    <row r="483" spans="1:5" x14ac:dyDescent="0.25">
      <c r="A483" s="15">
        <v>106002</v>
      </c>
      <c r="B483" s="13" t="s">
        <v>486</v>
      </c>
      <c r="C483" s="16">
        <v>12404207</v>
      </c>
      <c r="D483" s="34">
        <v>206.44229999999999</v>
      </c>
      <c r="E483" s="16">
        <v>60085.58807957478</v>
      </c>
    </row>
    <row r="484" spans="1:5" x14ac:dyDescent="0.25">
      <c r="A484" s="15">
        <v>106003</v>
      </c>
      <c r="B484" s="13" t="s">
        <v>487</v>
      </c>
      <c r="C484" s="16">
        <v>84579489</v>
      </c>
      <c r="D484" s="34">
        <v>1020.6344</v>
      </c>
      <c r="E484" s="16">
        <v>82869.52605164003</v>
      </c>
    </row>
    <row r="485" spans="1:5" x14ac:dyDescent="0.25">
      <c r="A485" s="15">
        <v>106004</v>
      </c>
      <c r="B485" s="13" t="s">
        <v>488</v>
      </c>
      <c r="C485" s="16">
        <v>667586766</v>
      </c>
      <c r="D485" s="34">
        <v>4316.4354000000003</v>
      </c>
      <c r="E485" s="16">
        <v>154661.59090438375</v>
      </c>
    </row>
    <row r="486" spans="1:5" x14ac:dyDescent="0.25">
      <c r="A486" s="15">
        <v>106005</v>
      </c>
      <c r="B486" s="13" t="s">
        <v>489</v>
      </c>
      <c r="C486" s="16">
        <v>226715488</v>
      </c>
      <c r="D486" s="34">
        <v>1285.6661999999999</v>
      </c>
      <c r="E486" s="16">
        <v>176340.86359274283</v>
      </c>
    </row>
    <row r="487" spans="1:5" x14ac:dyDescent="0.25">
      <c r="A487" s="15">
        <v>106006</v>
      </c>
      <c r="B487" s="13" t="s">
        <v>490</v>
      </c>
      <c r="C487" s="16">
        <v>40469632</v>
      </c>
      <c r="D487" s="34">
        <v>337.1438</v>
      </c>
      <c r="E487" s="16">
        <v>120036.70837191727</v>
      </c>
    </row>
    <row r="488" spans="1:5" x14ac:dyDescent="0.25">
      <c r="A488" s="15">
        <v>106008</v>
      </c>
      <c r="B488" s="13" t="s">
        <v>491</v>
      </c>
      <c r="C488" s="16">
        <v>7848959</v>
      </c>
      <c r="D488" s="34">
        <v>58.587200000000003</v>
      </c>
      <c r="E488" s="16">
        <v>133970.54305377282</v>
      </c>
    </row>
    <row r="489" spans="1:5" x14ac:dyDescent="0.25">
      <c r="A489" s="15">
        <v>107151</v>
      </c>
      <c r="B489" s="13" t="s">
        <v>492</v>
      </c>
      <c r="C489" s="16">
        <v>9702880</v>
      </c>
      <c r="D489" s="34">
        <v>108.8019</v>
      </c>
      <c r="E489" s="16">
        <v>89179.324993405447</v>
      </c>
    </row>
    <row r="490" spans="1:5" x14ac:dyDescent="0.25">
      <c r="A490" s="15">
        <v>107152</v>
      </c>
      <c r="B490" s="13" t="s">
        <v>493</v>
      </c>
      <c r="C490" s="16">
        <v>64964301</v>
      </c>
      <c r="D490" s="34">
        <v>819.41020000000003</v>
      </c>
      <c r="E490" s="16">
        <v>79281.782189189253</v>
      </c>
    </row>
    <row r="491" spans="1:5" x14ac:dyDescent="0.25">
      <c r="A491" s="15">
        <v>107153</v>
      </c>
      <c r="B491" s="13" t="s">
        <v>494</v>
      </c>
      <c r="C491" s="16">
        <v>31703040</v>
      </c>
      <c r="D491" s="34">
        <v>405.10140000000001</v>
      </c>
      <c r="E491" s="16">
        <v>78259.517246793024</v>
      </c>
    </row>
    <row r="492" spans="1:5" x14ac:dyDescent="0.25">
      <c r="A492" s="15">
        <v>107154</v>
      </c>
      <c r="B492" s="13" t="s">
        <v>495</v>
      </c>
      <c r="C492" s="16">
        <v>46495704</v>
      </c>
      <c r="D492" s="34">
        <v>719.64390000000003</v>
      </c>
      <c r="E492" s="16">
        <v>64609.321360189388</v>
      </c>
    </row>
    <row r="493" spans="1:5" x14ac:dyDescent="0.25">
      <c r="A493" s="15">
        <v>107155</v>
      </c>
      <c r="B493" s="13" t="s">
        <v>496</v>
      </c>
      <c r="C493" s="16">
        <v>56188846</v>
      </c>
      <c r="D493" s="34">
        <v>681.44399999999996</v>
      </c>
      <c r="E493" s="16">
        <v>82455.559077488404</v>
      </c>
    </row>
    <row r="494" spans="1:5" x14ac:dyDescent="0.25">
      <c r="A494" s="15">
        <v>107156</v>
      </c>
      <c r="B494" s="13" t="s">
        <v>497</v>
      </c>
      <c r="C494" s="16">
        <v>37587771</v>
      </c>
      <c r="D494" s="34">
        <v>509.83449999999999</v>
      </c>
      <c r="E494" s="16">
        <v>73725.436391613359</v>
      </c>
    </row>
    <row r="495" spans="1:5" x14ac:dyDescent="0.25">
      <c r="A495" s="15">
        <v>107158</v>
      </c>
      <c r="B495" s="13" t="s">
        <v>498</v>
      </c>
      <c r="C495" s="16">
        <v>10354007</v>
      </c>
      <c r="D495" s="34">
        <v>177.16069999999999</v>
      </c>
      <c r="E495" s="16">
        <v>58444.152681717787</v>
      </c>
    </row>
    <row r="496" spans="1:5" x14ac:dyDescent="0.25">
      <c r="A496" s="15">
        <v>108142</v>
      </c>
      <c r="B496" s="13" t="s">
        <v>499</v>
      </c>
      <c r="C496" s="16">
        <v>179232175</v>
      </c>
      <c r="D496" s="34">
        <v>2210.6676000000002</v>
      </c>
      <c r="E496" s="16">
        <v>81076.040106617555</v>
      </c>
    </row>
    <row r="497" spans="1:5" x14ac:dyDescent="0.25">
      <c r="A497" s="15">
        <v>108143</v>
      </c>
      <c r="B497" s="31" t="s">
        <v>500</v>
      </c>
      <c r="C497" s="16">
        <v>14062850</v>
      </c>
      <c r="D497" s="34">
        <v>171.4811</v>
      </c>
      <c r="E497" s="16">
        <v>82008.162998721149</v>
      </c>
    </row>
    <row r="498" spans="1:5" x14ac:dyDescent="0.25">
      <c r="A498" s="15">
        <v>108144</v>
      </c>
      <c r="B498" s="13" t="s">
        <v>501</v>
      </c>
      <c r="C498" s="16">
        <v>12572111</v>
      </c>
      <c r="D498" s="34">
        <v>167.10230000000001</v>
      </c>
      <c r="E498" s="16">
        <v>75236.014106328876</v>
      </c>
    </row>
    <row r="499" spans="1:5" x14ac:dyDescent="0.25">
      <c r="A499" s="15">
        <v>108147</v>
      </c>
      <c r="B499" s="13" t="s">
        <v>502</v>
      </c>
      <c r="C499" s="16">
        <v>19706019</v>
      </c>
      <c r="D499" s="34">
        <v>186.21719999999999</v>
      </c>
      <c r="E499" s="16">
        <v>105822.76502922394</v>
      </c>
    </row>
    <row r="500" spans="1:5" x14ac:dyDescent="0.25">
      <c r="A500" s="15">
        <v>109002</v>
      </c>
      <c r="B500" s="13" t="s">
        <v>522</v>
      </c>
      <c r="C500" s="16">
        <v>221245358</v>
      </c>
      <c r="D500" s="34">
        <v>1653.8444</v>
      </c>
      <c r="E500" s="16">
        <v>133776.40484195491</v>
      </c>
    </row>
    <row r="501" spans="1:5" x14ac:dyDescent="0.25">
      <c r="A501" s="15">
        <v>109003</v>
      </c>
      <c r="B501" s="13" t="s">
        <v>503</v>
      </c>
      <c r="C501" s="16">
        <v>292803642</v>
      </c>
      <c r="D501" s="34">
        <v>2853.5295999999998</v>
      </c>
      <c r="E501" s="16">
        <v>102611.04072654442</v>
      </c>
    </row>
    <row r="502" spans="1:5" x14ac:dyDescent="0.25">
      <c r="A502" s="15">
        <v>110014</v>
      </c>
      <c r="B502" s="13" t="s">
        <v>504</v>
      </c>
      <c r="C502" s="16">
        <v>32260348</v>
      </c>
      <c r="D502" s="34">
        <v>826.34550000000002</v>
      </c>
      <c r="E502" s="16">
        <v>39039.781786189917</v>
      </c>
    </row>
    <row r="503" spans="1:5" x14ac:dyDescent="0.25">
      <c r="A503" s="15">
        <v>110029</v>
      </c>
      <c r="B503" s="13" t="s">
        <v>505</v>
      </c>
      <c r="C503" s="16">
        <v>94769678</v>
      </c>
      <c r="D503" s="34">
        <v>1976.367</v>
      </c>
      <c r="E503" s="16">
        <v>47951.457396323662</v>
      </c>
    </row>
    <row r="504" spans="1:5" x14ac:dyDescent="0.25">
      <c r="A504" s="15">
        <v>110030</v>
      </c>
      <c r="B504" s="13" t="s">
        <v>506</v>
      </c>
      <c r="C504" s="16">
        <v>14310101</v>
      </c>
      <c r="D504" s="34">
        <v>219.08260000000001</v>
      </c>
      <c r="E504" s="16">
        <v>65318.290909456067</v>
      </c>
    </row>
    <row r="505" spans="1:5" x14ac:dyDescent="0.25">
      <c r="A505" s="15">
        <v>110031</v>
      </c>
      <c r="B505" s="13" t="s">
        <v>507</v>
      </c>
      <c r="C505" s="16">
        <v>26054552</v>
      </c>
      <c r="D505" s="34">
        <v>349.65629999999999</v>
      </c>
      <c r="E505" s="16">
        <v>74514.750627973815</v>
      </c>
    </row>
    <row r="506" spans="1:5" x14ac:dyDescent="0.25">
      <c r="A506" s="15">
        <v>111086</v>
      </c>
      <c r="B506" s="13" t="s">
        <v>508</v>
      </c>
      <c r="C506" s="16">
        <v>46461341</v>
      </c>
      <c r="D506" s="34">
        <v>662.53819999999996</v>
      </c>
      <c r="E506" s="16">
        <v>70126.282529822434</v>
      </c>
    </row>
    <row r="507" spans="1:5" x14ac:dyDescent="0.25">
      <c r="A507" s="15">
        <v>111087</v>
      </c>
      <c r="B507" s="13" t="s">
        <v>509</v>
      </c>
      <c r="C507" s="16">
        <v>67540854</v>
      </c>
      <c r="D507" s="34">
        <v>899.62639999999999</v>
      </c>
      <c r="E507" s="16">
        <v>75076.55844692864</v>
      </c>
    </row>
    <row r="508" spans="1:5" x14ac:dyDescent="0.25">
      <c r="A508" s="15">
        <v>112099</v>
      </c>
      <c r="B508" s="13" t="s">
        <v>510</v>
      </c>
      <c r="C508" s="16">
        <v>18342740</v>
      </c>
      <c r="D508" s="34">
        <v>286.30020000000002</v>
      </c>
      <c r="E508" s="16">
        <v>64068.205331327044</v>
      </c>
    </row>
    <row r="509" spans="1:5" x14ac:dyDescent="0.25">
      <c r="A509" s="15">
        <v>112101</v>
      </c>
      <c r="B509" s="13" t="s">
        <v>511</v>
      </c>
      <c r="C509" s="16">
        <v>38750242</v>
      </c>
      <c r="D509" s="34">
        <v>539.98360000000002</v>
      </c>
      <c r="E509" s="16">
        <v>71761.886842489286</v>
      </c>
    </row>
    <row r="510" spans="1:5" x14ac:dyDescent="0.25">
      <c r="A510" s="15">
        <v>112102</v>
      </c>
      <c r="B510" s="13" t="s">
        <v>512</v>
      </c>
      <c r="C510" s="16">
        <v>220260668</v>
      </c>
      <c r="D510" s="34">
        <v>2858.6491000000001</v>
      </c>
      <c r="E510" s="16">
        <v>77050.613872125818</v>
      </c>
    </row>
    <row r="511" spans="1:5" x14ac:dyDescent="0.25">
      <c r="A511" s="15">
        <v>112103</v>
      </c>
      <c r="B511" s="13" t="s">
        <v>513</v>
      </c>
      <c r="C511" s="16">
        <v>57294086</v>
      </c>
      <c r="D511" s="34">
        <v>626.88250000000005</v>
      </c>
      <c r="E511" s="16">
        <v>91395.255091663901</v>
      </c>
    </row>
    <row r="512" spans="1:5" x14ac:dyDescent="0.25">
      <c r="A512" s="15">
        <v>113001</v>
      </c>
      <c r="B512" s="13" t="s">
        <v>514</v>
      </c>
      <c r="C512" s="16">
        <v>29197650</v>
      </c>
      <c r="D512" s="34">
        <v>275.93950000000001</v>
      </c>
      <c r="E512" s="16">
        <v>105811.78120566283</v>
      </c>
    </row>
    <row r="513" spans="1:5" x14ac:dyDescent="0.25">
      <c r="A513" s="15">
        <v>114112</v>
      </c>
      <c r="B513" s="13" t="s">
        <v>515</v>
      </c>
      <c r="C513" s="16">
        <v>18695104</v>
      </c>
      <c r="D513" s="34">
        <v>326.2835</v>
      </c>
      <c r="E513" s="16">
        <v>57297.11738411535</v>
      </c>
    </row>
    <row r="514" spans="1:5" x14ac:dyDescent="0.25">
      <c r="A514" s="15">
        <v>114113</v>
      </c>
      <c r="B514" s="13" t="s">
        <v>516</v>
      </c>
      <c r="C514" s="16">
        <v>40197155</v>
      </c>
      <c r="D514" s="34">
        <v>680.91989999999998</v>
      </c>
      <c r="E514" s="16">
        <v>59033.602924514322</v>
      </c>
    </row>
    <row r="515" spans="1:5" x14ac:dyDescent="0.25">
      <c r="A515" s="15">
        <v>114114</v>
      </c>
      <c r="B515" s="13" t="s">
        <v>517</v>
      </c>
      <c r="C515" s="16">
        <v>100045983</v>
      </c>
      <c r="D515" s="34">
        <v>1379.9585999999999</v>
      </c>
      <c r="E515" s="16">
        <v>72499.264108358038</v>
      </c>
    </row>
    <row r="516" spans="1:5" x14ac:dyDescent="0.25">
      <c r="A516" s="15">
        <v>114115</v>
      </c>
      <c r="B516" s="13" t="s">
        <v>518</v>
      </c>
      <c r="C516" s="16">
        <v>40312289</v>
      </c>
      <c r="D516" s="34">
        <v>652.66110000000003</v>
      </c>
      <c r="E516" s="16">
        <v>61766.036002452114</v>
      </c>
    </row>
    <row r="517" spans="1:5" x14ac:dyDescent="0.25">
      <c r="A517" s="15">
        <v>114116</v>
      </c>
      <c r="B517" s="13" t="s">
        <v>519</v>
      </c>
      <c r="C517" s="16">
        <v>5473912</v>
      </c>
      <c r="D517" s="34">
        <v>67.728399999999993</v>
      </c>
      <c r="E517" s="16">
        <v>80821.5165277786</v>
      </c>
    </row>
    <row r="518" spans="1:5" x14ac:dyDescent="0.25">
      <c r="A518" s="15">
        <v>115115</v>
      </c>
      <c r="B518" s="13" t="s">
        <v>1586</v>
      </c>
      <c r="C518" s="16">
        <v>4459885350</v>
      </c>
      <c r="D518" s="34">
        <v>18521.371899999998</v>
      </c>
      <c r="E518" s="16">
        <v>240796.70631741919</v>
      </c>
    </row>
    <row r="519" spans="1:5" x14ac:dyDescent="0.25">
      <c r="E519" s="16"/>
    </row>
    <row r="520" spans="1:5" ht="15.75" thickBot="1" x14ac:dyDescent="0.3">
      <c r="A520" s="11" t="s">
        <v>3</v>
      </c>
      <c r="C520" s="22"/>
      <c r="D520" s="35"/>
      <c r="E520" s="5">
        <f>AVERAGE(E2:E518)</f>
        <v>113899.84169267502</v>
      </c>
    </row>
    <row r="521" spans="1:5" ht="15.75" thickTop="1" x14ac:dyDescent="0.25"/>
    <row r="522" spans="1:5" x14ac:dyDescent="0.25">
      <c r="A522" s="11" t="s">
        <v>4</v>
      </c>
      <c r="C522" s="22"/>
      <c r="E522" s="16"/>
    </row>
    <row r="523" spans="1:5" x14ac:dyDescent="0.25">
      <c r="A523" s="11" t="s">
        <v>5</v>
      </c>
      <c r="C523" s="22"/>
      <c r="E523" s="16"/>
    </row>
    <row r="524" spans="1:5" x14ac:dyDescent="0.25">
      <c r="A524" s="11"/>
      <c r="C524" s="22"/>
      <c r="E524" s="16"/>
    </row>
    <row r="525" spans="1:5" x14ac:dyDescent="0.25">
      <c r="A525" s="11" t="s">
        <v>1594</v>
      </c>
      <c r="C525" s="22"/>
      <c r="E525" s="16"/>
    </row>
    <row r="526" spans="1:5" x14ac:dyDescent="0.25">
      <c r="A526" s="11" t="s">
        <v>1595</v>
      </c>
      <c r="C526" s="22"/>
      <c r="E526" s="16"/>
    </row>
    <row r="527" spans="1:5" x14ac:dyDescent="0.25">
      <c r="C527" s="22"/>
      <c r="E527" s="16"/>
    </row>
    <row r="528" spans="1:5" x14ac:dyDescent="0.25">
      <c r="A528" s="11" t="s">
        <v>1041</v>
      </c>
      <c r="C528" s="22"/>
      <c r="E528" s="16"/>
    </row>
  </sheetData>
  <pageMargins left="0.7" right="0.7" top="0.95833333333333337" bottom="0.75" header="0.3" footer="0.3"/>
  <pageSetup scale="93" fitToHeight="0" orientation="portrait" horizontalDpi="4294967295" verticalDpi="4294967295" r:id="rId1"/>
  <headerFooter>
    <oddHeader>&amp;C&amp;"-,Bold"Missouri Department of Elementary and Secondary Education
School Finance 
Assessed Valuation per ADA for 2019-2020</oddHeader>
    <oddFooter>&amp;LNovember 19, 2021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28"/>
  <sheetViews>
    <sheetView view="pageLayout" zoomScaleNormal="100" workbookViewId="0">
      <selection activeCell="C513" sqref="C513"/>
    </sheetView>
  </sheetViews>
  <sheetFormatPr defaultColWidth="9.140625" defaultRowHeight="15" x14ac:dyDescent="0.25"/>
  <cols>
    <col min="1" max="1" width="12.28515625" style="15" bestFit="1" customWidth="1"/>
    <col min="2" max="2" width="35.28515625" style="13" bestFit="1" customWidth="1"/>
    <col min="3" max="3" width="25.140625" style="30" bestFit="1" customWidth="1"/>
    <col min="4" max="4" width="12.140625" style="34" bestFit="1" customWidth="1"/>
    <col min="5" max="5" width="11.85546875" style="30" customWidth="1"/>
    <col min="6" max="16384" width="9.140625" style="13"/>
  </cols>
  <sheetData>
    <row r="1" spans="1:5" ht="45.75" thickBot="1" x14ac:dyDescent="0.3">
      <c r="A1" s="6" t="s">
        <v>0</v>
      </c>
      <c r="B1" s="7" t="s">
        <v>1</v>
      </c>
      <c r="C1" s="21" t="s">
        <v>1593</v>
      </c>
      <c r="D1" s="33" t="s">
        <v>1596</v>
      </c>
      <c r="E1" s="10" t="s">
        <v>2</v>
      </c>
    </row>
    <row r="2" spans="1:5" x14ac:dyDescent="0.25">
      <c r="A2" s="15">
        <v>1090</v>
      </c>
      <c r="B2" s="13" t="s">
        <v>8</v>
      </c>
      <c r="C2" s="16">
        <v>16662758</v>
      </c>
      <c r="D2" s="34">
        <v>214.28319999999999</v>
      </c>
      <c r="E2" s="16">
        <v>77760.449722610079</v>
      </c>
    </row>
    <row r="3" spans="1:5" x14ac:dyDescent="0.25">
      <c r="A3" s="15">
        <v>1091</v>
      </c>
      <c r="B3" s="13" t="s">
        <v>9</v>
      </c>
      <c r="C3" s="16">
        <v>236932486</v>
      </c>
      <c r="D3" s="34">
        <v>2395.6100999999999</v>
      </c>
      <c r="E3" s="16">
        <v>98902.774704447947</v>
      </c>
    </row>
    <row r="4" spans="1:5" x14ac:dyDescent="0.25">
      <c r="A4" s="15">
        <v>1092</v>
      </c>
      <c r="B4" s="13" t="s">
        <v>10</v>
      </c>
      <c r="C4" s="16">
        <v>15147176</v>
      </c>
      <c r="D4" s="34">
        <v>138.13919999999999</v>
      </c>
      <c r="E4" s="16">
        <v>109651.53989598899</v>
      </c>
    </row>
    <row r="5" spans="1:5" x14ac:dyDescent="0.25">
      <c r="A5" s="15">
        <v>2089</v>
      </c>
      <c r="B5" s="13" t="s">
        <v>11</v>
      </c>
      <c r="C5" s="16">
        <v>24045086</v>
      </c>
      <c r="D5" s="34">
        <v>332.6979</v>
      </c>
      <c r="E5" s="16">
        <v>72273.03208105611</v>
      </c>
    </row>
    <row r="6" spans="1:5" x14ac:dyDescent="0.25">
      <c r="A6" s="15">
        <v>2090</v>
      </c>
      <c r="B6" s="13" t="s">
        <v>12</v>
      </c>
      <c r="C6" s="16">
        <v>25869781</v>
      </c>
      <c r="D6" s="34">
        <v>203.5307</v>
      </c>
      <c r="E6" s="16">
        <v>127105.05589574447</v>
      </c>
    </row>
    <row r="7" spans="1:5" x14ac:dyDescent="0.25">
      <c r="A7" s="15">
        <v>2097</v>
      </c>
      <c r="B7" s="13" t="s">
        <v>13</v>
      </c>
      <c r="C7" s="16">
        <v>186635049</v>
      </c>
      <c r="D7" s="34">
        <v>2234.5095999999999</v>
      </c>
      <c r="E7" s="16">
        <v>83523.941450061349</v>
      </c>
    </row>
    <row r="8" spans="1:5" x14ac:dyDescent="0.25">
      <c r="A8" s="15">
        <v>3031</v>
      </c>
      <c r="B8" s="13" t="s">
        <v>14</v>
      </c>
      <c r="C8" s="16">
        <v>64579776</v>
      </c>
      <c r="D8" s="34">
        <v>312.25319999999999</v>
      </c>
      <c r="E8" s="16">
        <v>206818.62027354725</v>
      </c>
    </row>
    <row r="9" spans="1:5" x14ac:dyDescent="0.25">
      <c r="A9" s="15">
        <v>3032</v>
      </c>
      <c r="B9" s="13" t="s">
        <v>15</v>
      </c>
      <c r="C9" s="16">
        <v>48191954</v>
      </c>
      <c r="D9" s="34">
        <v>342.16199999999998</v>
      </c>
      <c r="E9" s="16">
        <v>140845.42994254184</v>
      </c>
    </row>
    <row r="10" spans="1:5" x14ac:dyDescent="0.25">
      <c r="A10" s="15">
        <v>3033</v>
      </c>
      <c r="B10" s="13" t="s">
        <v>16</v>
      </c>
      <c r="C10" s="16">
        <v>22032535</v>
      </c>
      <c r="D10" s="34">
        <v>127.7346</v>
      </c>
      <c r="E10" s="16">
        <v>172486.82032902597</v>
      </c>
    </row>
    <row r="11" spans="1:5" x14ac:dyDescent="0.25">
      <c r="A11" s="15">
        <v>4106</v>
      </c>
      <c r="B11" s="13" t="s">
        <v>17</v>
      </c>
      <c r="C11" s="16">
        <v>33877675</v>
      </c>
      <c r="D11" s="34">
        <v>300.18689999999998</v>
      </c>
      <c r="E11" s="16">
        <v>112855.27449732152</v>
      </c>
    </row>
    <row r="12" spans="1:5" x14ac:dyDescent="0.25">
      <c r="A12" s="15">
        <v>4109</v>
      </c>
      <c r="B12" s="13" t="s">
        <v>18</v>
      </c>
      <c r="C12" s="16">
        <v>45042494</v>
      </c>
      <c r="D12" s="34">
        <v>583.59640000000002</v>
      </c>
      <c r="E12" s="16">
        <v>77180.897620341726</v>
      </c>
    </row>
    <row r="13" spans="1:5" x14ac:dyDescent="0.25">
      <c r="A13" s="15">
        <v>4110</v>
      </c>
      <c r="B13" s="13" t="s">
        <v>19</v>
      </c>
      <c r="C13" s="16">
        <v>214306574</v>
      </c>
      <c r="D13" s="34">
        <v>2243.0136000000002</v>
      </c>
      <c r="E13" s="16">
        <v>95544.036826169919</v>
      </c>
    </row>
    <row r="14" spans="1:5" x14ac:dyDescent="0.25">
      <c r="A14" s="15">
        <v>5120</v>
      </c>
      <c r="B14" s="13" t="s">
        <v>20</v>
      </c>
      <c r="C14" s="16">
        <v>22096329</v>
      </c>
      <c r="D14" s="34">
        <v>403.30360000000002</v>
      </c>
      <c r="E14" s="16">
        <v>54788.325717895896</v>
      </c>
    </row>
    <row r="15" spans="1:5" x14ac:dyDescent="0.25">
      <c r="A15" s="15">
        <v>5121</v>
      </c>
      <c r="B15" s="13" t="s">
        <v>21</v>
      </c>
      <c r="C15" s="16">
        <v>40935652</v>
      </c>
      <c r="D15" s="34">
        <v>712.58550000000002</v>
      </c>
      <c r="E15" s="16">
        <v>57446.653068298467</v>
      </c>
    </row>
    <row r="16" spans="1:5" x14ac:dyDescent="0.25">
      <c r="A16" s="15">
        <v>5122</v>
      </c>
      <c r="B16" s="13" t="s">
        <v>22</v>
      </c>
      <c r="C16" s="16">
        <v>16068551</v>
      </c>
      <c r="D16" s="34">
        <v>292.49329999999998</v>
      </c>
      <c r="E16" s="16">
        <v>54936.475467985081</v>
      </c>
    </row>
    <row r="17" spans="1:5" x14ac:dyDescent="0.25">
      <c r="A17" s="15">
        <v>5123</v>
      </c>
      <c r="B17" s="13" t="s">
        <v>23</v>
      </c>
      <c r="C17" s="16">
        <v>182803842</v>
      </c>
      <c r="D17" s="34">
        <v>1740.0135</v>
      </c>
      <c r="E17" s="16">
        <v>105058.86419846742</v>
      </c>
    </row>
    <row r="18" spans="1:5" x14ac:dyDescent="0.25">
      <c r="A18" s="15">
        <v>5124</v>
      </c>
      <c r="B18" s="13" t="s">
        <v>24</v>
      </c>
      <c r="C18" s="16">
        <v>31236057</v>
      </c>
      <c r="D18" s="34">
        <v>568.22159999999997</v>
      </c>
      <c r="E18" s="16">
        <v>54971.611427654287</v>
      </c>
    </row>
    <row r="19" spans="1:5" x14ac:dyDescent="0.25">
      <c r="A19" s="15">
        <v>5127</v>
      </c>
      <c r="B19" s="13" t="s">
        <v>25</v>
      </c>
      <c r="C19" s="16">
        <v>75114027</v>
      </c>
      <c r="D19" s="34">
        <v>151.22980000000001</v>
      </c>
      <c r="E19" s="16">
        <v>496688.0006453754</v>
      </c>
    </row>
    <row r="20" spans="1:5" x14ac:dyDescent="0.25">
      <c r="A20" s="15">
        <v>5128</v>
      </c>
      <c r="B20" s="13" t="s">
        <v>26</v>
      </c>
      <c r="C20" s="16">
        <v>187664344</v>
      </c>
      <c r="D20" s="34">
        <v>2363.9573</v>
      </c>
      <c r="E20" s="16">
        <v>79385.674182862771</v>
      </c>
    </row>
    <row r="21" spans="1:5" x14ac:dyDescent="0.25">
      <c r="A21" s="15">
        <v>6101</v>
      </c>
      <c r="B21" s="13" t="s">
        <v>27</v>
      </c>
      <c r="C21" s="16">
        <v>34910562</v>
      </c>
      <c r="D21" s="34">
        <v>377.99810000000002</v>
      </c>
      <c r="E21" s="16">
        <v>92356.448352518171</v>
      </c>
    </row>
    <row r="22" spans="1:5" x14ac:dyDescent="0.25">
      <c r="A22" s="15">
        <v>6103</v>
      </c>
      <c r="B22" s="13" t="s">
        <v>28</v>
      </c>
      <c r="C22" s="16">
        <v>19644994</v>
      </c>
      <c r="D22" s="34">
        <v>170.90450000000001</v>
      </c>
      <c r="E22" s="16">
        <v>114947.20150727453</v>
      </c>
    </row>
    <row r="23" spans="1:5" x14ac:dyDescent="0.25">
      <c r="A23" s="15">
        <v>6104</v>
      </c>
      <c r="B23" s="13" t="s">
        <v>29</v>
      </c>
      <c r="C23" s="16">
        <v>99562712</v>
      </c>
      <c r="D23" s="34">
        <v>1163.7446</v>
      </c>
      <c r="E23" s="16">
        <v>85553.747789678251</v>
      </c>
    </row>
    <row r="24" spans="1:5" x14ac:dyDescent="0.25">
      <c r="A24" s="15">
        <v>7121</v>
      </c>
      <c r="B24" s="13" t="s">
        <v>30</v>
      </c>
      <c r="C24" s="16">
        <v>17676189</v>
      </c>
      <c r="D24" s="34">
        <v>162.99209999999999</v>
      </c>
      <c r="E24" s="16">
        <v>108448.13337578939</v>
      </c>
    </row>
    <row r="25" spans="1:5" x14ac:dyDescent="0.25">
      <c r="A25" s="15">
        <v>7122</v>
      </c>
      <c r="B25" s="13" t="s">
        <v>31</v>
      </c>
      <c r="C25" s="16">
        <v>10822647</v>
      </c>
      <c r="D25" s="34">
        <v>109.4743</v>
      </c>
      <c r="E25" s="16">
        <v>98860.161700051976</v>
      </c>
    </row>
    <row r="26" spans="1:5" x14ac:dyDescent="0.25">
      <c r="A26" s="15">
        <v>7123</v>
      </c>
      <c r="B26" s="13" t="s">
        <v>32</v>
      </c>
      <c r="C26" s="16">
        <v>43484452</v>
      </c>
      <c r="D26" s="34">
        <v>626.30449999999996</v>
      </c>
      <c r="E26" s="16">
        <v>69430.208468883749</v>
      </c>
    </row>
    <row r="27" spans="1:5" x14ac:dyDescent="0.25">
      <c r="A27" s="15">
        <v>7124</v>
      </c>
      <c r="B27" s="13" t="s">
        <v>33</v>
      </c>
      <c r="C27" s="16">
        <v>24020537</v>
      </c>
      <c r="D27" s="34">
        <v>302.41950000000003</v>
      </c>
      <c r="E27" s="16">
        <v>79427.870887955301</v>
      </c>
    </row>
    <row r="28" spans="1:5" x14ac:dyDescent="0.25">
      <c r="A28" s="15">
        <v>7125</v>
      </c>
      <c r="B28" s="13" t="s">
        <v>34</v>
      </c>
      <c r="C28" s="16">
        <v>8463676</v>
      </c>
      <c r="D28" s="34">
        <v>136.17619999999999</v>
      </c>
      <c r="E28" s="16">
        <v>62152.387862196185</v>
      </c>
    </row>
    <row r="29" spans="1:5" x14ac:dyDescent="0.25">
      <c r="A29" s="15">
        <v>7126</v>
      </c>
      <c r="B29" s="13" t="s">
        <v>35</v>
      </c>
      <c r="C29" s="16">
        <v>7628348</v>
      </c>
      <c r="D29" s="34">
        <v>64.505499999999998</v>
      </c>
      <c r="E29" s="16">
        <v>118258.87715001046</v>
      </c>
    </row>
    <row r="30" spans="1:5" x14ac:dyDescent="0.25">
      <c r="A30" s="15">
        <v>7129</v>
      </c>
      <c r="B30" s="13" t="s">
        <v>36</v>
      </c>
      <c r="C30" s="16">
        <v>75985086</v>
      </c>
      <c r="D30" s="34">
        <v>925.63160000000005</v>
      </c>
      <c r="E30" s="16">
        <v>82089.986988343953</v>
      </c>
    </row>
    <row r="31" spans="1:5" x14ac:dyDescent="0.25">
      <c r="A31" s="15">
        <v>8106</v>
      </c>
      <c r="B31" s="13" t="s">
        <v>37</v>
      </c>
      <c r="C31" s="16">
        <v>47547761</v>
      </c>
      <c r="D31" s="34">
        <v>446.49349999999998</v>
      </c>
      <c r="E31" s="16">
        <v>106491.49651674661</v>
      </c>
    </row>
    <row r="32" spans="1:5" x14ac:dyDescent="0.25">
      <c r="A32" s="15">
        <v>8107</v>
      </c>
      <c r="B32" s="13" t="s">
        <v>38</v>
      </c>
      <c r="C32" s="16">
        <v>156295051</v>
      </c>
      <c r="D32" s="34">
        <v>1125.6801</v>
      </c>
      <c r="E32" s="16">
        <v>138844.99779288983</v>
      </c>
    </row>
    <row r="33" spans="1:5" x14ac:dyDescent="0.25">
      <c r="A33" s="15">
        <v>8111</v>
      </c>
      <c r="B33" s="13" t="s">
        <v>39</v>
      </c>
      <c r="C33" s="16">
        <v>60689902</v>
      </c>
      <c r="D33" s="34">
        <v>685.78629999999998</v>
      </c>
      <c r="E33" s="16">
        <v>88496.813074276928</v>
      </c>
    </row>
    <row r="34" spans="1:5" x14ac:dyDescent="0.25">
      <c r="A34" s="15">
        <v>9077</v>
      </c>
      <c r="B34" s="13" t="s">
        <v>40</v>
      </c>
      <c r="C34" s="16">
        <v>42023705</v>
      </c>
      <c r="D34" s="34">
        <v>504.2833</v>
      </c>
      <c r="E34" s="16">
        <v>83333.525024524904</v>
      </c>
    </row>
    <row r="35" spans="1:5" x14ac:dyDescent="0.25">
      <c r="A35" s="15">
        <v>9078</v>
      </c>
      <c r="B35" s="13" t="s">
        <v>41</v>
      </c>
      <c r="C35" s="16">
        <v>10674610</v>
      </c>
      <c r="D35" s="34">
        <v>201.23050000000001</v>
      </c>
      <c r="E35" s="16">
        <v>53046.680299457585</v>
      </c>
    </row>
    <row r="36" spans="1:5" x14ac:dyDescent="0.25">
      <c r="A36" s="15">
        <v>9079</v>
      </c>
      <c r="B36" s="13" t="s">
        <v>42</v>
      </c>
      <c r="C36" s="16">
        <v>14885780</v>
      </c>
      <c r="D36" s="34">
        <v>241.47810000000001</v>
      </c>
      <c r="E36" s="16">
        <v>61644.430695785661</v>
      </c>
    </row>
    <row r="37" spans="1:5" x14ac:dyDescent="0.25">
      <c r="A37" s="15">
        <v>9080</v>
      </c>
      <c r="B37" s="13" t="s">
        <v>43</v>
      </c>
      <c r="C37" s="16">
        <v>61897131</v>
      </c>
      <c r="D37" s="34">
        <v>815.10230000000001</v>
      </c>
      <c r="E37" s="16">
        <v>75937.868166977321</v>
      </c>
    </row>
    <row r="38" spans="1:5" x14ac:dyDescent="0.25">
      <c r="A38" s="15">
        <v>10087</v>
      </c>
      <c r="B38" s="13" t="s">
        <v>44</v>
      </c>
      <c r="C38" s="16">
        <v>140585147</v>
      </c>
      <c r="D38" s="34">
        <v>1676.9485999999999</v>
      </c>
      <c r="E38" s="16">
        <v>83833.903436277062</v>
      </c>
    </row>
    <row r="39" spans="1:5" x14ac:dyDescent="0.25">
      <c r="A39" s="15">
        <v>10089</v>
      </c>
      <c r="B39" s="13" t="s">
        <v>45</v>
      </c>
      <c r="C39" s="16">
        <v>86875843</v>
      </c>
      <c r="D39" s="34">
        <v>1364.7483999999999</v>
      </c>
      <c r="E39" s="16">
        <v>63657.03964188564</v>
      </c>
    </row>
    <row r="40" spans="1:5" x14ac:dyDescent="0.25">
      <c r="A40" s="15">
        <v>10090</v>
      </c>
      <c r="B40" s="13" t="s">
        <v>46</v>
      </c>
      <c r="C40" s="16">
        <v>38683684</v>
      </c>
      <c r="D40" s="34">
        <v>395.43520000000001</v>
      </c>
      <c r="E40" s="16">
        <v>97825.595698106787</v>
      </c>
    </row>
    <row r="41" spans="1:5" x14ac:dyDescent="0.25">
      <c r="A41" s="15">
        <v>10091</v>
      </c>
      <c r="B41" s="13" t="s">
        <v>47</v>
      </c>
      <c r="C41" s="16">
        <v>106881728</v>
      </c>
      <c r="D41" s="34">
        <v>1337.8619000000001</v>
      </c>
      <c r="E41" s="16">
        <v>79889.95575701796</v>
      </c>
    </row>
    <row r="42" spans="1:5" x14ac:dyDescent="0.25">
      <c r="A42" s="15">
        <v>10092</v>
      </c>
      <c r="B42" s="13" t="s">
        <v>48</v>
      </c>
      <c r="C42" s="16">
        <v>42998712</v>
      </c>
      <c r="D42" s="34">
        <v>532.65210000000002</v>
      </c>
      <c r="E42" s="16">
        <v>80725.696941774935</v>
      </c>
    </row>
    <row r="43" spans="1:5" x14ac:dyDescent="0.25">
      <c r="A43" s="15">
        <v>10093</v>
      </c>
      <c r="B43" s="13" t="s">
        <v>49</v>
      </c>
      <c r="C43" s="16">
        <v>2480531350</v>
      </c>
      <c r="D43" s="34">
        <v>17325.200799999999</v>
      </c>
      <c r="E43" s="16">
        <v>143174.75327616406</v>
      </c>
    </row>
    <row r="44" spans="1:5" x14ac:dyDescent="0.25">
      <c r="A44" s="15">
        <v>11076</v>
      </c>
      <c r="B44" s="13" t="s">
        <v>50</v>
      </c>
      <c r="C44" s="16">
        <v>56797151</v>
      </c>
      <c r="D44" s="34">
        <v>686.10760000000005</v>
      </c>
      <c r="E44" s="16">
        <v>82781.696340340786</v>
      </c>
    </row>
    <row r="45" spans="1:5" x14ac:dyDescent="0.25">
      <c r="A45" s="15">
        <v>11078</v>
      </c>
      <c r="B45" s="13" t="s">
        <v>51</v>
      </c>
      <c r="C45" s="16">
        <v>65761267</v>
      </c>
      <c r="D45" s="34">
        <v>732.26260000000002</v>
      </c>
      <c r="E45" s="16">
        <v>89805.579309936074</v>
      </c>
    </row>
    <row r="46" spans="1:5" x14ac:dyDescent="0.25">
      <c r="A46" s="15">
        <v>11079</v>
      </c>
      <c r="B46" s="13" t="s">
        <v>52</v>
      </c>
      <c r="C46" s="16">
        <v>22224270</v>
      </c>
      <c r="D46" s="34">
        <v>282.72179999999997</v>
      </c>
      <c r="E46" s="16">
        <v>78608.264378622378</v>
      </c>
    </row>
    <row r="47" spans="1:5" x14ac:dyDescent="0.25">
      <c r="A47" s="15">
        <v>11082</v>
      </c>
      <c r="B47" s="13" t="s">
        <v>53</v>
      </c>
      <c r="C47" s="16">
        <v>1090176770</v>
      </c>
      <c r="D47" s="34">
        <v>10375.604499999999</v>
      </c>
      <c r="E47" s="16">
        <v>105071.15705884896</v>
      </c>
    </row>
    <row r="48" spans="1:5" x14ac:dyDescent="0.25">
      <c r="A48" s="15">
        <v>12108</v>
      </c>
      <c r="B48" s="13" t="s">
        <v>54</v>
      </c>
      <c r="C48" s="16">
        <v>39940856</v>
      </c>
      <c r="D48" s="34">
        <v>564.8827</v>
      </c>
      <c r="E48" s="16">
        <v>70706.459942922666</v>
      </c>
    </row>
    <row r="49" spans="1:5" x14ac:dyDescent="0.25">
      <c r="A49" s="15">
        <v>12109</v>
      </c>
      <c r="B49" s="13" t="s">
        <v>55</v>
      </c>
      <c r="C49" s="16">
        <v>462024317</v>
      </c>
      <c r="D49" s="34">
        <v>4700.3842000000004</v>
      </c>
      <c r="E49" s="16">
        <v>98295.011075903109</v>
      </c>
    </row>
    <row r="50" spans="1:5" x14ac:dyDescent="0.25">
      <c r="A50" s="15">
        <v>12110</v>
      </c>
      <c r="B50" s="13" t="s">
        <v>56</v>
      </c>
      <c r="C50" s="16">
        <v>68491528</v>
      </c>
      <c r="D50" s="34">
        <v>846.24450000000002</v>
      </c>
      <c r="E50" s="16">
        <v>80935.861916975526</v>
      </c>
    </row>
    <row r="51" spans="1:5" x14ac:dyDescent="0.25">
      <c r="A51" s="15">
        <v>13054</v>
      </c>
      <c r="B51" s="13" t="s">
        <v>57</v>
      </c>
      <c r="C51" s="16">
        <v>7302460</v>
      </c>
      <c r="D51" s="34">
        <v>52.712000000000003</v>
      </c>
      <c r="E51" s="16">
        <v>138535.05843071785</v>
      </c>
    </row>
    <row r="52" spans="1:5" x14ac:dyDescent="0.25">
      <c r="A52" s="15">
        <v>13055</v>
      </c>
      <c r="B52" s="13" t="s">
        <v>58</v>
      </c>
      <c r="C52" s="16">
        <v>41777773</v>
      </c>
      <c r="D52" s="34">
        <v>613.75649999999996</v>
      </c>
      <c r="E52" s="16">
        <v>68068.970348990202</v>
      </c>
    </row>
    <row r="53" spans="1:5" x14ac:dyDescent="0.25">
      <c r="A53" s="15">
        <v>13057</v>
      </c>
      <c r="B53" s="13" t="s">
        <v>59</v>
      </c>
      <c r="C53" s="16">
        <v>4231160</v>
      </c>
      <c r="D53" s="34">
        <v>36.528700000000001</v>
      </c>
      <c r="E53" s="16">
        <v>115831.11361751171</v>
      </c>
    </row>
    <row r="54" spans="1:5" x14ac:dyDescent="0.25">
      <c r="A54" s="15">
        <v>13058</v>
      </c>
      <c r="B54" s="13" t="s">
        <v>60</v>
      </c>
      <c r="C54" s="16">
        <v>4402900</v>
      </c>
      <c r="D54" s="34">
        <v>55.173299999999998</v>
      </c>
      <c r="E54" s="16">
        <v>79801.280691928885</v>
      </c>
    </row>
    <row r="55" spans="1:5" x14ac:dyDescent="0.25">
      <c r="A55" s="15">
        <v>13059</v>
      </c>
      <c r="B55" s="13" t="s">
        <v>61</v>
      </c>
      <c r="C55" s="16">
        <v>26211215</v>
      </c>
      <c r="D55" s="34">
        <v>382.83030000000002</v>
      </c>
      <c r="E55" s="16">
        <v>68466.929080587404</v>
      </c>
    </row>
    <row r="56" spans="1:5" x14ac:dyDescent="0.25">
      <c r="A56" s="15">
        <v>13060</v>
      </c>
      <c r="B56" s="13" t="s">
        <v>62</v>
      </c>
      <c r="C56" s="16">
        <v>5251030</v>
      </c>
      <c r="D56" s="34">
        <v>56.811</v>
      </c>
      <c r="E56" s="16">
        <v>92429.811128126588</v>
      </c>
    </row>
    <row r="57" spans="1:5" x14ac:dyDescent="0.25">
      <c r="A57" s="15">
        <v>13061</v>
      </c>
      <c r="B57" s="13" t="s">
        <v>63</v>
      </c>
      <c r="C57" s="16">
        <v>20573539</v>
      </c>
      <c r="D57" s="34">
        <v>283.35480000000001</v>
      </c>
      <c r="E57" s="16">
        <v>72606.989541027709</v>
      </c>
    </row>
    <row r="58" spans="1:5" x14ac:dyDescent="0.25">
      <c r="A58" s="15">
        <v>13062</v>
      </c>
      <c r="B58" s="13" t="s">
        <v>64</v>
      </c>
      <c r="C58" s="16">
        <v>5142250</v>
      </c>
      <c r="D58" s="34">
        <v>46.587600000000002</v>
      </c>
      <c r="E58" s="16">
        <v>110378.08343851153</v>
      </c>
    </row>
    <row r="59" spans="1:5" x14ac:dyDescent="0.25">
      <c r="A59" s="15">
        <v>14126</v>
      </c>
      <c r="B59" s="13" t="s">
        <v>65</v>
      </c>
      <c r="C59" s="16">
        <v>113938380</v>
      </c>
      <c r="D59" s="34">
        <v>1068.0603000000001</v>
      </c>
      <c r="E59" s="16">
        <v>106677.85330097935</v>
      </c>
    </row>
    <row r="60" spans="1:5" x14ac:dyDescent="0.25">
      <c r="A60" s="15">
        <v>14127</v>
      </c>
      <c r="B60" s="13" t="s">
        <v>66</v>
      </c>
      <c r="C60" s="16">
        <v>56703437</v>
      </c>
      <c r="D60" s="34">
        <v>635.73030000000006</v>
      </c>
      <c r="E60" s="16">
        <v>89194.170861448627</v>
      </c>
    </row>
    <row r="61" spans="1:5" x14ac:dyDescent="0.25">
      <c r="A61" s="15">
        <v>14129</v>
      </c>
      <c r="B61" s="13" t="s">
        <v>67</v>
      </c>
      <c r="C61" s="16">
        <v>218272450</v>
      </c>
      <c r="D61" s="34">
        <v>2109.9749000000002</v>
      </c>
      <c r="E61" s="16">
        <v>103447.88935640892</v>
      </c>
    </row>
    <row r="62" spans="1:5" x14ac:dyDescent="0.25">
      <c r="A62" s="15">
        <v>14130</v>
      </c>
      <c r="B62" s="13" t="s">
        <v>68</v>
      </c>
      <c r="C62" s="16">
        <v>319956838</v>
      </c>
      <c r="D62" s="34">
        <v>729.72839999999997</v>
      </c>
      <c r="E62" s="16">
        <v>438460.16956445714</v>
      </c>
    </row>
    <row r="63" spans="1:5" x14ac:dyDescent="0.25">
      <c r="A63" s="15">
        <v>15001</v>
      </c>
      <c r="B63" s="13" t="s">
        <v>69</v>
      </c>
      <c r="C63" s="16">
        <v>27875462</v>
      </c>
      <c r="D63" s="34">
        <v>401.65750000000003</v>
      </c>
      <c r="E63" s="16">
        <v>69401.074298376101</v>
      </c>
    </row>
    <row r="64" spans="1:5" x14ac:dyDescent="0.25">
      <c r="A64" s="15">
        <v>15002</v>
      </c>
      <c r="B64" s="13" t="s">
        <v>70</v>
      </c>
      <c r="C64" s="16">
        <v>1170935535</v>
      </c>
      <c r="D64" s="34">
        <v>3842.2451999999998</v>
      </c>
      <c r="E64" s="16">
        <v>304752.94366949826</v>
      </c>
    </row>
    <row r="65" spans="1:5" x14ac:dyDescent="0.25">
      <c r="A65" s="15">
        <v>15003</v>
      </c>
      <c r="B65" s="13" t="s">
        <v>71</v>
      </c>
      <c r="C65" s="16">
        <v>94978745</v>
      </c>
      <c r="D65" s="34">
        <v>175.1438</v>
      </c>
      <c r="E65" s="16">
        <v>542290.07821001939</v>
      </c>
    </row>
    <row r="66" spans="1:5" x14ac:dyDescent="0.25">
      <c r="A66" s="15">
        <v>15004</v>
      </c>
      <c r="B66" s="13" t="s">
        <v>72</v>
      </c>
      <c r="C66" s="16">
        <v>33639970</v>
      </c>
      <c r="D66" s="34">
        <v>306.75209999999998</v>
      </c>
      <c r="E66" s="16">
        <v>109665.00310837319</v>
      </c>
    </row>
    <row r="67" spans="1:5" x14ac:dyDescent="0.25">
      <c r="A67" s="15">
        <v>16090</v>
      </c>
      <c r="B67" s="13" t="s">
        <v>73</v>
      </c>
      <c r="C67" s="16">
        <v>533134737</v>
      </c>
      <c r="D67" s="34">
        <v>4878.6714000000002</v>
      </c>
      <c r="E67" s="16">
        <v>109278.6730830037</v>
      </c>
    </row>
    <row r="68" spans="1:5" x14ac:dyDescent="0.25">
      <c r="A68" s="15">
        <v>16092</v>
      </c>
      <c r="B68" s="13" t="s">
        <v>74</v>
      </c>
      <c r="C68" s="16">
        <v>24630035</v>
      </c>
      <c r="D68" s="34">
        <v>205.8879</v>
      </c>
      <c r="E68" s="16">
        <v>119628.37544119882</v>
      </c>
    </row>
    <row r="69" spans="1:5" x14ac:dyDescent="0.25">
      <c r="A69" s="15">
        <v>16094</v>
      </c>
      <c r="B69" s="13" t="s">
        <v>75</v>
      </c>
      <c r="C69" s="16">
        <v>29462318</v>
      </c>
      <c r="D69" s="34">
        <v>361.84359999999998</v>
      </c>
      <c r="E69" s="16">
        <v>81422.797031645721</v>
      </c>
    </row>
    <row r="70" spans="1:5" x14ac:dyDescent="0.25">
      <c r="A70" s="15">
        <v>16096</v>
      </c>
      <c r="B70" s="13" t="s">
        <v>76</v>
      </c>
      <c r="C70" s="16">
        <v>671692720</v>
      </c>
      <c r="D70" s="34">
        <v>3807.5936999999999</v>
      </c>
      <c r="E70" s="16">
        <v>176408.7171380707</v>
      </c>
    </row>
    <row r="71" spans="1:5" x14ac:dyDescent="0.25">
      <c r="A71" s="15">
        <v>16097</v>
      </c>
      <c r="B71" s="13" t="s">
        <v>77</v>
      </c>
      <c r="C71" s="16">
        <v>55174149</v>
      </c>
      <c r="D71" s="34">
        <v>335.16980000000001</v>
      </c>
      <c r="E71" s="16">
        <v>164615.51428559495</v>
      </c>
    </row>
    <row r="72" spans="1:5" x14ac:dyDescent="0.25">
      <c r="A72" s="15">
        <v>17121</v>
      </c>
      <c r="B72" s="13" t="s">
        <v>78</v>
      </c>
      <c r="C72" s="16">
        <v>9465607</v>
      </c>
      <c r="D72" s="34">
        <v>139.76499999999999</v>
      </c>
      <c r="E72" s="16">
        <v>67725.16009015133</v>
      </c>
    </row>
    <row r="73" spans="1:5" x14ac:dyDescent="0.25">
      <c r="A73" s="15">
        <v>17122</v>
      </c>
      <c r="B73" s="13" t="s">
        <v>79</v>
      </c>
      <c r="C73" s="16">
        <v>11558176</v>
      </c>
      <c r="D73" s="34">
        <v>136.1181</v>
      </c>
      <c r="E73" s="16">
        <v>84912.851413588636</v>
      </c>
    </row>
    <row r="74" spans="1:5" x14ac:dyDescent="0.25">
      <c r="A74" s="15">
        <v>17124</v>
      </c>
      <c r="B74" s="13" t="s">
        <v>80</v>
      </c>
      <c r="C74" s="16">
        <v>12787613</v>
      </c>
      <c r="D74" s="34">
        <v>39.031599999999997</v>
      </c>
      <c r="E74" s="16">
        <v>327622.05495034793</v>
      </c>
    </row>
    <row r="75" spans="1:5" x14ac:dyDescent="0.25">
      <c r="A75" s="15">
        <v>17125</v>
      </c>
      <c r="B75" s="13" t="s">
        <v>81</v>
      </c>
      <c r="C75" s="16">
        <v>68945528</v>
      </c>
      <c r="D75" s="34">
        <v>828.88900000000001</v>
      </c>
      <c r="E75" s="16">
        <v>83178.239788439707</v>
      </c>
    </row>
    <row r="76" spans="1:5" x14ac:dyDescent="0.25">
      <c r="A76" s="15">
        <v>17126</v>
      </c>
      <c r="B76" s="13" t="s">
        <v>82</v>
      </c>
      <c r="C76" s="16">
        <v>17916602</v>
      </c>
      <c r="D76" s="34">
        <v>165.37870000000001</v>
      </c>
      <c r="E76" s="16">
        <v>108336.81725639396</v>
      </c>
    </row>
    <row r="77" spans="1:5" x14ac:dyDescent="0.25">
      <c r="A77" s="15">
        <v>18047</v>
      </c>
      <c r="B77" s="13" t="s">
        <v>83</v>
      </c>
      <c r="C77" s="16">
        <v>39456380</v>
      </c>
      <c r="D77" s="34">
        <v>613.42769999999996</v>
      </c>
      <c r="E77" s="16">
        <v>64321.157978356707</v>
      </c>
    </row>
    <row r="78" spans="1:5" x14ac:dyDescent="0.25">
      <c r="A78" s="15">
        <v>18050</v>
      </c>
      <c r="B78" s="13" t="s">
        <v>84</v>
      </c>
      <c r="C78" s="16">
        <v>39490250</v>
      </c>
      <c r="D78" s="34">
        <v>478.5641</v>
      </c>
      <c r="E78" s="16">
        <v>82518.203935481157</v>
      </c>
    </row>
    <row r="79" spans="1:5" x14ac:dyDescent="0.25">
      <c r="A79" s="15">
        <v>19139</v>
      </c>
      <c r="B79" s="13" t="s">
        <v>85</v>
      </c>
      <c r="C79" s="16">
        <v>36367847</v>
      </c>
      <c r="D79" s="34">
        <v>486.57380000000001</v>
      </c>
      <c r="E79" s="16">
        <v>74742.715287999483</v>
      </c>
    </row>
    <row r="80" spans="1:5" x14ac:dyDescent="0.25">
      <c r="A80" s="15">
        <v>19140</v>
      </c>
      <c r="B80" s="13" t="s">
        <v>86</v>
      </c>
      <c r="C80" s="16">
        <v>14836274</v>
      </c>
      <c r="D80" s="34">
        <v>154.20169999999999</v>
      </c>
      <c r="E80" s="16">
        <v>96213.426959624965</v>
      </c>
    </row>
    <row r="81" spans="1:5" x14ac:dyDescent="0.25">
      <c r="A81" s="15">
        <v>19142</v>
      </c>
      <c r="B81" s="13" t="s">
        <v>87</v>
      </c>
      <c r="C81" s="16">
        <v>570922412</v>
      </c>
      <c r="D81" s="34">
        <v>6083.951</v>
      </c>
      <c r="E81" s="16">
        <v>93840.731458882554</v>
      </c>
    </row>
    <row r="82" spans="1:5" x14ac:dyDescent="0.25">
      <c r="A82" s="15">
        <v>19144</v>
      </c>
      <c r="B82" s="13" t="s">
        <v>88</v>
      </c>
      <c r="C82" s="16">
        <v>58349078</v>
      </c>
      <c r="D82" s="34">
        <v>740.20259999999996</v>
      </c>
      <c r="E82" s="16">
        <v>78828.523433989569</v>
      </c>
    </row>
    <row r="83" spans="1:5" x14ac:dyDescent="0.25">
      <c r="A83" s="15">
        <v>19147</v>
      </c>
      <c r="B83" s="13" t="s">
        <v>89</v>
      </c>
      <c r="C83" s="16">
        <v>15932549</v>
      </c>
      <c r="D83" s="34">
        <v>148.6155</v>
      </c>
      <c r="E83" s="16">
        <v>107206.50941523597</v>
      </c>
    </row>
    <row r="84" spans="1:5" x14ac:dyDescent="0.25">
      <c r="A84" s="15">
        <v>19148</v>
      </c>
      <c r="B84" s="13" t="s">
        <v>90</v>
      </c>
      <c r="C84" s="16">
        <v>165877429</v>
      </c>
      <c r="D84" s="34">
        <v>2076.2166999999999</v>
      </c>
      <c r="E84" s="16">
        <v>79894.0828286373</v>
      </c>
    </row>
    <row r="85" spans="1:5" x14ac:dyDescent="0.25">
      <c r="A85" s="15">
        <v>19149</v>
      </c>
      <c r="B85" s="13" t="s">
        <v>91</v>
      </c>
      <c r="C85" s="16">
        <v>211279597</v>
      </c>
      <c r="D85" s="34">
        <v>2191.0551999999998</v>
      </c>
      <c r="E85" s="16">
        <v>96428.240146574128</v>
      </c>
    </row>
    <row r="86" spans="1:5" x14ac:dyDescent="0.25">
      <c r="A86" s="15">
        <v>19150</v>
      </c>
      <c r="B86" s="13" t="s">
        <v>92</v>
      </c>
      <c r="C86" s="16">
        <v>20531005</v>
      </c>
      <c r="D86" s="34">
        <v>275.1823</v>
      </c>
      <c r="E86" s="16">
        <v>74608.741187205713</v>
      </c>
    </row>
    <row r="87" spans="1:5" x14ac:dyDescent="0.25">
      <c r="A87" s="15">
        <v>19151</v>
      </c>
      <c r="B87" s="13" t="s">
        <v>93</v>
      </c>
      <c r="C87" s="16">
        <v>45144693</v>
      </c>
      <c r="D87" s="34">
        <v>414.52690000000001</v>
      </c>
      <c r="E87" s="16">
        <v>108906.54623379085</v>
      </c>
    </row>
    <row r="88" spans="1:5" x14ac:dyDescent="0.25">
      <c r="A88" s="15">
        <v>19152</v>
      </c>
      <c r="B88" s="13" t="s">
        <v>94</v>
      </c>
      <c r="C88" s="16">
        <v>355951628</v>
      </c>
      <c r="D88" s="34">
        <v>4285.6100999999999</v>
      </c>
      <c r="E88" s="16">
        <v>83057.398992036164</v>
      </c>
    </row>
    <row r="89" spans="1:5" x14ac:dyDescent="0.25">
      <c r="A89" s="15">
        <v>20001</v>
      </c>
      <c r="B89" s="13" t="s">
        <v>95</v>
      </c>
      <c r="C89" s="16">
        <v>95374649</v>
      </c>
      <c r="D89" s="34">
        <v>963.91030000000001</v>
      </c>
      <c r="E89" s="16">
        <v>98945.564748089106</v>
      </c>
    </row>
    <row r="90" spans="1:5" x14ac:dyDescent="0.25">
      <c r="A90" s="15">
        <v>20002</v>
      </c>
      <c r="B90" s="13" t="s">
        <v>96</v>
      </c>
      <c r="C90" s="16">
        <v>94740775</v>
      </c>
      <c r="D90" s="34">
        <v>1170.7882999999999</v>
      </c>
      <c r="E90" s="16">
        <v>80920.500315898273</v>
      </c>
    </row>
    <row r="91" spans="1:5" x14ac:dyDescent="0.25">
      <c r="A91" s="15">
        <v>21148</v>
      </c>
      <c r="B91" s="13" t="s">
        <v>97</v>
      </c>
      <c r="C91" s="16">
        <v>22262840</v>
      </c>
      <c r="D91" s="34">
        <v>132.66659999999999</v>
      </c>
      <c r="E91" s="16">
        <v>167810.4360856463</v>
      </c>
    </row>
    <row r="92" spans="1:5" x14ac:dyDescent="0.25">
      <c r="A92" s="15">
        <v>21149</v>
      </c>
      <c r="B92" s="13" t="s">
        <v>98</v>
      </c>
      <c r="C92" s="16">
        <v>22120602</v>
      </c>
      <c r="D92" s="34">
        <v>234.2329</v>
      </c>
      <c r="E92" s="16">
        <v>94438.492628490698</v>
      </c>
    </row>
    <row r="93" spans="1:5" x14ac:dyDescent="0.25">
      <c r="A93" s="15">
        <v>21150</v>
      </c>
      <c r="B93" s="13" t="s">
        <v>99</v>
      </c>
      <c r="C93" s="16">
        <v>17047920</v>
      </c>
      <c r="D93" s="34">
        <v>123.09139999999999</v>
      </c>
      <c r="E93" s="16">
        <v>138498.05916579062</v>
      </c>
    </row>
    <row r="94" spans="1:5" x14ac:dyDescent="0.25">
      <c r="A94" s="15">
        <v>21151</v>
      </c>
      <c r="B94" s="13" t="s">
        <v>100</v>
      </c>
      <c r="C94" s="16">
        <v>64837155</v>
      </c>
      <c r="D94" s="34">
        <v>445.49740000000003</v>
      </c>
      <c r="E94" s="16">
        <v>145538.79551261128</v>
      </c>
    </row>
    <row r="95" spans="1:5" x14ac:dyDescent="0.25">
      <c r="A95" s="15">
        <v>22088</v>
      </c>
      <c r="B95" s="13" t="s">
        <v>101</v>
      </c>
      <c r="C95" s="16">
        <v>13878802</v>
      </c>
      <c r="D95" s="34">
        <v>230.38399999999999</v>
      </c>
      <c r="E95" s="16">
        <v>60242.039377734567</v>
      </c>
    </row>
    <row r="96" spans="1:5" x14ac:dyDescent="0.25">
      <c r="A96" s="15">
        <v>22089</v>
      </c>
      <c r="B96" s="13" t="s">
        <v>102</v>
      </c>
      <c r="C96" s="16">
        <v>481440828</v>
      </c>
      <c r="D96" s="34">
        <v>5954.9233999999997</v>
      </c>
      <c r="E96" s="16">
        <v>80847.526602945058</v>
      </c>
    </row>
    <row r="97" spans="1:5" x14ac:dyDescent="0.25">
      <c r="A97" s="15">
        <v>22090</v>
      </c>
      <c r="B97" s="13" t="s">
        <v>103</v>
      </c>
      <c r="C97" s="16">
        <v>42092311</v>
      </c>
      <c r="D97" s="34">
        <v>713.15530000000001</v>
      </c>
      <c r="E97" s="16">
        <v>59022.643455079138</v>
      </c>
    </row>
    <row r="98" spans="1:5" x14ac:dyDescent="0.25">
      <c r="A98" s="15">
        <v>22091</v>
      </c>
      <c r="B98" s="13" t="s">
        <v>104</v>
      </c>
      <c r="C98" s="16">
        <v>36360115</v>
      </c>
      <c r="D98" s="34">
        <v>383.2525</v>
      </c>
      <c r="E98" s="16">
        <v>94872.47963157449</v>
      </c>
    </row>
    <row r="99" spans="1:5" x14ac:dyDescent="0.25">
      <c r="A99" s="15">
        <v>22092</v>
      </c>
      <c r="B99" s="13" t="s">
        <v>105</v>
      </c>
      <c r="C99" s="16">
        <v>73480330</v>
      </c>
      <c r="D99" s="34">
        <v>1169.7998</v>
      </c>
      <c r="E99" s="16">
        <v>62814.449104881023</v>
      </c>
    </row>
    <row r="100" spans="1:5" x14ac:dyDescent="0.25">
      <c r="A100" s="15">
        <v>22093</v>
      </c>
      <c r="B100" s="13" t="s">
        <v>106</v>
      </c>
      <c r="C100" s="16">
        <v>475378792</v>
      </c>
      <c r="D100" s="34">
        <v>5553.8217999999997</v>
      </c>
      <c r="E100" s="16">
        <v>85594.894672349779</v>
      </c>
    </row>
    <row r="101" spans="1:5" x14ac:dyDescent="0.25">
      <c r="A101" s="15">
        <v>22094</v>
      </c>
      <c r="B101" s="13" t="s">
        <v>107</v>
      </c>
      <c r="C101" s="16">
        <v>66649407</v>
      </c>
      <c r="D101" s="34">
        <v>683.20039999999995</v>
      </c>
      <c r="E101" s="16">
        <v>97554.695518328153</v>
      </c>
    </row>
    <row r="102" spans="1:5" x14ac:dyDescent="0.25">
      <c r="A102" s="15">
        <v>23101</v>
      </c>
      <c r="B102" s="13" t="s">
        <v>108</v>
      </c>
      <c r="C102" s="16">
        <v>96569197</v>
      </c>
      <c r="D102" s="34">
        <v>951.92060000000004</v>
      </c>
      <c r="E102" s="16">
        <v>101446.69313806214</v>
      </c>
    </row>
    <row r="103" spans="1:5" x14ac:dyDescent="0.25">
      <c r="A103" s="15">
        <v>24086</v>
      </c>
      <c r="B103" s="13" t="s">
        <v>109</v>
      </c>
      <c r="C103" s="16">
        <v>365937773</v>
      </c>
      <c r="D103" s="34">
        <v>3386.9495000000002</v>
      </c>
      <c r="E103" s="16">
        <v>108043.46890911717</v>
      </c>
    </row>
    <row r="104" spans="1:5" x14ac:dyDescent="0.25">
      <c r="A104" s="15">
        <v>24087</v>
      </c>
      <c r="B104" s="13" t="s">
        <v>110</v>
      </c>
      <c r="C104" s="16">
        <v>250614880</v>
      </c>
      <c r="D104" s="34">
        <v>2533.6628999999998</v>
      </c>
      <c r="E104" s="16">
        <v>98914.058377695008</v>
      </c>
    </row>
    <row r="105" spans="1:5" x14ac:dyDescent="0.25">
      <c r="A105" s="15">
        <v>24089</v>
      </c>
      <c r="B105" s="13" t="s">
        <v>111</v>
      </c>
      <c r="C105" s="16">
        <v>229358033</v>
      </c>
      <c r="D105" s="34">
        <v>2692.3256000000001</v>
      </c>
      <c r="E105" s="16">
        <v>85189.559910584358</v>
      </c>
    </row>
    <row r="106" spans="1:5" x14ac:dyDescent="0.25">
      <c r="A106" s="15">
        <v>24090</v>
      </c>
      <c r="B106" s="13" t="s">
        <v>112</v>
      </c>
      <c r="C106" s="16">
        <v>956666688</v>
      </c>
      <c r="D106" s="34">
        <v>12174.4599</v>
      </c>
      <c r="E106" s="16">
        <v>78579.80525279812</v>
      </c>
    </row>
    <row r="107" spans="1:5" x14ac:dyDescent="0.25">
      <c r="A107" s="15">
        <v>24091</v>
      </c>
      <c r="B107" s="13" t="s">
        <v>113</v>
      </c>
      <c r="C107" s="16">
        <v>7904484</v>
      </c>
      <c r="D107" s="34">
        <v>31.794</v>
      </c>
      <c r="E107" s="16">
        <v>248615.58784676355</v>
      </c>
    </row>
    <row r="108" spans="1:5" x14ac:dyDescent="0.25">
      <c r="A108" s="15">
        <v>24093</v>
      </c>
      <c r="B108" s="13" t="s">
        <v>114</v>
      </c>
      <c r="C108" s="16">
        <v>2236992620</v>
      </c>
      <c r="D108" s="34">
        <v>19492.5242</v>
      </c>
      <c r="E108" s="16">
        <v>114761.56689855488</v>
      </c>
    </row>
    <row r="109" spans="1:5" x14ac:dyDescent="0.25">
      <c r="A109" s="15">
        <v>25001</v>
      </c>
      <c r="B109" s="13" t="s">
        <v>115</v>
      </c>
      <c r="C109" s="16">
        <v>112869566</v>
      </c>
      <c r="D109" s="34">
        <v>1625.3469</v>
      </c>
      <c r="E109" s="16">
        <v>69443.36990460314</v>
      </c>
    </row>
    <row r="110" spans="1:5" x14ac:dyDescent="0.25">
      <c r="A110" s="15">
        <v>25002</v>
      </c>
      <c r="B110" s="13" t="s">
        <v>116</v>
      </c>
      <c r="C110" s="16">
        <v>64963198</v>
      </c>
      <c r="D110" s="34">
        <v>905.10850000000005</v>
      </c>
      <c r="E110" s="16">
        <v>71773.934285226569</v>
      </c>
    </row>
    <row r="111" spans="1:5" x14ac:dyDescent="0.25">
      <c r="A111" s="15">
        <v>25003</v>
      </c>
      <c r="B111" s="13" t="s">
        <v>117</v>
      </c>
      <c r="C111" s="16">
        <v>77928923</v>
      </c>
      <c r="D111" s="34">
        <v>603.78150000000005</v>
      </c>
      <c r="E111" s="16">
        <v>129068.08671680068</v>
      </c>
    </row>
    <row r="112" spans="1:5" x14ac:dyDescent="0.25">
      <c r="A112" s="15">
        <v>26001</v>
      </c>
      <c r="B112" s="13" t="s">
        <v>118</v>
      </c>
      <c r="C112" s="16">
        <v>56377541</v>
      </c>
      <c r="D112" s="34">
        <v>571.00869999999998</v>
      </c>
      <c r="E112" s="16">
        <v>98733.243468969915</v>
      </c>
    </row>
    <row r="113" spans="1:5" x14ac:dyDescent="0.25">
      <c r="A113" s="15">
        <v>26002</v>
      </c>
      <c r="B113" s="13" t="s">
        <v>119</v>
      </c>
      <c r="C113" s="16">
        <v>111317104</v>
      </c>
      <c r="D113" s="34">
        <v>1225.7016000000001</v>
      </c>
      <c r="E113" s="16">
        <v>90819.090062377334</v>
      </c>
    </row>
    <row r="114" spans="1:5" x14ac:dyDescent="0.25">
      <c r="A114" s="15">
        <v>26005</v>
      </c>
      <c r="B114" s="13" t="s">
        <v>120</v>
      </c>
      <c r="C114" s="16">
        <v>70011752</v>
      </c>
      <c r="D114" s="34">
        <v>553.88199999999995</v>
      </c>
      <c r="E114" s="16">
        <v>126401.92676418443</v>
      </c>
    </row>
    <row r="115" spans="1:5" x14ac:dyDescent="0.25">
      <c r="A115" s="15">
        <v>26006</v>
      </c>
      <c r="B115" s="13" t="s">
        <v>121</v>
      </c>
      <c r="C115" s="16">
        <v>1309974190</v>
      </c>
      <c r="D115" s="34">
        <v>8269.8017999999993</v>
      </c>
      <c r="E115" s="16">
        <v>158404.54483443606</v>
      </c>
    </row>
    <row r="116" spans="1:5" x14ac:dyDescent="0.25">
      <c r="A116" s="15">
        <v>27055</v>
      </c>
      <c r="B116" s="13" t="s">
        <v>122</v>
      </c>
      <c r="C116" s="16">
        <v>9616369</v>
      </c>
      <c r="D116" s="34">
        <v>153.9265</v>
      </c>
      <c r="E116" s="16">
        <v>62473.771572796104</v>
      </c>
    </row>
    <row r="117" spans="1:5" x14ac:dyDescent="0.25">
      <c r="A117" s="15">
        <v>27056</v>
      </c>
      <c r="B117" s="13" t="s">
        <v>123</v>
      </c>
      <c r="C117" s="16">
        <v>9828324</v>
      </c>
      <c r="D117" s="34">
        <v>85.945800000000006</v>
      </c>
      <c r="E117" s="16">
        <v>114354.90739512576</v>
      </c>
    </row>
    <row r="118" spans="1:5" x14ac:dyDescent="0.25">
      <c r="A118" s="15">
        <v>27057</v>
      </c>
      <c r="B118" s="13" t="s">
        <v>124</v>
      </c>
      <c r="C118" s="16">
        <v>14391966</v>
      </c>
      <c r="D118" s="34">
        <v>148.4068</v>
      </c>
      <c r="E118" s="16">
        <v>96976.459299708629</v>
      </c>
    </row>
    <row r="119" spans="1:5" x14ac:dyDescent="0.25">
      <c r="A119" s="15">
        <v>27058</v>
      </c>
      <c r="B119" s="13" t="s">
        <v>125</v>
      </c>
      <c r="C119" s="16">
        <v>14362086</v>
      </c>
      <c r="D119" s="34">
        <v>219.9282</v>
      </c>
      <c r="E119" s="16">
        <v>65303.521785746438</v>
      </c>
    </row>
    <row r="120" spans="1:5" x14ac:dyDescent="0.25">
      <c r="A120" s="15">
        <v>27059</v>
      </c>
      <c r="B120" s="13" t="s">
        <v>126</v>
      </c>
      <c r="C120" s="16">
        <v>20814281</v>
      </c>
      <c r="D120" s="34">
        <v>221.22829999999999</v>
      </c>
      <c r="E120" s="16">
        <v>94085.074106703352</v>
      </c>
    </row>
    <row r="121" spans="1:5" x14ac:dyDescent="0.25">
      <c r="A121" s="15">
        <v>27061</v>
      </c>
      <c r="B121" s="13" t="s">
        <v>127</v>
      </c>
      <c r="C121" s="16">
        <v>141631963</v>
      </c>
      <c r="D121" s="34">
        <v>1493.9625000000001</v>
      </c>
      <c r="E121" s="16">
        <v>94802.890300124665</v>
      </c>
    </row>
    <row r="122" spans="1:5" x14ac:dyDescent="0.25">
      <c r="A122" s="15">
        <v>28101</v>
      </c>
      <c r="B122" s="13" t="s">
        <v>128</v>
      </c>
      <c r="C122" s="16">
        <v>69998106</v>
      </c>
      <c r="D122" s="34">
        <v>870.04880000000003</v>
      </c>
      <c r="E122" s="16">
        <v>80453.080332965226</v>
      </c>
    </row>
    <row r="123" spans="1:5" x14ac:dyDescent="0.25">
      <c r="A123" s="15">
        <v>28102</v>
      </c>
      <c r="B123" s="13" t="s">
        <v>129</v>
      </c>
      <c r="C123" s="16">
        <v>122432969</v>
      </c>
      <c r="D123" s="34">
        <v>1284.1760999999999</v>
      </c>
      <c r="E123" s="16">
        <v>95339.703799190786</v>
      </c>
    </row>
    <row r="124" spans="1:5" x14ac:dyDescent="0.25">
      <c r="A124" s="15">
        <v>28103</v>
      </c>
      <c r="B124" s="13" t="s">
        <v>130</v>
      </c>
      <c r="C124" s="16">
        <v>64061228</v>
      </c>
      <c r="D124" s="34">
        <v>951.54639999999995</v>
      </c>
      <c r="E124" s="16">
        <v>67323.283446818779</v>
      </c>
    </row>
    <row r="125" spans="1:5" x14ac:dyDescent="0.25">
      <c r="A125" s="15">
        <v>29001</v>
      </c>
      <c r="B125" s="13" t="s">
        <v>131</v>
      </c>
      <c r="C125" s="16">
        <v>33521569</v>
      </c>
      <c r="D125" s="34">
        <v>289.92759999999998</v>
      </c>
      <c r="E125" s="16">
        <v>115620.48249287064</v>
      </c>
    </row>
    <row r="126" spans="1:5" x14ac:dyDescent="0.25">
      <c r="A126" s="15">
        <v>29002</v>
      </c>
      <c r="B126" s="13" t="s">
        <v>132</v>
      </c>
      <c r="C126" s="16">
        <v>12071432</v>
      </c>
      <c r="D126" s="34">
        <v>158.13399999999999</v>
      </c>
      <c r="E126" s="16">
        <v>76336.727079565433</v>
      </c>
    </row>
    <row r="127" spans="1:5" x14ac:dyDescent="0.25">
      <c r="A127" s="15">
        <v>29003</v>
      </c>
      <c r="B127" s="13" t="s">
        <v>133</v>
      </c>
      <c r="C127" s="16">
        <v>11832310</v>
      </c>
      <c r="D127" s="34">
        <v>151.8972</v>
      </c>
      <c r="E127" s="16">
        <v>77896.827591292007</v>
      </c>
    </row>
    <row r="128" spans="1:5" x14ac:dyDescent="0.25">
      <c r="A128" s="15">
        <v>29004</v>
      </c>
      <c r="B128" s="13" t="s">
        <v>134</v>
      </c>
      <c r="C128" s="16">
        <v>41263828</v>
      </c>
      <c r="D128" s="34">
        <v>360.60239999999999</v>
      </c>
      <c r="E128" s="16">
        <v>114430.26446856705</v>
      </c>
    </row>
    <row r="129" spans="1:5" x14ac:dyDescent="0.25">
      <c r="A129" s="15">
        <v>30093</v>
      </c>
      <c r="B129" s="13" t="s">
        <v>135</v>
      </c>
      <c r="C129" s="16">
        <v>127849299</v>
      </c>
      <c r="D129" s="34">
        <v>1613.7242000000001</v>
      </c>
      <c r="E129" s="16">
        <v>79226.238907491119</v>
      </c>
    </row>
    <row r="130" spans="1:5" x14ac:dyDescent="0.25">
      <c r="A130" s="15">
        <v>31116</v>
      </c>
      <c r="B130" s="13" t="s">
        <v>136</v>
      </c>
      <c r="C130" s="16">
        <v>14879458</v>
      </c>
      <c r="D130" s="34">
        <v>196.01150000000001</v>
      </c>
      <c r="E130" s="16">
        <v>75911.148070393829</v>
      </c>
    </row>
    <row r="131" spans="1:5" x14ac:dyDescent="0.25">
      <c r="A131" s="15">
        <v>31117</v>
      </c>
      <c r="B131" s="13" t="s">
        <v>137</v>
      </c>
      <c r="C131" s="16">
        <v>24300768</v>
      </c>
      <c r="D131" s="34">
        <v>156.78809999999999</v>
      </c>
      <c r="E131" s="16">
        <v>154991.15047634355</v>
      </c>
    </row>
    <row r="132" spans="1:5" x14ac:dyDescent="0.25">
      <c r="A132" s="15">
        <v>31118</v>
      </c>
      <c r="B132" s="13" t="s">
        <v>138</v>
      </c>
      <c r="C132" s="16">
        <v>11783904</v>
      </c>
      <c r="D132" s="34">
        <v>57.223999999999997</v>
      </c>
      <c r="E132" s="16">
        <v>205925.90521459529</v>
      </c>
    </row>
    <row r="133" spans="1:5" x14ac:dyDescent="0.25">
      <c r="A133" s="15">
        <v>31121</v>
      </c>
      <c r="B133" s="13" t="s">
        <v>139</v>
      </c>
      <c r="C133" s="16">
        <v>46983258</v>
      </c>
      <c r="D133" s="34">
        <v>532.48500000000001</v>
      </c>
      <c r="E133" s="16">
        <v>88233.955886081298</v>
      </c>
    </row>
    <row r="134" spans="1:5" x14ac:dyDescent="0.25">
      <c r="A134" s="15">
        <v>31122</v>
      </c>
      <c r="B134" s="13" t="s">
        <v>140</v>
      </c>
      <c r="C134" s="16">
        <v>22080283</v>
      </c>
      <c r="D134" s="34">
        <v>153.9468</v>
      </c>
      <c r="E134" s="16">
        <v>143428.00889657985</v>
      </c>
    </row>
    <row r="135" spans="1:5" x14ac:dyDescent="0.25">
      <c r="A135" s="15">
        <v>32054</v>
      </c>
      <c r="B135" s="13" t="s">
        <v>141</v>
      </c>
      <c r="C135" s="16">
        <v>21062374</v>
      </c>
      <c r="D135" s="34">
        <v>103.261</v>
      </c>
      <c r="E135" s="16">
        <v>203972.20635089724</v>
      </c>
    </row>
    <row r="136" spans="1:5" x14ac:dyDescent="0.25">
      <c r="A136" s="15">
        <v>32055</v>
      </c>
      <c r="B136" s="13" t="s">
        <v>142</v>
      </c>
      <c r="C136" s="16">
        <v>70993780</v>
      </c>
      <c r="D136" s="34">
        <v>546.97220000000004</v>
      </c>
      <c r="E136" s="16">
        <v>129794.12847673062</v>
      </c>
    </row>
    <row r="137" spans="1:5" x14ac:dyDescent="0.25">
      <c r="A137" s="15">
        <v>32056</v>
      </c>
      <c r="B137" s="13" t="s">
        <v>143</v>
      </c>
      <c r="C137" s="16">
        <v>29081017</v>
      </c>
      <c r="D137" s="34">
        <v>147.87909999999999</v>
      </c>
      <c r="E137" s="16">
        <v>196654.0031688048</v>
      </c>
    </row>
    <row r="138" spans="1:5" x14ac:dyDescent="0.25">
      <c r="A138" s="15">
        <v>32058</v>
      </c>
      <c r="B138" s="13" t="s">
        <v>144</v>
      </c>
      <c r="C138" s="16">
        <v>18757146</v>
      </c>
      <c r="D138" s="34">
        <v>218.29820000000001</v>
      </c>
      <c r="E138" s="16">
        <v>85924.4189828409</v>
      </c>
    </row>
    <row r="139" spans="1:5" x14ac:dyDescent="0.25">
      <c r="A139" s="15">
        <v>33090</v>
      </c>
      <c r="B139" s="13" t="s">
        <v>145</v>
      </c>
      <c r="C139" s="16">
        <v>70089776</v>
      </c>
      <c r="D139" s="34">
        <v>1012.1832000000001</v>
      </c>
      <c r="E139" s="16">
        <v>69246.13647015678</v>
      </c>
    </row>
    <row r="140" spans="1:5" x14ac:dyDescent="0.25">
      <c r="A140" s="15">
        <v>33091</v>
      </c>
      <c r="B140" s="13" t="s">
        <v>146</v>
      </c>
      <c r="C140" s="16">
        <v>15478815</v>
      </c>
      <c r="D140" s="34">
        <v>168.1788</v>
      </c>
      <c r="E140" s="16">
        <v>92037.849003560492</v>
      </c>
    </row>
    <row r="141" spans="1:5" x14ac:dyDescent="0.25">
      <c r="A141" s="15">
        <v>33092</v>
      </c>
      <c r="B141" s="13" t="s">
        <v>147</v>
      </c>
      <c r="C141" s="16">
        <v>21397340</v>
      </c>
      <c r="D141" s="34">
        <v>267.863</v>
      </c>
      <c r="E141" s="16">
        <v>79881.655921123864</v>
      </c>
    </row>
    <row r="142" spans="1:5" x14ac:dyDescent="0.25">
      <c r="A142" s="15">
        <v>33093</v>
      </c>
      <c r="B142" s="13" t="s">
        <v>148</v>
      </c>
      <c r="C142" s="16">
        <v>34606766</v>
      </c>
      <c r="D142" s="34">
        <v>338.80250000000001</v>
      </c>
      <c r="E142" s="16">
        <v>102144.36434205768</v>
      </c>
    </row>
    <row r="143" spans="1:5" x14ac:dyDescent="0.25">
      <c r="A143" s="15">
        <v>33094</v>
      </c>
      <c r="B143" s="13" t="s">
        <v>149</v>
      </c>
      <c r="C143" s="16">
        <v>21037617</v>
      </c>
      <c r="D143" s="34">
        <v>257.86340000000001</v>
      </c>
      <c r="E143" s="16">
        <v>81584.346595910858</v>
      </c>
    </row>
    <row r="144" spans="1:5" x14ac:dyDescent="0.25">
      <c r="A144" s="15">
        <v>34121</v>
      </c>
      <c r="B144" s="13" t="s">
        <v>150</v>
      </c>
      <c r="C144" s="16">
        <v>10851059</v>
      </c>
      <c r="D144" s="34">
        <v>107.285</v>
      </c>
      <c r="E144" s="16">
        <v>101142.36845784592</v>
      </c>
    </row>
    <row r="145" spans="1:5" x14ac:dyDescent="0.25">
      <c r="A145" s="15">
        <v>34122</v>
      </c>
      <c r="B145" s="13" t="s">
        <v>151</v>
      </c>
      <c r="C145" s="16">
        <v>7630933</v>
      </c>
      <c r="D145" s="34">
        <v>111.2157</v>
      </c>
      <c r="E145" s="16">
        <v>68613.81081987526</v>
      </c>
    </row>
    <row r="146" spans="1:5" x14ac:dyDescent="0.25">
      <c r="A146" s="15">
        <v>34124</v>
      </c>
      <c r="B146" s="13" t="s">
        <v>152</v>
      </c>
      <c r="C146" s="16">
        <v>109440362</v>
      </c>
      <c r="D146" s="34">
        <v>1253.2443000000001</v>
      </c>
      <c r="E146" s="16">
        <v>87325.641137964878</v>
      </c>
    </row>
    <row r="147" spans="1:5" x14ac:dyDescent="0.25">
      <c r="A147" s="15">
        <v>35092</v>
      </c>
      <c r="B147" s="13" t="s">
        <v>153</v>
      </c>
      <c r="C147" s="16">
        <v>46022039</v>
      </c>
      <c r="D147" s="34">
        <v>906.32100000000003</v>
      </c>
      <c r="E147" s="16">
        <v>50778.961317237488</v>
      </c>
    </row>
    <row r="148" spans="1:5" x14ac:dyDescent="0.25">
      <c r="A148" s="15">
        <v>35093</v>
      </c>
      <c r="B148" s="13" t="s">
        <v>154</v>
      </c>
      <c r="C148" s="16">
        <v>47355489</v>
      </c>
      <c r="D148" s="34">
        <v>513.26009999999997</v>
      </c>
      <c r="E148" s="16">
        <v>92264.115211761062</v>
      </c>
    </row>
    <row r="149" spans="1:5" x14ac:dyDescent="0.25">
      <c r="A149" s="15">
        <v>35094</v>
      </c>
      <c r="B149" s="13" t="s">
        <v>155</v>
      </c>
      <c r="C149" s="16">
        <v>22695322</v>
      </c>
      <c r="D149" s="34">
        <v>487.0444</v>
      </c>
      <c r="E149" s="16">
        <v>46598.055536620479</v>
      </c>
    </row>
    <row r="150" spans="1:5" x14ac:dyDescent="0.25">
      <c r="A150" s="15">
        <v>35097</v>
      </c>
      <c r="B150" s="13" t="s">
        <v>156</v>
      </c>
      <c r="C150" s="16">
        <v>14101239</v>
      </c>
      <c r="D150" s="34">
        <v>331.4708</v>
      </c>
      <c r="E150" s="16">
        <v>42541.42144647432</v>
      </c>
    </row>
    <row r="151" spans="1:5" x14ac:dyDescent="0.25">
      <c r="A151" s="15">
        <v>35098</v>
      </c>
      <c r="B151" s="13" t="s">
        <v>157</v>
      </c>
      <c r="C151" s="16">
        <v>51468373</v>
      </c>
      <c r="D151" s="34">
        <v>724.60050000000001</v>
      </c>
      <c r="E151" s="16">
        <v>71029.999289263535</v>
      </c>
    </row>
    <row r="152" spans="1:5" x14ac:dyDescent="0.25">
      <c r="A152" s="15">
        <v>35099</v>
      </c>
      <c r="B152" s="13" t="s">
        <v>158</v>
      </c>
      <c r="C152" s="16">
        <v>15526777</v>
      </c>
      <c r="D152" s="34">
        <v>222.31229999999999</v>
      </c>
      <c r="E152" s="16">
        <v>69842.185969917089</v>
      </c>
    </row>
    <row r="153" spans="1:5" x14ac:dyDescent="0.25">
      <c r="A153" s="15">
        <v>35102</v>
      </c>
      <c r="B153" s="13" t="s">
        <v>159</v>
      </c>
      <c r="C153" s="16">
        <v>93539528</v>
      </c>
      <c r="D153" s="34">
        <v>1789.412</v>
      </c>
      <c r="E153" s="16">
        <v>52273.891088245749</v>
      </c>
    </row>
    <row r="154" spans="1:5" x14ac:dyDescent="0.25">
      <c r="A154" s="15">
        <v>36123</v>
      </c>
      <c r="B154" s="13" t="s">
        <v>160</v>
      </c>
      <c r="C154" s="16">
        <v>33610079</v>
      </c>
      <c r="D154" s="34">
        <v>168.2859</v>
      </c>
      <c r="E154" s="16">
        <v>199720.11321209918</v>
      </c>
    </row>
    <row r="155" spans="1:5" x14ac:dyDescent="0.25">
      <c r="A155" s="15">
        <v>36126</v>
      </c>
      <c r="B155" s="13" t="s">
        <v>161</v>
      </c>
      <c r="C155" s="16">
        <v>338401063</v>
      </c>
      <c r="D155" s="34">
        <v>2855.0744</v>
      </c>
      <c r="E155" s="16">
        <v>118526.18026346354</v>
      </c>
    </row>
    <row r="156" spans="1:5" x14ac:dyDescent="0.25">
      <c r="A156" s="15">
        <v>36131</v>
      </c>
      <c r="B156" s="13" t="s">
        <v>162</v>
      </c>
      <c r="C156" s="16">
        <v>327590623</v>
      </c>
      <c r="D156" s="34">
        <v>3110.5814</v>
      </c>
      <c r="E156" s="16">
        <v>105314.91733346056</v>
      </c>
    </row>
    <row r="157" spans="1:5" x14ac:dyDescent="0.25">
      <c r="A157" s="15">
        <v>36133</v>
      </c>
      <c r="B157" s="13" t="s">
        <v>163</v>
      </c>
      <c r="C157" s="16">
        <v>39168007</v>
      </c>
      <c r="D157" s="34">
        <v>419.2824</v>
      </c>
      <c r="E157" s="16">
        <v>93416.768745838126</v>
      </c>
    </row>
    <row r="158" spans="1:5" x14ac:dyDescent="0.25">
      <c r="A158" s="15">
        <v>36134</v>
      </c>
      <c r="B158" s="13" t="s">
        <v>164</v>
      </c>
      <c r="C158" s="16">
        <v>27188542</v>
      </c>
      <c r="D158" s="34">
        <v>280.78649999999999</v>
      </c>
      <c r="E158" s="16">
        <v>96829.947308720337</v>
      </c>
    </row>
    <row r="159" spans="1:5" x14ac:dyDescent="0.25">
      <c r="A159" s="15">
        <v>36135</v>
      </c>
      <c r="B159" s="13" t="s">
        <v>165</v>
      </c>
      <c r="C159" s="16">
        <v>12441346</v>
      </c>
      <c r="D159" s="34">
        <v>93.0809</v>
      </c>
      <c r="E159" s="16">
        <v>133661.64272154652</v>
      </c>
    </row>
    <row r="160" spans="1:5" x14ac:dyDescent="0.25">
      <c r="A160" s="15">
        <v>36136</v>
      </c>
      <c r="B160" s="13" t="s">
        <v>166</v>
      </c>
      <c r="C160" s="16">
        <v>147890804</v>
      </c>
      <c r="D160" s="34">
        <v>2027.6660999999999</v>
      </c>
      <c r="E160" s="16">
        <v>72936.468188722007</v>
      </c>
    </row>
    <row r="161" spans="1:5" x14ac:dyDescent="0.25">
      <c r="A161" s="15">
        <v>36137</v>
      </c>
      <c r="B161" s="13" t="s">
        <v>1577</v>
      </c>
      <c r="C161" s="16">
        <v>166763370</v>
      </c>
      <c r="D161" s="34">
        <v>1877.2652</v>
      </c>
      <c r="E161" s="16">
        <v>88833.144086408254</v>
      </c>
    </row>
    <row r="162" spans="1:5" x14ac:dyDescent="0.25">
      <c r="A162" s="15">
        <v>36138</v>
      </c>
      <c r="B162" s="13" t="s">
        <v>168</v>
      </c>
      <c r="C162" s="16">
        <v>36770844</v>
      </c>
      <c r="D162" s="34">
        <v>477.05419999999998</v>
      </c>
      <c r="E162" s="16">
        <v>77078.965031646308</v>
      </c>
    </row>
    <row r="163" spans="1:5" x14ac:dyDescent="0.25">
      <c r="A163" s="15">
        <v>36139</v>
      </c>
      <c r="B163" s="13" t="s">
        <v>169</v>
      </c>
      <c r="C163" s="16">
        <v>792095089</v>
      </c>
      <c r="D163" s="34">
        <v>3629.5652</v>
      </c>
      <c r="E163" s="16">
        <v>218234.15350136155</v>
      </c>
    </row>
    <row r="164" spans="1:5" x14ac:dyDescent="0.25">
      <c r="A164" s="15">
        <v>37037</v>
      </c>
      <c r="B164" s="13" t="s">
        <v>170</v>
      </c>
      <c r="C164" s="16">
        <v>163122543</v>
      </c>
      <c r="D164" s="34">
        <v>1722.9758999999999</v>
      </c>
      <c r="E164" s="16">
        <v>94674.88372878576</v>
      </c>
    </row>
    <row r="165" spans="1:5" x14ac:dyDescent="0.25">
      <c r="A165" s="15">
        <v>37039</v>
      </c>
      <c r="B165" s="13" t="s">
        <v>171</v>
      </c>
      <c r="C165" s="16">
        <v>123232060</v>
      </c>
      <c r="D165" s="34">
        <v>835.39869999999996</v>
      </c>
      <c r="E165" s="16">
        <v>147512.87020197662</v>
      </c>
    </row>
    <row r="166" spans="1:5" x14ac:dyDescent="0.25">
      <c r="A166" s="15">
        <v>38044</v>
      </c>
      <c r="B166" s="13" t="s">
        <v>172</v>
      </c>
      <c r="C166" s="16">
        <v>47287226</v>
      </c>
      <c r="D166" s="34">
        <v>305.52820000000003</v>
      </c>
      <c r="E166" s="16">
        <v>154772.05050139397</v>
      </c>
    </row>
    <row r="167" spans="1:5" x14ac:dyDescent="0.25">
      <c r="A167" s="15">
        <v>38045</v>
      </c>
      <c r="B167" s="13" t="s">
        <v>173</v>
      </c>
      <c r="C167" s="16">
        <v>27891078</v>
      </c>
      <c r="D167" s="34">
        <v>303.31599999999997</v>
      </c>
      <c r="E167" s="16">
        <v>91953.863297682954</v>
      </c>
    </row>
    <row r="168" spans="1:5" x14ac:dyDescent="0.25">
      <c r="A168" s="15">
        <v>38046</v>
      </c>
      <c r="B168" s="13" t="s">
        <v>174</v>
      </c>
      <c r="C168" s="16">
        <v>39201471</v>
      </c>
      <c r="D168" s="34">
        <v>414.02089999999998</v>
      </c>
      <c r="E168" s="16">
        <v>94684.763498654298</v>
      </c>
    </row>
    <row r="169" spans="1:5" x14ac:dyDescent="0.25">
      <c r="A169" s="15">
        <v>39133</v>
      </c>
      <c r="B169" s="13" t="s">
        <v>175</v>
      </c>
      <c r="C169" s="16">
        <v>387955229</v>
      </c>
      <c r="D169" s="34">
        <v>4334.9939999999997</v>
      </c>
      <c r="E169" s="16">
        <v>89493.832978776903</v>
      </c>
    </row>
    <row r="170" spans="1:5" x14ac:dyDescent="0.25">
      <c r="A170" s="15">
        <v>39134</v>
      </c>
      <c r="B170" s="13" t="s">
        <v>176</v>
      </c>
      <c r="C170" s="16">
        <v>387837173</v>
      </c>
      <c r="D170" s="34">
        <v>4665.0068000000001</v>
      </c>
      <c r="E170" s="16">
        <v>83137.536476902882</v>
      </c>
    </row>
    <row r="171" spans="1:5" x14ac:dyDescent="0.25">
      <c r="A171" s="15">
        <v>39135</v>
      </c>
      <c r="B171" s="13" t="s">
        <v>177</v>
      </c>
      <c r="C171" s="16">
        <v>61256385</v>
      </c>
      <c r="D171" s="34">
        <v>649.80290000000002</v>
      </c>
      <c r="E171" s="16">
        <v>94269.177622937656</v>
      </c>
    </row>
    <row r="172" spans="1:5" x14ac:dyDescent="0.25">
      <c r="A172" s="15">
        <v>39136</v>
      </c>
      <c r="B172" s="13" t="s">
        <v>178</v>
      </c>
      <c r="C172" s="16">
        <v>20717817</v>
      </c>
      <c r="D172" s="34">
        <v>239.75569999999999</v>
      </c>
      <c r="E172" s="16">
        <v>86412.197916462464</v>
      </c>
    </row>
    <row r="173" spans="1:5" x14ac:dyDescent="0.25">
      <c r="A173" s="15">
        <v>39137</v>
      </c>
      <c r="B173" s="13" t="s">
        <v>179</v>
      </c>
      <c r="C173" s="16">
        <v>208703134</v>
      </c>
      <c r="D173" s="34">
        <v>1150.9547</v>
      </c>
      <c r="E173" s="16">
        <v>181330.45027749572</v>
      </c>
    </row>
    <row r="174" spans="1:5" x14ac:dyDescent="0.25">
      <c r="A174" s="15">
        <v>39139</v>
      </c>
      <c r="B174" s="13" t="s">
        <v>180</v>
      </c>
      <c r="C174" s="16">
        <v>257527718</v>
      </c>
      <c r="D174" s="34">
        <v>2167.9915000000001</v>
      </c>
      <c r="E174" s="16">
        <v>118786.31350722547</v>
      </c>
    </row>
    <row r="175" spans="1:5" x14ac:dyDescent="0.25">
      <c r="A175" s="15">
        <v>39141</v>
      </c>
      <c r="B175" s="13" t="s">
        <v>181</v>
      </c>
      <c r="C175" s="16">
        <v>3648027894</v>
      </c>
      <c r="D175" s="34">
        <v>24127.468000000001</v>
      </c>
      <c r="E175" s="16">
        <v>151198.12381473265</v>
      </c>
    </row>
    <row r="176" spans="1:5" x14ac:dyDescent="0.25">
      <c r="A176" s="15">
        <v>39142</v>
      </c>
      <c r="B176" s="13" t="s">
        <v>182</v>
      </c>
      <c r="C176" s="16">
        <v>72184532</v>
      </c>
      <c r="D176" s="34">
        <v>1129.1876</v>
      </c>
      <c r="E176" s="16">
        <v>63926.075702567054</v>
      </c>
    </row>
    <row r="177" spans="1:5" x14ac:dyDescent="0.25">
      <c r="A177" s="15">
        <v>40100</v>
      </c>
      <c r="B177" s="13" t="s">
        <v>1578</v>
      </c>
      <c r="C177" s="16">
        <v>12006201</v>
      </c>
      <c r="D177" s="34">
        <v>104.2495</v>
      </c>
      <c r="E177" s="16">
        <v>115167.94804771246</v>
      </c>
    </row>
    <row r="178" spans="1:5" x14ac:dyDescent="0.25">
      <c r="A178" s="15">
        <v>40101</v>
      </c>
      <c r="B178" s="13" t="s">
        <v>184</v>
      </c>
      <c r="C178" s="16">
        <v>4535460</v>
      </c>
      <c r="D178" s="34">
        <v>42.924999999999997</v>
      </c>
      <c r="E178" s="16">
        <v>105660.10483401282</v>
      </c>
    </row>
    <row r="179" spans="1:5" x14ac:dyDescent="0.25">
      <c r="A179" s="15">
        <v>40103</v>
      </c>
      <c r="B179" s="13" t="s">
        <v>185</v>
      </c>
      <c r="C179" s="16">
        <v>8180900</v>
      </c>
      <c r="D179" s="34">
        <v>57.239199999999997</v>
      </c>
      <c r="E179" s="16">
        <v>142924.7788229046</v>
      </c>
    </row>
    <row r="180" spans="1:5" x14ac:dyDescent="0.25">
      <c r="A180" s="15">
        <v>40104</v>
      </c>
      <c r="B180" s="13" t="s">
        <v>186</v>
      </c>
      <c r="C180" s="16">
        <v>6361912</v>
      </c>
      <c r="D180" s="34">
        <v>53.896700000000003</v>
      </c>
      <c r="E180" s="16">
        <v>118038.98940009314</v>
      </c>
    </row>
    <row r="181" spans="1:5" x14ac:dyDescent="0.25">
      <c r="A181" s="15">
        <v>40107</v>
      </c>
      <c r="B181" s="13" t="s">
        <v>187</v>
      </c>
      <c r="C181" s="16">
        <v>80869373</v>
      </c>
      <c r="D181" s="34">
        <v>1083.3744999999999</v>
      </c>
      <c r="E181" s="16">
        <v>74645.815459012563</v>
      </c>
    </row>
    <row r="182" spans="1:5" x14ac:dyDescent="0.25">
      <c r="A182" s="15">
        <v>41001</v>
      </c>
      <c r="B182" s="13" t="s">
        <v>188</v>
      </c>
      <c r="C182" s="16">
        <v>6118739</v>
      </c>
      <c r="D182" s="34">
        <v>75.294899999999998</v>
      </c>
      <c r="E182" s="16">
        <v>81263.657963553967</v>
      </c>
    </row>
    <row r="183" spans="1:5" x14ac:dyDescent="0.25">
      <c r="A183" s="15">
        <v>41002</v>
      </c>
      <c r="B183" s="13" t="s">
        <v>189</v>
      </c>
      <c r="C183" s="16">
        <v>70926609</v>
      </c>
      <c r="D183" s="34">
        <v>794.26570000000004</v>
      </c>
      <c r="E183" s="16">
        <v>89298.34059307861</v>
      </c>
    </row>
    <row r="184" spans="1:5" x14ac:dyDescent="0.25">
      <c r="A184" s="15">
        <v>41003</v>
      </c>
      <c r="B184" s="13" t="s">
        <v>190</v>
      </c>
      <c r="C184" s="16">
        <v>20550819</v>
      </c>
      <c r="D184" s="34">
        <v>188.34440000000001</v>
      </c>
      <c r="E184" s="16">
        <v>109112.98132569909</v>
      </c>
    </row>
    <row r="185" spans="1:5" x14ac:dyDescent="0.25">
      <c r="A185" s="15">
        <v>41004</v>
      </c>
      <c r="B185" s="13" t="s">
        <v>191</v>
      </c>
      <c r="C185" s="16">
        <v>12090267</v>
      </c>
      <c r="D185" s="34">
        <v>126.8018</v>
      </c>
      <c r="E185" s="16">
        <v>95347.755315776274</v>
      </c>
    </row>
    <row r="186" spans="1:5" x14ac:dyDescent="0.25">
      <c r="A186" s="15">
        <v>41005</v>
      </c>
      <c r="B186" s="13" t="s">
        <v>192</v>
      </c>
      <c r="C186" s="16">
        <v>7676095</v>
      </c>
      <c r="D186" s="34">
        <v>67.374499999999998</v>
      </c>
      <c r="E186" s="16">
        <v>113931.75459558141</v>
      </c>
    </row>
    <row r="187" spans="1:5" x14ac:dyDescent="0.25">
      <c r="A187" s="15">
        <v>42111</v>
      </c>
      <c r="B187" s="13" t="s">
        <v>193</v>
      </c>
      <c r="C187" s="16">
        <v>48648942</v>
      </c>
      <c r="D187" s="34">
        <v>681.9502</v>
      </c>
      <c r="E187" s="16">
        <v>71337.968666920249</v>
      </c>
    </row>
    <row r="188" spans="1:5" x14ac:dyDescent="0.25">
      <c r="A188" s="15">
        <v>42113</v>
      </c>
      <c r="B188" s="13" t="s">
        <v>194</v>
      </c>
      <c r="C188" s="16">
        <v>10619198</v>
      </c>
      <c r="D188" s="34">
        <v>72.415099999999995</v>
      </c>
      <c r="E188" s="16">
        <v>146643.42105444861</v>
      </c>
    </row>
    <row r="189" spans="1:5" x14ac:dyDescent="0.25">
      <c r="A189" s="15">
        <v>42117</v>
      </c>
      <c r="B189" s="13" t="s">
        <v>195</v>
      </c>
      <c r="C189" s="16">
        <v>12189688</v>
      </c>
      <c r="D189" s="34">
        <v>89.026799999999994</v>
      </c>
      <c r="E189" s="16">
        <v>136921.55620554709</v>
      </c>
    </row>
    <row r="190" spans="1:5" x14ac:dyDescent="0.25">
      <c r="A190" s="15">
        <v>42118</v>
      </c>
      <c r="B190" s="13" t="s">
        <v>196</v>
      </c>
      <c r="C190" s="16">
        <v>17924125</v>
      </c>
      <c r="D190" s="34">
        <v>121.8344</v>
      </c>
      <c r="E190" s="16">
        <v>147118.75299586981</v>
      </c>
    </row>
    <row r="191" spans="1:5" x14ac:dyDescent="0.25">
      <c r="A191" s="15">
        <v>42119</v>
      </c>
      <c r="B191" s="13" t="s">
        <v>197</v>
      </c>
      <c r="C191" s="16">
        <v>13220909</v>
      </c>
      <c r="D191" s="34">
        <v>55.599299999999999</v>
      </c>
      <c r="E191" s="16">
        <v>237789.12684152499</v>
      </c>
    </row>
    <row r="192" spans="1:5" x14ac:dyDescent="0.25">
      <c r="A192" s="15">
        <v>42121</v>
      </c>
      <c r="B192" s="13" t="s">
        <v>198</v>
      </c>
      <c r="C192" s="16">
        <v>11841101</v>
      </c>
      <c r="D192" s="34">
        <v>93.240099999999998</v>
      </c>
      <c r="E192" s="16">
        <v>126995.79901780457</v>
      </c>
    </row>
    <row r="193" spans="1:5" x14ac:dyDescent="0.25">
      <c r="A193" s="15">
        <v>42124</v>
      </c>
      <c r="B193" s="13" t="s">
        <v>199</v>
      </c>
      <c r="C193" s="16">
        <v>181280489</v>
      </c>
      <c r="D193" s="34">
        <v>1561.7633000000001</v>
      </c>
      <c r="E193" s="16">
        <v>116074.24057153858</v>
      </c>
    </row>
    <row r="194" spans="1:5" x14ac:dyDescent="0.25">
      <c r="A194" s="15">
        <v>43001</v>
      </c>
      <c r="B194" s="13" t="s">
        <v>200</v>
      </c>
      <c r="C194" s="16">
        <v>46747301</v>
      </c>
      <c r="D194" s="34">
        <v>671.86159999999995</v>
      </c>
      <c r="E194" s="16">
        <v>69578.765924410633</v>
      </c>
    </row>
    <row r="195" spans="1:5" x14ac:dyDescent="0.25">
      <c r="A195" s="15">
        <v>43002</v>
      </c>
      <c r="B195" s="13" t="s">
        <v>201</v>
      </c>
      <c r="C195" s="16">
        <v>39867816</v>
      </c>
      <c r="D195" s="34">
        <v>297.15480000000002</v>
      </c>
      <c r="E195" s="16">
        <v>134165.14220870737</v>
      </c>
    </row>
    <row r="196" spans="1:5" x14ac:dyDescent="0.25">
      <c r="A196" s="15">
        <v>43003</v>
      </c>
      <c r="B196" s="13" t="s">
        <v>202</v>
      </c>
      <c r="C196" s="16">
        <v>25197960</v>
      </c>
      <c r="D196" s="34">
        <v>336.18790000000001</v>
      </c>
      <c r="E196" s="16">
        <v>74952.01344248261</v>
      </c>
    </row>
    <row r="197" spans="1:5" x14ac:dyDescent="0.25">
      <c r="A197" s="15">
        <v>43004</v>
      </c>
      <c r="B197" s="13" t="s">
        <v>203</v>
      </c>
      <c r="C197" s="16">
        <v>44082780</v>
      </c>
      <c r="D197" s="34">
        <v>218.7534</v>
      </c>
      <c r="E197" s="16">
        <v>201518.14783221655</v>
      </c>
    </row>
    <row r="198" spans="1:5" x14ac:dyDescent="0.25">
      <c r="A198" s="15">
        <v>44078</v>
      </c>
      <c r="B198" s="13" t="s">
        <v>204</v>
      </c>
      <c r="C198" s="16">
        <v>25760006</v>
      </c>
      <c r="D198" s="34">
        <v>70.546599999999998</v>
      </c>
      <c r="E198" s="16">
        <v>365148.79526440683</v>
      </c>
    </row>
    <row r="199" spans="1:5" x14ac:dyDescent="0.25">
      <c r="A199" s="15">
        <v>44083</v>
      </c>
      <c r="B199" s="13" t="s">
        <v>205</v>
      </c>
      <c r="C199" s="16">
        <v>35024174</v>
      </c>
      <c r="D199" s="34">
        <v>251.42320000000001</v>
      </c>
      <c r="E199" s="16">
        <v>139303.66807836349</v>
      </c>
    </row>
    <row r="200" spans="1:5" x14ac:dyDescent="0.25">
      <c r="A200" s="15">
        <v>44084</v>
      </c>
      <c r="B200" s="13" t="s">
        <v>206</v>
      </c>
      <c r="C200" s="16">
        <v>35308746</v>
      </c>
      <c r="D200" s="34">
        <v>260.83199999999999</v>
      </c>
      <c r="E200" s="16">
        <v>135369.68623481781</v>
      </c>
    </row>
    <row r="201" spans="1:5" x14ac:dyDescent="0.25">
      <c r="A201" s="15">
        <v>45076</v>
      </c>
      <c r="B201" s="13" t="s">
        <v>207</v>
      </c>
      <c r="C201" s="16">
        <v>28852709</v>
      </c>
      <c r="D201" s="34">
        <v>412.26909999999998</v>
      </c>
      <c r="E201" s="16">
        <v>69985.135922144065</v>
      </c>
    </row>
    <row r="202" spans="1:5" x14ac:dyDescent="0.25">
      <c r="A202" s="15">
        <v>45077</v>
      </c>
      <c r="B202" s="13" t="s">
        <v>208</v>
      </c>
      <c r="C202" s="16">
        <v>54664116</v>
      </c>
      <c r="D202" s="34">
        <v>551.43299999999999</v>
      </c>
      <c r="E202" s="16">
        <v>99131.020450353899</v>
      </c>
    </row>
    <row r="203" spans="1:5" x14ac:dyDescent="0.25">
      <c r="A203" s="15">
        <v>45078</v>
      </c>
      <c r="B203" s="13" t="s">
        <v>209</v>
      </c>
      <c r="C203" s="16">
        <v>27284252</v>
      </c>
      <c r="D203" s="34">
        <v>279.02420000000001</v>
      </c>
      <c r="E203" s="16">
        <v>97784.536251694299</v>
      </c>
    </row>
    <row r="204" spans="1:5" x14ac:dyDescent="0.25">
      <c r="A204" s="15">
        <v>46128</v>
      </c>
      <c r="B204" s="13" t="s">
        <v>210</v>
      </c>
      <c r="C204" s="16">
        <v>25879090</v>
      </c>
      <c r="D204" s="34">
        <v>278.72699999999998</v>
      </c>
      <c r="E204" s="16">
        <v>92847.445708524843</v>
      </c>
    </row>
    <row r="205" spans="1:5" x14ac:dyDescent="0.25">
      <c r="A205" s="15">
        <v>46130</v>
      </c>
      <c r="B205" s="13" t="s">
        <v>211</v>
      </c>
      <c r="C205" s="16">
        <v>71462165</v>
      </c>
      <c r="D205" s="34">
        <v>1175.3588999999999</v>
      </c>
      <c r="E205" s="16">
        <v>60800.292574463856</v>
      </c>
    </row>
    <row r="206" spans="1:5" x14ac:dyDescent="0.25">
      <c r="A206" s="15">
        <v>46131</v>
      </c>
      <c r="B206" s="13" t="s">
        <v>212</v>
      </c>
      <c r="C206" s="16">
        <v>74172613</v>
      </c>
      <c r="D206" s="34">
        <v>1207.6549</v>
      </c>
      <c r="E206" s="16">
        <v>61418.715727481416</v>
      </c>
    </row>
    <row r="207" spans="1:5" x14ac:dyDescent="0.25">
      <c r="A207" s="15">
        <v>46132</v>
      </c>
      <c r="B207" s="13" t="s">
        <v>213</v>
      </c>
      <c r="C207" s="16">
        <v>42287823</v>
      </c>
      <c r="D207" s="34">
        <v>516.67719999999997</v>
      </c>
      <c r="E207" s="16">
        <v>81845.7307580052</v>
      </c>
    </row>
    <row r="208" spans="1:5" x14ac:dyDescent="0.25">
      <c r="A208" s="15">
        <v>46134</v>
      </c>
      <c r="B208" s="13" t="s">
        <v>214</v>
      </c>
      <c r="C208" s="16">
        <v>162306240</v>
      </c>
      <c r="D208" s="34">
        <v>2015.3611000000001</v>
      </c>
      <c r="E208" s="16">
        <v>80534.570206798177</v>
      </c>
    </row>
    <row r="209" spans="1:5" x14ac:dyDescent="0.25">
      <c r="A209" s="15">
        <v>46135</v>
      </c>
      <c r="B209" s="13" t="s">
        <v>215</v>
      </c>
      <c r="C209" s="16">
        <v>29865690</v>
      </c>
      <c r="D209" s="34">
        <v>309.68849999999998</v>
      </c>
      <c r="E209" s="16">
        <v>96437.839958538985</v>
      </c>
    </row>
    <row r="210" spans="1:5" x14ac:dyDescent="0.25">
      <c r="A210" s="15">
        <v>46137</v>
      </c>
      <c r="B210" s="13" t="s">
        <v>216</v>
      </c>
      <c r="C210" s="16">
        <v>18598980</v>
      </c>
      <c r="D210" s="34">
        <v>297.38810000000001</v>
      </c>
      <c r="E210" s="16">
        <v>62541.103695810285</v>
      </c>
    </row>
    <row r="211" spans="1:5" x14ac:dyDescent="0.25">
      <c r="A211" s="15">
        <v>46140</v>
      </c>
      <c r="B211" s="13" t="s">
        <v>217</v>
      </c>
      <c r="C211" s="16">
        <v>49836170</v>
      </c>
      <c r="D211" s="34">
        <v>644.05930000000001</v>
      </c>
      <c r="E211" s="16">
        <v>77378.232097572385</v>
      </c>
    </row>
    <row r="212" spans="1:5" x14ac:dyDescent="0.25">
      <c r="A212" s="15">
        <v>47060</v>
      </c>
      <c r="B212" s="13" t="s">
        <v>218</v>
      </c>
      <c r="C212" s="16">
        <v>34991279</v>
      </c>
      <c r="D212" s="34">
        <v>263.28410000000002</v>
      </c>
      <c r="E212" s="16">
        <v>132903.12252050161</v>
      </c>
    </row>
    <row r="213" spans="1:5" x14ac:dyDescent="0.25">
      <c r="A213" s="15">
        <v>47062</v>
      </c>
      <c r="B213" s="13" t="s">
        <v>219</v>
      </c>
      <c r="C213" s="16">
        <v>55126846</v>
      </c>
      <c r="D213" s="34">
        <v>894.96270000000004</v>
      </c>
      <c r="E213" s="16">
        <v>61596.808447994532</v>
      </c>
    </row>
    <row r="214" spans="1:5" x14ac:dyDescent="0.25">
      <c r="A214" s="15">
        <v>47064</v>
      </c>
      <c r="B214" s="13" t="s">
        <v>220</v>
      </c>
      <c r="C214" s="16">
        <v>10876290</v>
      </c>
      <c r="D214" s="34">
        <v>167.5316</v>
      </c>
      <c r="E214" s="16">
        <v>64920.82687683995</v>
      </c>
    </row>
    <row r="215" spans="1:5" x14ac:dyDescent="0.25">
      <c r="A215" s="15">
        <v>47065</v>
      </c>
      <c r="B215" s="13" t="s">
        <v>221</v>
      </c>
      <c r="C215" s="16">
        <v>86499121</v>
      </c>
      <c r="D215" s="34">
        <v>357.64800000000002</v>
      </c>
      <c r="E215" s="16">
        <v>241855.45843958305</v>
      </c>
    </row>
    <row r="216" spans="1:5" x14ac:dyDescent="0.25">
      <c r="A216" s="15">
        <v>48066</v>
      </c>
      <c r="B216" s="13" t="s">
        <v>222</v>
      </c>
      <c r="C216" s="16">
        <v>284752418</v>
      </c>
      <c r="D216" s="34">
        <v>4714.8159999999998</v>
      </c>
      <c r="E216" s="16">
        <v>60395.234511802795</v>
      </c>
    </row>
    <row r="217" spans="1:5" x14ac:dyDescent="0.25">
      <c r="A217" s="15">
        <v>48068</v>
      </c>
      <c r="B217" s="13" t="s">
        <v>223</v>
      </c>
      <c r="C217" s="16">
        <v>1449206738</v>
      </c>
      <c r="D217" s="34">
        <v>13884.6931</v>
      </c>
      <c r="E217" s="16">
        <v>104374.41631317008</v>
      </c>
    </row>
    <row r="218" spans="1:5" x14ac:dyDescent="0.25">
      <c r="A218" s="15">
        <v>48069</v>
      </c>
      <c r="B218" s="13" t="s">
        <v>224</v>
      </c>
      <c r="C218" s="16">
        <v>310721193</v>
      </c>
      <c r="D218" s="34">
        <v>4181.1971999999996</v>
      </c>
      <c r="E218" s="16">
        <v>74313.929273653979</v>
      </c>
    </row>
    <row r="219" spans="1:5" x14ac:dyDescent="0.25">
      <c r="A219" s="15">
        <v>48070</v>
      </c>
      <c r="B219" s="13" t="s">
        <v>225</v>
      </c>
      <c r="C219" s="16">
        <v>139056242</v>
      </c>
      <c r="D219" s="34">
        <v>1892.8729000000001</v>
      </c>
      <c r="E219" s="16">
        <v>73463.063473516886</v>
      </c>
    </row>
    <row r="220" spans="1:5" x14ac:dyDescent="0.25">
      <c r="A220" s="15">
        <v>48071</v>
      </c>
      <c r="B220" s="13" t="s">
        <v>226</v>
      </c>
      <c r="C220" s="16">
        <v>2010328801</v>
      </c>
      <c r="D220" s="34">
        <v>17272.725699999999</v>
      </c>
      <c r="E220" s="16">
        <v>116387.46749738521</v>
      </c>
    </row>
    <row r="221" spans="1:5" x14ac:dyDescent="0.25">
      <c r="A221" s="15">
        <v>48072</v>
      </c>
      <c r="B221" s="13" t="s">
        <v>227</v>
      </c>
      <c r="C221" s="16">
        <v>400897673</v>
      </c>
      <c r="D221" s="34">
        <v>5118.4759000000004</v>
      </c>
      <c r="E221" s="16">
        <v>78323.641809078355</v>
      </c>
    </row>
    <row r="222" spans="1:5" x14ac:dyDescent="0.25">
      <c r="A222" s="15">
        <v>48073</v>
      </c>
      <c r="B222" s="13" t="s">
        <v>228</v>
      </c>
      <c r="C222" s="16">
        <v>663279677</v>
      </c>
      <c r="D222" s="34">
        <v>8043.4883</v>
      </c>
      <c r="E222" s="16">
        <v>82461.694759971244</v>
      </c>
    </row>
    <row r="223" spans="1:5" x14ac:dyDescent="0.25">
      <c r="A223" s="15">
        <v>48074</v>
      </c>
      <c r="B223" s="13" t="s">
        <v>229</v>
      </c>
      <c r="C223" s="16">
        <v>474747747</v>
      </c>
      <c r="D223" s="34">
        <v>3757.9193</v>
      </c>
      <c r="E223" s="16">
        <v>126332.60831332914</v>
      </c>
    </row>
    <row r="224" spans="1:5" x14ac:dyDescent="0.25">
      <c r="A224" s="15">
        <v>48075</v>
      </c>
      <c r="B224" s="13" t="s">
        <v>230</v>
      </c>
      <c r="C224" s="16">
        <v>60192343</v>
      </c>
      <c r="D224" s="34">
        <v>594.12030000000004</v>
      </c>
      <c r="E224" s="16">
        <v>101313.39225406032</v>
      </c>
    </row>
    <row r="225" spans="1:5" x14ac:dyDescent="0.25">
      <c r="A225" s="15">
        <v>48077</v>
      </c>
      <c r="B225" s="13" t="s">
        <v>231</v>
      </c>
      <c r="C225" s="16">
        <v>1002525812</v>
      </c>
      <c r="D225" s="34">
        <v>13440.0555</v>
      </c>
      <c r="E225" s="16">
        <v>74592.386318642806</v>
      </c>
    </row>
    <row r="226" spans="1:5" x14ac:dyDescent="0.25">
      <c r="A226" s="15">
        <v>48078</v>
      </c>
      <c r="B226" s="13" t="s">
        <v>1587</v>
      </c>
      <c r="C226" s="16">
        <v>3177637367</v>
      </c>
      <c r="D226" s="34">
        <v>25800.276600000001</v>
      </c>
      <c r="E226" s="16">
        <v>123162.91860995009</v>
      </c>
    </row>
    <row r="227" spans="1:5" x14ac:dyDescent="0.25">
      <c r="A227" s="15">
        <v>48080</v>
      </c>
      <c r="B227" s="13" t="s">
        <v>233</v>
      </c>
      <c r="C227" s="16">
        <v>437640488</v>
      </c>
      <c r="D227" s="34">
        <v>2407.7948999999999</v>
      </c>
      <c r="E227" s="16">
        <v>181759.86999557147</v>
      </c>
    </row>
    <row r="228" spans="1:5" x14ac:dyDescent="0.25">
      <c r="A228" s="15">
        <v>49132</v>
      </c>
      <c r="B228" s="13" t="s">
        <v>234</v>
      </c>
      <c r="C228" s="16">
        <v>245285331</v>
      </c>
      <c r="D228" s="34">
        <v>3042.1869000000002</v>
      </c>
      <c r="E228" s="16">
        <v>80627.962404282254</v>
      </c>
    </row>
    <row r="229" spans="1:5" x14ac:dyDescent="0.25">
      <c r="A229" s="15">
        <v>49135</v>
      </c>
      <c r="B229" s="13" t="s">
        <v>235</v>
      </c>
      <c r="C229" s="16">
        <v>22630546</v>
      </c>
      <c r="D229" s="34">
        <v>186.66980000000001</v>
      </c>
      <c r="E229" s="16">
        <v>121233.03287409103</v>
      </c>
    </row>
    <row r="230" spans="1:5" x14ac:dyDescent="0.25">
      <c r="A230" s="15">
        <v>49137</v>
      </c>
      <c r="B230" s="13" t="s">
        <v>236</v>
      </c>
      <c r="C230" s="16">
        <v>42821381</v>
      </c>
      <c r="D230" s="34">
        <v>453.42520000000002</v>
      </c>
      <c r="E230" s="16">
        <v>94439.790730643115</v>
      </c>
    </row>
    <row r="231" spans="1:5" x14ac:dyDescent="0.25">
      <c r="A231" s="15">
        <v>49140</v>
      </c>
      <c r="B231" s="13" t="s">
        <v>237</v>
      </c>
      <c r="C231" s="16">
        <v>37507079</v>
      </c>
      <c r="D231" s="34">
        <v>823.28729999999996</v>
      </c>
      <c r="E231" s="16">
        <v>45557.703853806568</v>
      </c>
    </row>
    <row r="232" spans="1:5" x14ac:dyDescent="0.25">
      <c r="A232" s="15">
        <v>49142</v>
      </c>
      <c r="B232" s="13" t="s">
        <v>238</v>
      </c>
      <c r="C232" s="16">
        <v>310881476</v>
      </c>
      <c r="D232" s="34">
        <v>4750.3575000000001</v>
      </c>
      <c r="E232" s="16">
        <v>65443.806281948251</v>
      </c>
    </row>
    <row r="233" spans="1:5" x14ac:dyDescent="0.25">
      <c r="A233" s="15">
        <v>49144</v>
      </c>
      <c r="B233" s="13" t="s">
        <v>239</v>
      </c>
      <c r="C233" s="16">
        <v>252081525</v>
      </c>
      <c r="D233" s="34">
        <v>4330.4031999999997</v>
      </c>
      <c r="E233" s="16">
        <v>58212.021688881076</v>
      </c>
    </row>
    <row r="234" spans="1:5" x14ac:dyDescent="0.25">
      <c r="A234" s="15">
        <v>49148</v>
      </c>
      <c r="B234" s="13" t="s">
        <v>240</v>
      </c>
      <c r="C234" s="16">
        <v>914783023</v>
      </c>
      <c r="D234" s="34">
        <v>7218.2597999999998</v>
      </c>
      <c r="E234" s="16">
        <v>126731.79524516422</v>
      </c>
    </row>
    <row r="235" spans="1:5" x14ac:dyDescent="0.25">
      <c r="A235" s="15">
        <v>50001</v>
      </c>
      <c r="B235" s="13" t="s">
        <v>241</v>
      </c>
      <c r="C235" s="16">
        <v>608315972</v>
      </c>
      <c r="D235" s="34">
        <v>6033.9630999999999</v>
      </c>
      <c r="E235" s="16">
        <v>100815.32848618182</v>
      </c>
    </row>
    <row r="236" spans="1:5" x14ac:dyDescent="0.25">
      <c r="A236" s="15">
        <v>50002</v>
      </c>
      <c r="B236" s="13" t="s">
        <v>242</v>
      </c>
      <c r="C236" s="16">
        <v>56803585</v>
      </c>
      <c r="D236" s="34">
        <v>771.95799999999997</v>
      </c>
      <c r="E236" s="16">
        <v>73583.776578518518</v>
      </c>
    </row>
    <row r="237" spans="1:5" x14ac:dyDescent="0.25">
      <c r="A237" s="15">
        <v>50003</v>
      </c>
      <c r="B237" s="13" t="s">
        <v>243</v>
      </c>
      <c r="C237" s="16">
        <v>281895221</v>
      </c>
      <c r="D237" s="34">
        <v>3304.1001999999999</v>
      </c>
      <c r="E237" s="16">
        <v>85316.789424243252</v>
      </c>
    </row>
    <row r="238" spans="1:5" x14ac:dyDescent="0.25">
      <c r="A238" s="15">
        <v>50005</v>
      </c>
      <c r="B238" s="13" t="s">
        <v>244</v>
      </c>
      <c r="C238" s="16">
        <v>159510257</v>
      </c>
      <c r="D238" s="34">
        <v>1501.4036000000001</v>
      </c>
      <c r="E238" s="16">
        <v>106240.75831441992</v>
      </c>
    </row>
    <row r="239" spans="1:5" x14ac:dyDescent="0.25">
      <c r="A239" s="15">
        <v>50006</v>
      </c>
      <c r="B239" s="13" t="s">
        <v>245</v>
      </c>
      <c r="C239" s="16">
        <v>274438791</v>
      </c>
      <c r="D239" s="34">
        <v>3034.5250000000001</v>
      </c>
      <c r="E239" s="16">
        <v>90438.79717583477</v>
      </c>
    </row>
    <row r="240" spans="1:5" x14ac:dyDescent="0.25">
      <c r="A240" s="15">
        <v>50007</v>
      </c>
      <c r="B240" s="13" t="s">
        <v>246</v>
      </c>
      <c r="C240" s="16">
        <v>201212423</v>
      </c>
      <c r="D240" s="34">
        <v>964.27030000000002</v>
      </c>
      <c r="E240" s="16">
        <v>208668.07056071309</v>
      </c>
    </row>
    <row r="241" spans="1:5" x14ac:dyDescent="0.25">
      <c r="A241" s="15">
        <v>50009</v>
      </c>
      <c r="B241" s="13" t="s">
        <v>247</v>
      </c>
      <c r="C241" s="16">
        <v>38661461</v>
      </c>
      <c r="D241" s="34">
        <v>384.35640000000001</v>
      </c>
      <c r="E241" s="16">
        <v>100587.5302193485</v>
      </c>
    </row>
    <row r="242" spans="1:5" x14ac:dyDescent="0.25">
      <c r="A242" s="15">
        <v>50010</v>
      </c>
      <c r="B242" s="13" t="s">
        <v>248</v>
      </c>
      <c r="C242" s="16">
        <v>231055261</v>
      </c>
      <c r="D242" s="34">
        <v>2811.2330999999999</v>
      </c>
      <c r="E242" s="16">
        <v>82190.00445036024</v>
      </c>
    </row>
    <row r="243" spans="1:5" x14ac:dyDescent="0.25">
      <c r="A243" s="15">
        <v>50012</v>
      </c>
      <c r="B243" s="13" t="s">
        <v>249</v>
      </c>
      <c r="C243" s="16">
        <v>971654129</v>
      </c>
      <c r="D243" s="34">
        <v>10848.5383</v>
      </c>
      <c r="E243" s="16">
        <v>89565.442102001893</v>
      </c>
    </row>
    <row r="244" spans="1:5" x14ac:dyDescent="0.25">
      <c r="A244" s="15">
        <v>50013</v>
      </c>
      <c r="B244" s="13" t="s">
        <v>250</v>
      </c>
      <c r="C244" s="16">
        <v>62240738</v>
      </c>
      <c r="D244" s="34">
        <v>513.89170000000001</v>
      </c>
      <c r="E244" s="16">
        <v>121116.44924407224</v>
      </c>
    </row>
    <row r="245" spans="1:5" x14ac:dyDescent="0.25">
      <c r="A245" s="15">
        <v>50014</v>
      </c>
      <c r="B245" s="13" t="s">
        <v>251</v>
      </c>
      <c r="C245" s="16">
        <v>195917266</v>
      </c>
      <c r="D245" s="34">
        <v>2532.4569000000001</v>
      </c>
      <c r="E245" s="16">
        <v>77362.527275390152</v>
      </c>
    </row>
    <row r="246" spans="1:5" x14ac:dyDescent="0.25">
      <c r="A246" s="15">
        <v>51150</v>
      </c>
      <c r="B246" s="13" t="s">
        <v>252</v>
      </c>
      <c r="C246" s="16">
        <v>25209154</v>
      </c>
      <c r="D246" s="34">
        <v>242.25640000000001</v>
      </c>
      <c r="E246" s="16">
        <v>104059.80605672336</v>
      </c>
    </row>
    <row r="247" spans="1:5" x14ac:dyDescent="0.25">
      <c r="A247" s="15">
        <v>51152</v>
      </c>
      <c r="B247" s="13" t="s">
        <v>253</v>
      </c>
      <c r="C247" s="16">
        <v>102481136</v>
      </c>
      <c r="D247" s="34">
        <v>1137.4152999999999</v>
      </c>
      <c r="E247" s="16">
        <v>90100.015359385448</v>
      </c>
    </row>
    <row r="248" spans="1:5" x14ac:dyDescent="0.25">
      <c r="A248" s="15">
        <v>51153</v>
      </c>
      <c r="B248" s="13" t="s">
        <v>254</v>
      </c>
      <c r="C248" s="16">
        <v>10309556</v>
      </c>
      <c r="D248" s="34">
        <v>177.32980000000001</v>
      </c>
      <c r="E248" s="16">
        <v>58137.752368750203</v>
      </c>
    </row>
    <row r="249" spans="1:5" x14ac:dyDescent="0.25">
      <c r="A249" s="15">
        <v>51154</v>
      </c>
      <c r="B249" s="13" t="s">
        <v>255</v>
      </c>
      <c r="C249" s="16">
        <v>42885056</v>
      </c>
      <c r="D249" s="34">
        <v>511.06509999999997</v>
      </c>
      <c r="E249" s="16">
        <v>83913.098350875458</v>
      </c>
    </row>
    <row r="250" spans="1:5" x14ac:dyDescent="0.25">
      <c r="A250" s="15">
        <v>51155</v>
      </c>
      <c r="B250" s="13" t="s">
        <v>256</v>
      </c>
      <c r="C250" s="16">
        <v>63619542</v>
      </c>
      <c r="D250" s="34">
        <v>1000.2289</v>
      </c>
      <c r="E250" s="16">
        <v>63604.982819432633</v>
      </c>
    </row>
    <row r="251" spans="1:5" x14ac:dyDescent="0.25">
      <c r="A251" s="15">
        <v>51156</v>
      </c>
      <c r="B251" s="13" t="s">
        <v>257</v>
      </c>
      <c r="C251" s="16">
        <v>16952967</v>
      </c>
      <c r="D251" s="34">
        <v>259.04349999999999</v>
      </c>
      <c r="E251" s="16">
        <v>65444.47940210814</v>
      </c>
    </row>
    <row r="252" spans="1:5" x14ac:dyDescent="0.25">
      <c r="A252" s="15">
        <v>51159</v>
      </c>
      <c r="B252" s="13" t="s">
        <v>258</v>
      </c>
      <c r="C252" s="16">
        <v>296084598</v>
      </c>
      <c r="D252" s="34">
        <v>3274.8051999999998</v>
      </c>
      <c r="E252" s="16">
        <v>90412.888681134384</v>
      </c>
    </row>
    <row r="253" spans="1:5" x14ac:dyDescent="0.25">
      <c r="A253" s="15">
        <v>52096</v>
      </c>
      <c r="B253" s="13" t="s">
        <v>259</v>
      </c>
      <c r="C253" s="16">
        <v>68855114</v>
      </c>
      <c r="D253" s="34">
        <v>423.10770000000002</v>
      </c>
      <c r="E253" s="16">
        <v>162736.61292384894</v>
      </c>
    </row>
    <row r="254" spans="1:5" x14ac:dyDescent="0.25">
      <c r="A254" s="15">
        <v>53111</v>
      </c>
      <c r="B254" s="13" t="s">
        <v>260</v>
      </c>
      <c r="C254" s="16">
        <v>39708250</v>
      </c>
      <c r="D254" s="34">
        <v>672.5299</v>
      </c>
      <c r="E254" s="16">
        <v>59043.099793778689</v>
      </c>
    </row>
    <row r="255" spans="1:5" x14ac:dyDescent="0.25">
      <c r="A255" s="15">
        <v>53112</v>
      </c>
      <c r="B255" s="13" t="s">
        <v>261</v>
      </c>
      <c r="C255" s="16">
        <v>9924901</v>
      </c>
      <c r="D255" s="34">
        <v>86.444400000000002</v>
      </c>
      <c r="E255" s="16">
        <v>114812.53846403006</v>
      </c>
    </row>
    <row r="256" spans="1:5" x14ac:dyDescent="0.25">
      <c r="A256" s="15">
        <v>53113</v>
      </c>
      <c r="B256" s="13" t="s">
        <v>262</v>
      </c>
      <c r="C256" s="16">
        <v>330131326</v>
      </c>
      <c r="D256" s="34">
        <v>4005.8314999999998</v>
      </c>
      <c r="E256" s="16">
        <v>82412.684108155823</v>
      </c>
    </row>
    <row r="257" spans="1:5" x14ac:dyDescent="0.25">
      <c r="A257" s="15">
        <v>53114</v>
      </c>
      <c r="B257" s="13" t="s">
        <v>263</v>
      </c>
      <c r="C257" s="16">
        <v>32256256</v>
      </c>
      <c r="D257" s="34">
        <v>566.59820000000002</v>
      </c>
      <c r="E257" s="16">
        <v>56929.683151128964</v>
      </c>
    </row>
    <row r="258" spans="1:5" x14ac:dyDescent="0.25">
      <c r="A258" s="15">
        <v>54037</v>
      </c>
      <c r="B258" s="13" t="s">
        <v>264</v>
      </c>
      <c r="C258" s="16">
        <v>51801302</v>
      </c>
      <c r="D258" s="34">
        <v>414.23349999999999</v>
      </c>
      <c r="E258" s="16">
        <v>125053.38655613319</v>
      </c>
    </row>
    <row r="259" spans="1:5" x14ac:dyDescent="0.25">
      <c r="A259" s="15">
        <v>54039</v>
      </c>
      <c r="B259" s="13" t="s">
        <v>265</v>
      </c>
      <c r="C259" s="16">
        <v>77730678</v>
      </c>
      <c r="D259" s="34">
        <v>955.59119999999996</v>
      </c>
      <c r="E259" s="16">
        <v>81343.024088124715</v>
      </c>
    </row>
    <row r="260" spans="1:5" x14ac:dyDescent="0.25">
      <c r="A260" s="15">
        <v>54041</v>
      </c>
      <c r="B260" s="13" t="s">
        <v>266</v>
      </c>
      <c r="C260" s="16">
        <v>141879185</v>
      </c>
      <c r="D260" s="34">
        <v>1896.6025</v>
      </c>
      <c r="E260" s="16">
        <v>74807.022030182925</v>
      </c>
    </row>
    <row r="261" spans="1:5" x14ac:dyDescent="0.25">
      <c r="A261" s="15">
        <v>54042</v>
      </c>
      <c r="B261" s="13" t="s">
        <v>267</v>
      </c>
      <c r="C261" s="16">
        <v>34855461</v>
      </c>
      <c r="D261" s="34">
        <v>286.71069999999997</v>
      </c>
      <c r="E261" s="16">
        <v>121570.14370234526</v>
      </c>
    </row>
    <row r="262" spans="1:5" x14ac:dyDescent="0.25">
      <c r="A262" s="15">
        <v>54043</v>
      </c>
      <c r="B262" s="13" t="s">
        <v>268</v>
      </c>
      <c r="C262" s="16">
        <v>30218394</v>
      </c>
      <c r="D262" s="34">
        <v>383.05040000000002</v>
      </c>
      <c r="E262" s="16">
        <v>78888.819852426721</v>
      </c>
    </row>
    <row r="263" spans="1:5" x14ac:dyDescent="0.25">
      <c r="A263" s="15">
        <v>54045</v>
      </c>
      <c r="B263" s="13" t="s">
        <v>269</v>
      </c>
      <c r="C263" s="16">
        <v>59919562</v>
      </c>
      <c r="D263" s="34">
        <v>926.29459999999995</v>
      </c>
      <c r="E263" s="16">
        <v>64687.37051905517</v>
      </c>
    </row>
    <row r="264" spans="1:5" x14ac:dyDescent="0.25">
      <c r="A264" s="15">
        <v>55104</v>
      </c>
      <c r="B264" s="13" t="s">
        <v>270</v>
      </c>
      <c r="C264" s="16">
        <v>52039370</v>
      </c>
      <c r="D264" s="34">
        <v>538.44100000000003</v>
      </c>
      <c r="E264" s="16">
        <v>96648.230725371948</v>
      </c>
    </row>
    <row r="265" spans="1:5" x14ac:dyDescent="0.25">
      <c r="A265" s="15">
        <v>55105</v>
      </c>
      <c r="B265" s="13" t="s">
        <v>271</v>
      </c>
      <c r="C265" s="16">
        <v>43035148</v>
      </c>
      <c r="D265" s="34">
        <v>696.23540000000003</v>
      </c>
      <c r="E265" s="16">
        <v>61811.203509617575</v>
      </c>
    </row>
    <row r="266" spans="1:5" x14ac:dyDescent="0.25">
      <c r="A266" s="15">
        <v>55106</v>
      </c>
      <c r="B266" s="13" t="s">
        <v>272</v>
      </c>
      <c r="C266" s="16">
        <v>41652198</v>
      </c>
      <c r="D266" s="34">
        <v>720.1902</v>
      </c>
      <c r="E266" s="16">
        <v>57834.996921646532</v>
      </c>
    </row>
    <row r="267" spans="1:5" x14ac:dyDescent="0.25">
      <c r="A267" s="15">
        <v>55108</v>
      </c>
      <c r="B267" s="13" t="s">
        <v>273</v>
      </c>
      <c r="C267" s="16">
        <v>119407854</v>
      </c>
      <c r="D267" s="34">
        <v>1401.1384</v>
      </c>
      <c r="E267" s="16">
        <v>85222.0266035104</v>
      </c>
    </row>
    <row r="268" spans="1:5" x14ac:dyDescent="0.25">
      <c r="A268" s="15">
        <v>55110</v>
      </c>
      <c r="B268" s="13" t="s">
        <v>274</v>
      </c>
      <c r="C268" s="16">
        <v>120269759</v>
      </c>
      <c r="D268" s="34">
        <v>1806.3624</v>
      </c>
      <c r="E268" s="16">
        <v>66581.190463220453</v>
      </c>
    </row>
    <row r="269" spans="1:5" x14ac:dyDescent="0.25">
      <c r="A269" s="15">
        <v>55111</v>
      </c>
      <c r="B269" s="13" t="s">
        <v>275</v>
      </c>
      <c r="C269" s="16">
        <v>30858111</v>
      </c>
      <c r="D269" s="34">
        <v>369.81150000000002</v>
      </c>
      <c r="E269" s="16">
        <v>83442.81072924989</v>
      </c>
    </row>
    <row r="270" spans="1:5" x14ac:dyDescent="0.25">
      <c r="A270" s="15">
        <v>56015</v>
      </c>
      <c r="B270" s="13" t="s">
        <v>276</v>
      </c>
      <c r="C270" s="16">
        <v>44504560</v>
      </c>
      <c r="D270" s="34">
        <v>435.70850000000002</v>
      </c>
      <c r="E270" s="16">
        <v>102142.96943943026</v>
      </c>
    </row>
    <row r="271" spans="1:5" x14ac:dyDescent="0.25">
      <c r="A271" s="15">
        <v>56017</v>
      </c>
      <c r="B271" s="13" t="s">
        <v>277</v>
      </c>
      <c r="C271" s="16">
        <v>85328979</v>
      </c>
      <c r="D271" s="34">
        <v>841.62199999999996</v>
      </c>
      <c r="E271" s="16">
        <v>101386.34565161083</v>
      </c>
    </row>
    <row r="272" spans="1:5" x14ac:dyDescent="0.25">
      <c r="A272" s="15">
        <v>57001</v>
      </c>
      <c r="B272" s="13" t="s">
        <v>278</v>
      </c>
      <c r="C272" s="16">
        <v>37294229</v>
      </c>
      <c r="D272" s="34">
        <v>406.46050000000002</v>
      </c>
      <c r="E272" s="16">
        <v>91753.63657723197</v>
      </c>
    </row>
    <row r="273" spans="1:5" x14ac:dyDescent="0.25">
      <c r="A273" s="15">
        <v>57002</v>
      </c>
      <c r="B273" s="13" t="s">
        <v>279</v>
      </c>
      <c r="C273" s="16">
        <v>52727438</v>
      </c>
      <c r="D273" s="34">
        <v>784.33939999999996</v>
      </c>
      <c r="E273" s="16">
        <v>67225.282830366545</v>
      </c>
    </row>
    <row r="274" spans="1:5" x14ac:dyDescent="0.25">
      <c r="A274" s="15">
        <v>57003</v>
      </c>
      <c r="B274" s="13" t="s">
        <v>280</v>
      </c>
      <c r="C274" s="16">
        <v>560380168</v>
      </c>
      <c r="D274" s="34">
        <v>5973.8681999999999</v>
      </c>
      <c r="E274" s="16">
        <v>93805.244648685082</v>
      </c>
    </row>
    <row r="275" spans="1:5" x14ac:dyDescent="0.25">
      <c r="A275" s="15">
        <v>57004</v>
      </c>
      <c r="B275" s="13" t="s">
        <v>281</v>
      </c>
      <c r="C275" s="16">
        <v>115706358</v>
      </c>
      <c r="D275" s="34">
        <v>1449.3242</v>
      </c>
      <c r="E275" s="16">
        <v>79834.696750388903</v>
      </c>
    </row>
    <row r="276" spans="1:5" x14ac:dyDescent="0.25">
      <c r="A276" s="15">
        <v>58106</v>
      </c>
      <c r="B276" s="13" t="s">
        <v>282</v>
      </c>
      <c r="C276" s="16">
        <v>19424844</v>
      </c>
      <c r="D276" s="34">
        <v>177.3648</v>
      </c>
      <c r="E276" s="16">
        <v>109519.16050986441</v>
      </c>
    </row>
    <row r="277" spans="1:5" x14ac:dyDescent="0.25">
      <c r="A277" s="15">
        <v>58107</v>
      </c>
      <c r="B277" s="13" t="s">
        <v>283</v>
      </c>
      <c r="C277" s="16">
        <v>12500244</v>
      </c>
      <c r="D277" s="34">
        <v>106.5705</v>
      </c>
      <c r="E277" s="16">
        <v>117295.53675735781</v>
      </c>
    </row>
    <row r="278" spans="1:5" x14ac:dyDescent="0.25">
      <c r="A278" s="15">
        <v>58108</v>
      </c>
      <c r="B278" s="13" t="s">
        <v>284</v>
      </c>
      <c r="C278" s="16">
        <v>18907118</v>
      </c>
      <c r="D278" s="34">
        <v>220.01920000000001</v>
      </c>
      <c r="E278" s="16">
        <v>85933.94576473326</v>
      </c>
    </row>
    <row r="279" spans="1:5" x14ac:dyDescent="0.25">
      <c r="A279" s="15">
        <v>58109</v>
      </c>
      <c r="B279" s="13" t="s">
        <v>285</v>
      </c>
      <c r="C279" s="16">
        <v>42643894</v>
      </c>
      <c r="D279" s="34">
        <v>584.5222</v>
      </c>
      <c r="E279" s="16">
        <v>72955.13155873293</v>
      </c>
    </row>
    <row r="280" spans="1:5" x14ac:dyDescent="0.25">
      <c r="A280" s="15">
        <v>58112</v>
      </c>
      <c r="B280" s="13" t="s">
        <v>286</v>
      </c>
      <c r="C280" s="16">
        <v>64034135</v>
      </c>
      <c r="D280" s="34">
        <v>865.71690000000001</v>
      </c>
      <c r="E280" s="16">
        <v>73966.599242777869</v>
      </c>
    </row>
    <row r="281" spans="1:5" x14ac:dyDescent="0.25">
      <c r="A281" s="15">
        <v>59113</v>
      </c>
      <c r="B281" s="13" t="s">
        <v>287</v>
      </c>
      <c r="C281" s="16">
        <v>12347813</v>
      </c>
      <c r="D281" s="34">
        <v>158.36009999999999</v>
      </c>
      <c r="E281" s="16">
        <v>77973.005826593959</v>
      </c>
    </row>
    <row r="282" spans="1:5" x14ac:dyDescent="0.25">
      <c r="A282" s="15">
        <v>59114</v>
      </c>
      <c r="B282" s="13" t="s">
        <v>288</v>
      </c>
      <c r="C282" s="16">
        <v>8959922</v>
      </c>
      <c r="D282" s="34">
        <v>65.5929</v>
      </c>
      <c r="E282" s="16">
        <v>136598.96116805324</v>
      </c>
    </row>
    <row r="283" spans="1:5" x14ac:dyDescent="0.25">
      <c r="A283" s="15">
        <v>59117</v>
      </c>
      <c r="B283" s="13" t="s">
        <v>289</v>
      </c>
      <c r="C283" s="16">
        <v>147825497</v>
      </c>
      <c r="D283" s="34">
        <v>1695.7677000000001</v>
      </c>
      <c r="E283" s="16">
        <v>87173.200079232542</v>
      </c>
    </row>
    <row r="284" spans="1:5" x14ac:dyDescent="0.25">
      <c r="A284" s="15">
        <v>60077</v>
      </c>
      <c r="B284" s="13" t="s">
        <v>290</v>
      </c>
      <c r="C284" s="16">
        <v>229121601</v>
      </c>
      <c r="D284" s="34">
        <v>3643.3566999999998</v>
      </c>
      <c r="E284" s="16">
        <v>62887.501791960145</v>
      </c>
    </row>
    <row r="285" spans="1:5" x14ac:dyDescent="0.25">
      <c r="A285" s="15">
        <v>61150</v>
      </c>
      <c r="B285" s="13" t="s">
        <v>291</v>
      </c>
      <c r="C285" s="16">
        <v>16916344</v>
      </c>
      <c r="D285" s="34">
        <v>199.9905</v>
      </c>
      <c r="E285" s="16">
        <v>84585.737822546565</v>
      </c>
    </row>
    <row r="286" spans="1:5" x14ac:dyDescent="0.25">
      <c r="A286" s="15">
        <v>61151</v>
      </c>
      <c r="B286" s="13" t="s">
        <v>292</v>
      </c>
      <c r="C286" s="16">
        <v>15009496</v>
      </c>
      <c r="D286" s="34">
        <v>161.80109999999999</v>
      </c>
      <c r="E286" s="16">
        <v>92765.104810783116</v>
      </c>
    </row>
    <row r="287" spans="1:5" x14ac:dyDescent="0.25">
      <c r="A287" s="15">
        <v>61154</v>
      </c>
      <c r="B287" s="13" t="s">
        <v>293</v>
      </c>
      <c r="C287" s="16">
        <v>27551204</v>
      </c>
      <c r="D287" s="34">
        <v>305.40820000000002</v>
      </c>
      <c r="E287" s="16">
        <v>90211.081431343351</v>
      </c>
    </row>
    <row r="288" spans="1:5" x14ac:dyDescent="0.25">
      <c r="A288" s="15">
        <v>61156</v>
      </c>
      <c r="B288" s="13" t="s">
        <v>294</v>
      </c>
      <c r="C288" s="16">
        <v>116571250</v>
      </c>
      <c r="D288" s="34">
        <v>1242.5428999999999</v>
      </c>
      <c r="E288" s="16">
        <v>93816.680293292098</v>
      </c>
    </row>
    <row r="289" spans="1:5" x14ac:dyDescent="0.25">
      <c r="A289" s="15">
        <v>61157</v>
      </c>
      <c r="B289" s="13" t="s">
        <v>295</v>
      </c>
      <c r="C289" s="16">
        <v>7034889</v>
      </c>
      <c r="D289" s="34">
        <v>78.544600000000003</v>
      </c>
      <c r="E289" s="16">
        <v>89565.533467609479</v>
      </c>
    </row>
    <row r="290" spans="1:5" x14ac:dyDescent="0.25">
      <c r="A290" s="15">
        <v>61158</v>
      </c>
      <c r="B290" s="13" t="s">
        <v>296</v>
      </c>
      <c r="C290" s="16">
        <v>13036280</v>
      </c>
      <c r="D290" s="34">
        <v>92.771900000000002</v>
      </c>
      <c r="E290" s="16">
        <v>140519.70478129692</v>
      </c>
    </row>
    <row r="291" spans="1:5" x14ac:dyDescent="0.25">
      <c r="A291" s="15">
        <v>62070</v>
      </c>
      <c r="B291" s="13" t="s">
        <v>297</v>
      </c>
      <c r="C291" s="16">
        <v>11075855</v>
      </c>
      <c r="D291" s="34">
        <v>121.9599</v>
      </c>
      <c r="E291" s="16">
        <v>90815.546749382382</v>
      </c>
    </row>
    <row r="292" spans="1:5" x14ac:dyDescent="0.25">
      <c r="A292" s="15">
        <v>62072</v>
      </c>
      <c r="B292" s="13" t="s">
        <v>298</v>
      </c>
      <c r="C292" s="16">
        <v>102309441</v>
      </c>
      <c r="D292" s="34">
        <v>1854.5272</v>
      </c>
      <c r="E292" s="16">
        <v>55167.398461451521</v>
      </c>
    </row>
    <row r="293" spans="1:5" x14ac:dyDescent="0.25">
      <c r="A293" s="15">
        <v>63066</v>
      </c>
      <c r="B293" s="13" t="s">
        <v>299</v>
      </c>
      <c r="C293" s="16">
        <v>57293420</v>
      </c>
      <c r="D293" s="34">
        <v>425.75279999999998</v>
      </c>
      <c r="E293" s="16">
        <v>134569.68456813437</v>
      </c>
    </row>
    <row r="294" spans="1:5" x14ac:dyDescent="0.25">
      <c r="A294" s="15">
        <v>63067</v>
      </c>
      <c r="B294" s="13" t="s">
        <v>300</v>
      </c>
      <c r="C294" s="16">
        <v>69796822</v>
      </c>
      <c r="D294" s="34">
        <v>674.88890000000004</v>
      </c>
      <c r="E294" s="16">
        <v>103419.72137932628</v>
      </c>
    </row>
    <row r="295" spans="1:5" x14ac:dyDescent="0.25">
      <c r="A295" s="15">
        <v>64072</v>
      </c>
      <c r="B295" s="13" t="s">
        <v>301</v>
      </c>
      <c r="C295" s="16">
        <v>16845551</v>
      </c>
      <c r="D295" s="34">
        <v>182.52350000000001</v>
      </c>
      <c r="E295" s="16">
        <v>92292.504800751674</v>
      </c>
    </row>
    <row r="296" spans="1:5" x14ac:dyDescent="0.25">
      <c r="A296" s="15">
        <v>64074</v>
      </c>
      <c r="B296" s="13" t="s">
        <v>302</v>
      </c>
      <c r="C296" s="16">
        <v>136414998</v>
      </c>
      <c r="D296" s="34">
        <v>1063.2266</v>
      </c>
      <c r="E296" s="16">
        <v>128302.84532008511</v>
      </c>
    </row>
    <row r="297" spans="1:5" x14ac:dyDescent="0.25">
      <c r="A297" s="15">
        <v>64075</v>
      </c>
      <c r="B297" s="13" t="s">
        <v>303</v>
      </c>
      <c r="C297" s="16">
        <v>336504306</v>
      </c>
      <c r="D297" s="34">
        <v>3246.9418000000001</v>
      </c>
      <c r="E297" s="16">
        <v>103637.30757354505</v>
      </c>
    </row>
    <row r="298" spans="1:5" x14ac:dyDescent="0.25">
      <c r="A298" s="15">
        <v>65096</v>
      </c>
      <c r="B298" s="13" t="s">
        <v>304</v>
      </c>
      <c r="C298" s="16">
        <v>19308767</v>
      </c>
      <c r="D298" s="34">
        <v>168.1087</v>
      </c>
      <c r="E298" s="16">
        <v>114858.82051315607</v>
      </c>
    </row>
    <row r="299" spans="1:5" x14ac:dyDescent="0.25">
      <c r="A299" s="15">
        <v>65098</v>
      </c>
      <c r="B299" s="13" t="s">
        <v>305</v>
      </c>
      <c r="C299" s="16">
        <v>47686818</v>
      </c>
      <c r="D299" s="34">
        <v>323.6739</v>
      </c>
      <c r="E299" s="16">
        <v>147329.82177432286</v>
      </c>
    </row>
    <row r="300" spans="1:5" x14ac:dyDescent="0.25">
      <c r="A300" s="15">
        <v>66102</v>
      </c>
      <c r="B300" s="13" t="s">
        <v>306</v>
      </c>
      <c r="C300" s="16">
        <v>187670967</v>
      </c>
      <c r="D300" s="34">
        <v>1817.7807</v>
      </c>
      <c r="E300" s="16">
        <v>103241.8085415914</v>
      </c>
    </row>
    <row r="301" spans="1:5" x14ac:dyDescent="0.25">
      <c r="A301" s="15">
        <v>66103</v>
      </c>
      <c r="B301" s="13" t="s">
        <v>307</v>
      </c>
      <c r="C301" s="16">
        <v>12510387</v>
      </c>
      <c r="D301" s="34">
        <v>175.8141</v>
      </c>
      <c r="E301" s="16">
        <v>71156.903797818261</v>
      </c>
    </row>
    <row r="302" spans="1:5" x14ac:dyDescent="0.25">
      <c r="A302" s="15">
        <v>66104</v>
      </c>
      <c r="B302" s="13" t="s">
        <v>308</v>
      </c>
      <c r="C302" s="16">
        <v>17896937</v>
      </c>
      <c r="D302" s="34">
        <v>227.07919999999999</v>
      </c>
      <c r="E302" s="16">
        <v>78813.634185781877</v>
      </c>
    </row>
    <row r="303" spans="1:5" x14ac:dyDescent="0.25">
      <c r="A303" s="15">
        <v>66105</v>
      </c>
      <c r="B303" s="13" t="s">
        <v>309</v>
      </c>
      <c r="C303" s="16">
        <v>566450888</v>
      </c>
      <c r="D303" s="34">
        <v>1667.5622000000001</v>
      </c>
      <c r="E303" s="16">
        <v>339688.01163758687</v>
      </c>
    </row>
    <row r="304" spans="1:5" x14ac:dyDescent="0.25">
      <c r="A304" s="15">
        <v>66107</v>
      </c>
      <c r="B304" s="13" t="s">
        <v>310</v>
      </c>
      <c r="C304" s="16">
        <v>38412006</v>
      </c>
      <c r="D304" s="34">
        <v>696.30110000000002</v>
      </c>
      <c r="E304" s="16">
        <v>55165.798244466365</v>
      </c>
    </row>
    <row r="305" spans="1:5" x14ac:dyDescent="0.25">
      <c r="A305" s="15">
        <v>67055</v>
      </c>
      <c r="B305" s="13" t="s">
        <v>311</v>
      </c>
      <c r="C305" s="16">
        <v>69644860</v>
      </c>
      <c r="D305" s="34">
        <v>1020.915</v>
      </c>
      <c r="E305" s="16">
        <v>68218.078880220201</v>
      </c>
    </row>
    <row r="306" spans="1:5" x14ac:dyDescent="0.25">
      <c r="A306" s="15">
        <v>67061</v>
      </c>
      <c r="B306" s="13" t="s">
        <v>312</v>
      </c>
      <c r="C306" s="16">
        <v>86645198</v>
      </c>
      <c r="D306" s="34">
        <v>805.5009</v>
      </c>
      <c r="E306" s="16">
        <v>107566.8543635395</v>
      </c>
    </row>
    <row r="307" spans="1:5" x14ac:dyDescent="0.25">
      <c r="A307" s="15">
        <v>68070</v>
      </c>
      <c r="B307" s="13" t="s">
        <v>313</v>
      </c>
      <c r="C307" s="16">
        <v>91837650</v>
      </c>
      <c r="D307" s="34">
        <v>1285.5586000000001</v>
      </c>
      <c r="E307" s="16">
        <v>71437.933673346357</v>
      </c>
    </row>
    <row r="308" spans="1:5" x14ac:dyDescent="0.25">
      <c r="A308" s="15">
        <v>68071</v>
      </c>
      <c r="B308" s="13" t="s">
        <v>314</v>
      </c>
      <c r="C308" s="16">
        <v>10994549</v>
      </c>
      <c r="D308" s="34">
        <v>113.1151</v>
      </c>
      <c r="E308" s="16">
        <v>97197.889583265191</v>
      </c>
    </row>
    <row r="309" spans="1:5" x14ac:dyDescent="0.25">
      <c r="A309" s="15">
        <v>68072</v>
      </c>
      <c r="B309" s="13" t="s">
        <v>315</v>
      </c>
      <c r="C309" s="16">
        <v>10524646</v>
      </c>
      <c r="D309" s="34">
        <v>67.061899999999994</v>
      </c>
      <c r="E309" s="16">
        <v>156939.27550516764</v>
      </c>
    </row>
    <row r="310" spans="1:5" x14ac:dyDescent="0.25">
      <c r="A310" s="15">
        <v>68073</v>
      </c>
      <c r="B310" s="13" t="s">
        <v>316</v>
      </c>
      <c r="C310" s="16">
        <v>49661543</v>
      </c>
      <c r="D310" s="34">
        <v>560.65859999999998</v>
      </c>
      <c r="E310" s="16">
        <v>88577.153725992976</v>
      </c>
    </row>
    <row r="311" spans="1:5" x14ac:dyDescent="0.25">
      <c r="A311" s="15">
        <v>68074</v>
      </c>
      <c r="B311" s="13" t="s">
        <v>317</v>
      </c>
      <c r="C311" s="16">
        <v>17104432</v>
      </c>
      <c r="D311" s="34">
        <v>208.24119999999999</v>
      </c>
      <c r="E311" s="16">
        <v>82137.598131397637</v>
      </c>
    </row>
    <row r="312" spans="1:5" x14ac:dyDescent="0.25">
      <c r="A312" s="15">
        <v>68075</v>
      </c>
      <c r="B312" s="13" t="s">
        <v>318</v>
      </c>
      <c r="C312" s="16">
        <v>7713515</v>
      </c>
      <c r="D312" s="34">
        <v>76.358999999999995</v>
      </c>
      <c r="E312" s="16">
        <v>101016.4486177137</v>
      </c>
    </row>
    <row r="313" spans="1:5" x14ac:dyDescent="0.25">
      <c r="A313" s="15">
        <v>69104</v>
      </c>
      <c r="B313" s="13" t="s">
        <v>319</v>
      </c>
      <c r="C313" s="16">
        <v>4949706</v>
      </c>
      <c r="D313" s="34">
        <v>35.700600000000001</v>
      </c>
      <c r="E313" s="16">
        <v>138644.89672442479</v>
      </c>
    </row>
    <row r="314" spans="1:5" x14ac:dyDescent="0.25">
      <c r="A314" s="15">
        <v>69106</v>
      </c>
      <c r="B314" s="13" t="s">
        <v>320</v>
      </c>
      <c r="C314" s="16">
        <v>87048810</v>
      </c>
      <c r="D314" s="34">
        <v>634.5548</v>
      </c>
      <c r="E314" s="16">
        <v>137180.91802315577</v>
      </c>
    </row>
    <row r="315" spans="1:5" x14ac:dyDescent="0.25">
      <c r="A315" s="15">
        <v>69107</v>
      </c>
      <c r="B315" s="13" t="s">
        <v>321</v>
      </c>
      <c r="C315" s="16">
        <v>9046036</v>
      </c>
      <c r="D315" s="34">
        <v>71.370099999999994</v>
      </c>
      <c r="E315" s="16">
        <v>126748.26012573895</v>
      </c>
    </row>
    <row r="316" spans="1:5" x14ac:dyDescent="0.25">
      <c r="A316" s="15">
        <v>69108</v>
      </c>
      <c r="B316" s="13" t="s">
        <v>322</v>
      </c>
      <c r="C316" s="16">
        <v>14894842</v>
      </c>
      <c r="D316" s="34">
        <v>183.66149999999999</v>
      </c>
      <c r="E316" s="16">
        <v>81099.424756957771</v>
      </c>
    </row>
    <row r="317" spans="1:5" x14ac:dyDescent="0.25">
      <c r="A317" s="15">
        <v>69109</v>
      </c>
      <c r="B317" s="13" t="s">
        <v>323</v>
      </c>
      <c r="C317" s="16">
        <v>50485434</v>
      </c>
      <c r="D317" s="34">
        <v>351.93029999999999</v>
      </c>
      <c r="E317" s="16">
        <v>143452.93372011447</v>
      </c>
    </row>
    <row r="318" spans="1:5" x14ac:dyDescent="0.25">
      <c r="A318" s="15">
        <v>70092</v>
      </c>
      <c r="B318" s="13" t="s">
        <v>324</v>
      </c>
      <c r="C318" s="16">
        <v>30815417</v>
      </c>
      <c r="D318" s="34">
        <v>349.34750000000003</v>
      </c>
      <c r="E318" s="16">
        <v>88208.49440743099</v>
      </c>
    </row>
    <row r="319" spans="1:5" x14ac:dyDescent="0.25">
      <c r="A319" s="15">
        <v>70093</v>
      </c>
      <c r="B319" s="13" t="s">
        <v>325</v>
      </c>
      <c r="C319" s="16">
        <v>133187908</v>
      </c>
      <c r="D319" s="34">
        <v>1137.1831999999999</v>
      </c>
      <c r="E319" s="16">
        <v>117120.88958050031</v>
      </c>
    </row>
    <row r="320" spans="1:5" x14ac:dyDescent="0.25">
      <c r="A320" s="15">
        <v>71091</v>
      </c>
      <c r="B320" s="13" t="s">
        <v>326</v>
      </c>
      <c r="C320" s="16">
        <v>87981637</v>
      </c>
      <c r="D320" s="34">
        <v>678.15340000000003</v>
      </c>
      <c r="E320" s="16">
        <v>129737.07276259323</v>
      </c>
    </row>
    <row r="321" spans="1:5" x14ac:dyDescent="0.25">
      <c r="A321" s="15">
        <v>71092</v>
      </c>
      <c r="B321" s="13" t="s">
        <v>327</v>
      </c>
      <c r="C321" s="16">
        <v>276547627</v>
      </c>
      <c r="D321" s="34">
        <v>1200.1335999999999</v>
      </c>
      <c r="E321" s="16">
        <v>230430.70121526471</v>
      </c>
    </row>
    <row r="322" spans="1:5" x14ac:dyDescent="0.25">
      <c r="A322" s="15">
        <v>72066</v>
      </c>
      <c r="B322" s="13" t="s">
        <v>328</v>
      </c>
      <c r="C322" s="16">
        <v>10565784</v>
      </c>
      <c r="D322" s="34">
        <v>153.2055</v>
      </c>
      <c r="E322" s="16">
        <v>68964.782595925077</v>
      </c>
    </row>
    <row r="323" spans="1:5" x14ac:dyDescent="0.25">
      <c r="A323" s="15">
        <v>72068</v>
      </c>
      <c r="B323" s="13" t="s">
        <v>329</v>
      </c>
      <c r="C323" s="16">
        <v>51119021</v>
      </c>
      <c r="D323" s="34">
        <v>687.30060000000003</v>
      </c>
      <c r="E323" s="16">
        <v>74376.511529307551</v>
      </c>
    </row>
    <row r="324" spans="1:5" x14ac:dyDescent="0.25">
      <c r="A324" s="15">
        <v>72073</v>
      </c>
      <c r="B324" s="13" t="s">
        <v>330</v>
      </c>
      <c r="C324" s="16">
        <v>14502026</v>
      </c>
      <c r="D324" s="34">
        <v>230.80510000000001</v>
      </c>
      <c r="E324" s="16">
        <v>62832.346425620577</v>
      </c>
    </row>
    <row r="325" spans="1:5" x14ac:dyDescent="0.25">
      <c r="A325" s="15">
        <v>72074</v>
      </c>
      <c r="B325" s="13" t="s">
        <v>331</v>
      </c>
      <c r="C325" s="16">
        <v>265112943</v>
      </c>
      <c r="D325" s="34">
        <v>1201.8258000000001</v>
      </c>
      <c r="E325" s="16">
        <v>220591.82204276192</v>
      </c>
    </row>
    <row r="326" spans="1:5" x14ac:dyDescent="0.25">
      <c r="A326" s="15">
        <v>73099</v>
      </c>
      <c r="B326" s="13" t="s">
        <v>332</v>
      </c>
      <c r="C326" s="16">
        <v>76059342</v>
      </c>
      <c r="D326" s="34">
        <v>1284.4634000000001</v>
      </c>
      <c r="E326" s="16">
        <v>59214.876811593072</v>
      </c>
    </row>
    <row r="327" spans="1:5" x14ac:dyDescent="0.25">
      <c r="A327" s="15">
        <v>73102</v>
      </c>
      <c r="B327" s="13" t="s">
        <v>333</v>
      </c>
      <c r="C327" s="16">
        <v>73762364</v>
      </c>
      <c r="D327" s="34">
        <v>726.21190000000001</v>
      </c>
      <c r="E327" s="16">
        <v>101571.40636224771</v>
      </c>
    </row>
    <row r="328" spans="1:5" x14ac:dyDescent="0.25">
      <c r="A328" s="15">
        <v>73105</v>
      </c>
      <c r="B328" s="13" t="s">
        <v>334</v>
      </c>
      <c r="C328" s="16">
        <v>9554684</v>
      </c>
      <c r="D328" s="34">
        <v>157.85990000000001</v>
      </c>
      <c r="E328" s="16">
        <v>60526.352797638916</v>
      </c>
    </row>
    <row r="329" spans="1:5" x14ac:dyDescent="0.25">
      <c r="A329" s="15">
        <v>73106</v>
      </c>
      <c r="B329" s="13" t="s">
        <v>335</v>
      </c>
      <c r="C329" s="16">
        <v>97750755</v>
      </c>
      <c r="D329" s="34">
        <v>1352.4344000000001</v>
      </c>
      <c r="E329" s="16">
        <v>72277.631358681785</v>
      </c>
    </row>
    <row r="330" spans="1:5" x14ac:dyDescent="0.25">
      <c r="A330" s="15">
        <v>73108</v>
      </c>
      <c r="B330" s="13" t="s">
        <v>1579</v>
      </c>
      <c r="C330" s="16">
        <v>319046982</v>
      </c>
      <c r="D330" s="34">
        <v>4295.4751999999999</v>
      </c>
      <c r="E330" s="16">
        <v>74275.130723604234</v>
      </c>
    </row>
    <row r="331" spans="1:5" x14ac:dyDescent="0.25">
      <c r="A331" s="15">
        <v>74187</v>
      </c>
      <c r="B331" s="13" t="s">
        <v>337</v>
      </c>
      <c r="C331" s="16">
        <v>29101688</v>
      </c>
      <c r="D331" s="34">
        <v>196.9622</v>
      </c>
      <c r="E331" s="16">
        <v>147752.65507797943</v>
      </c>
    </row>
    <row r="332" spans="1:5" x14ac:dyDescent="0.25">
      <c r="A332" s="15">
        <v>74190</v>
      </c>
      <c r="B332" s="13" t="s">
        <v>338</v>
      </c>
      <c r="C332" s="16">
        <v>24445305</v>
      </c>
      <c r="D332" s="34">
        <v>222.57470000000001</v>
      </c>
      <c r="E332" s="16">
        <v>109829.66617499653</v>
      </c>
    </row>
    <row r="333" spans="1:5" x14ac:dyDescent="0.25">
      <c r="A333" s="15">
        <v>74194</v>
      </c>
      <c r="B333" s="13" t="s">
        <v>339</v>
      </c>
      <c r="C333" s="16">
        <v>16773789</v>
      </c>
      <c r="D333" s="34">
        <v>195.07570000000001</v>
      </c>
      <c r="E333" s="16">
        <v>85986.050543455684</v>
      </c>
    </row>
    <row r="334" spans="1:5" x14ac:dyDescent="0.25">
      <c r="A334" s="15">
        <v>74195</v>
      </c>
      <c r="B334" s="13" t="s">
        <v>340</v>
      </c>
      <c r="C334" s="16">
        <v>14588551</v>
      </c>
      <c r="D334" s="34">
        <v>118.0166</v>
      </c>
      <c r="E334" s="16">
        <v>123614.3983134576</v>
      </c>
    </row>
    <row r="335" spans="1:5" x14ac:dyDescent="0.25">
      <c r="A335" s="15">
        <v>74197</v>
      </c>
      <c r="B335" s="13" t="s">
        <v>341</v>
      </c>
      <c r="C335" s="16">
        <v>16450332</v>
      </c>
      <c r="D335" s="34">
        <v>200.77420000000001</v>
      </c>
      <c r="E335" s="16">
        <v>81934.491583081894</v>
      </c>
    </row>
    <row r="336" spans="1:5" x14ac:dyDescent="0.25">
      <c r="A336" s="15">
        <v>74201</v>
      </c>
      <c r="B336" s="13" t="s">
        <v>342</v>
      </c>
      <c r="C336" s="16">
        <v>184722567</v>
      </c>
      <c r="D336" s="34">
        <v>1361.6679999999999</v>
      </c>
      <c r="E336" s="16">
        <v>135659.03509519208</v>
      </c>
    </row>
    <row r="337" spans="1:5" x14ac:dyDescent="0.25">
      <c r="A337" s="15">
        <v>74202</v>
      </c>
      <c r="B337" s="13" t="s">
        <v>343</v>
      </c>
      <c r="C337" s="16">
        <v>15507268</v>
      </c>
      <c r="D337" s="34">
        <v>154.3306</v>
      </c>
      <c r="E337" s="16">
        <v>100480.83788956954</v>
      </c>
    </row>
    <row r="338" spans="1:5" x14ac:dyDescent="0.25">
      <c r="A338" s="15">
        <v>75084</v>
      </c>
      <c r="B338" s="13" t="s">
        <v>344</v>
      </c>
      <c r="C338" s="16">
        <v>12594794</v>
      </c>
      <c r="D338" s="34">
        <v>125.9186</v>
      </c>
      <c r="E338" s="16">
        <v>100023.30076732111</v>
      </c>
    </row>
    <row r="339" spans="1:5" x14ac:dyDescent="0.25">
      <c r="A339" s="15">
        <v>75085</v>
      </c>
      <c r="B339" s="13" t="s">
        <v>345</v>
      </c>
      <c r="C339" s="16">
        <v>32981643</v>
      </c>
      <c r="D339" s="34">
        <v>643.596</v>
      </c>
      <c r="E339" s="16">
        <v>51245.879402606603</v>
      </c>
    </row>
    <row r="340" spans="1:5" x14ac:dyDescent="0.25">
      <c r="A340" s="15">
        <v>75086</v>
      </c>
      <c r="B340" s="13" t="s">
        <v>346</v>
      </c>
      <c r="C340" s="16">
        <v>14927155</v>
      </c>
      <c r="D340" s="34">
        <v>202.83949999999999</v>
      </c>
      <c r="E340" s="16">
        <v>73590.967242573563</v>
      </c>
    </row>
    <row r="341" spans="1:5" x14ac:dyDescent="0.25">
      <c r="A341" s="15">
        <v>75087</v>
      </c>
      <c r="B341" s="13" t="s">
        <v>347</v>
      </c>
      <c r="C341" s="16">
        <v>41181915</v>
      </c>
      <c r="D341" s="34">
        <v>649.08000000000004</v>
      </c>
      <c r="E341" s="16">
        <v>63446.593640229243</v>
      </c>
    </row>
    <row r="342" spans="1:5" x14ac:dyDescent="0.25">
      <c r="A342" s="15">
        <v>76081</v>
      </c>
      <c r="B342" s="13" t="s">
        <v>348</v>
      </c>
      <c r="C342" s="16">
        <v>14874157</v>
      </c>
      <c r="D342" s="34">
        <v>154.3468</v>
      </c>
      <c r="E342" s="16">
        <v>96368.418392865933</v>
      </c>
    </row>
    <row r="343" spans="1:5" x14ac:dyDescent="0.25">
      <c r="A343" s="15">
        <v>76082</v>
      </c>
      <c r="B343" s="13" t="s">
        <v>349</v>
      </c>
      <c r="C343" s="16">
        <v>65225843</v>
      </c>
      <c r="D343" s="34">
        <v>618.9162</v>
      </c>
      <c r="E343" s="16">
        <v>105387.19619877456</v>
      </c>
    </row>
    <row r="344" spans="1:5" x14ac:dyDescent="0.25">
      <c r="A344" s="15">
        <v>76083</v>
      </c>
      <c r="B344" s="13" t="s">
        <v>350</v>
      </c>
      <c r="C344" s="16">
        <v>93920251</v>
      </c>
      <c r="D344" s="34">
        <v>781.10609999999997</v>
      </c>
      <c r="E344" s="16">
        <v>120240.06853870429</v>
      </c>
    </row>
    <row r="345" spans="1:5" x14ac:dyDescent="0.25">
      <c r="A345" s="15">
        <v>77100</v>
      </c>
      <c r="B345" s="13" t="s">
        <v>351</v>
      </c>
      <c r="C345" s="16">
        <v>7331420</v>
      </c>
      <c r="D345" s="34">
        <v>65.021799999999999</v>
      </c>
      <c r="E345" s="16">
        <v>112753.26121393133</v>
      </c>
    </row>
    <row r="346" spans="1:5" x14ac:dyDescent="0.25">
      <c r="A346" s="15">
        <v>77101</v>
      </c>
      <c r="B346" s="13" t="s">
        <v>352</v>
      </c>
      <c r="C346" s="16">
        <v>15376874</v>
      </c>
      <c r="D346" s="34">
        <v>312.62720000000002</v>
      </c>
      <c r="E346" s="16">
        <v>49185.976140271858</v>
      </c>
    </row>
    <row r="347" spans="1:5" x14ac:dyDescent="0.25">
      <c r="A347" s="15">
        <v>77102</v>
      </c>
      <c r="B347" s="13" t="s">
        <v>353</v>
      </c>
      <c r="C347" s="16">
        <v>54509698</v>
      </c>
      <c r="D347" s="34">
        <v>632.74400000000003</v>
      </c>
      <c r="E347" s="16">
        <v>86148.107291416425</v>
      </c>
    </row>
    <row r="348" spans="1:5" x14ac:dyDescent="0.25">
      <c r="A348" s="15">
        <v>77103</v>
      </c>
      <c r="B348" s="13" t="s">
        <v>354</v>
      </c>
      <c r="C348" s="16">
        <v>19368798</v>
      </c>
      <c r="D348" s="34">
        <v>274.65269999999998</v>
      </c>
      <c r="E348" s="16">
        <v>70521.054407985066</v>
      </c>
    </row>
    <row r="349" spans="1:5" x14ac:dyDescent="0.25">
      <c r="A349" s="15">
        <v>77104</v>
      </c>
      <c r="B349" s="13" t="s">
        <v>355</v>
      </c>
      <c r="C349" s="16">
        <v>26886746</v>
      </c>
      <c r="D349" s="34">
        <v>117.4115</v>
      </c>
      <c r="E349" s="16">
        <v>228995.84793653092</v>
      </c>
    </row>
    <row r="350" spans="1:5" x14ac:dyDescent="0.25">
      <c r="A350" s="15">
        <v>78001</v>
      </c>
      <c r="B350" s="13" t="s">
        <v>356</v>
      </c>
      <c r="C350" s="16">
        <v>19742594</v>
      </c>
      <c r="D350" s="34">
        <v>209.06309999999999</v>
      </c>
      <c r="E350" s="16">
        <v>94433.661416098781</v>
      </c>
    </row>
    <row r="351" spans="1:5" x14ac:dyDescent="0.25">
      <c r="A351" s="15">
        <v>78002</v>
      </c>
      <c r="B351" s="13" t="s">
        <v>357</v>
      </c>
      <c r="C351" s="16">
        <v>29184250</v>
      </c>
      <c r="D351" s="34">
        <v>584.66150000000005</v>
      </c>
      <c r="E351" s="16">
        <v>49916.490140021189</v>
      </c>
    </row>
    <row r="352" spans="1:5" x14ac:dyDescent="0.25">
      <c r="A352" s="15">
        <v>78003</v>
      </c>
      <c r="B352" s="13" t="s">
        <v>358</v>
      </c>
      <c r="C352" s="16">
        <v>12487950</v>
      </c>
      <c r="D352" s="34">
        <v>150.74610000000001</v>
      </c>
      <c r="E352" s="16">
        <v>82840.949119081677</v>
      </c>
    </row>
    <row r="353" spans="1:5" x14ac:dyDescent="0.25">
      <c r="A353" s="15">
        <v>78004</v>
      </c>
      <c r="B353" s="13" t="s">
        <v>359</v>
      </c>
      <c r="C353" s="16">
        <v>8774531</v>
      </c>
      <c r="D353" s="34">
        <v>160.82169999999999</v>
      </c>
      <c r="E353" s="16">
        <v>54560.61588703515</v>
      </c>
    </row>
    <row r="354" spans="1:5" x14ac:dyDescent="0.25">
      <c r="A354" s="15">
        <v>78005</v>
      </c>
      <c r="B354" s="13" t="s">
        <v>360</v>
      </c>
      <c r="C354" s="16">
        <v>30520255</v>
      </c>
      <c r="D354" s="34">
        <v>576.43330000000003</v>
      </c>
      <c r="E354" s="16">
        <v>52946.724278420414</v>
      </c>
    </row>
    <row r="355" spans="1:5" x14ac:dyDescent="0.25">
      <c r="A355" s="15">
        <v>78009</v>
      </c>
      <c r="B355" s="13" t="s">
        <v>361</v>
      </c>
      <c r="C355" s="16">
        <v>12929051</v>
      </c>
      <c r="D355" s="34">
        <v>172.37649999999999</v>
      </c>
      <c r="E355" s="16">
        <v>75004.719320789096</v>
      </c>
    </row>
    <row r="356" spans="1:5" x14ac:dyDescent="0.25">
      <c r="A356" s="15">
        <v>78012</v>
      </c>
      <c r="B356" s="13" t="s">
        <v>362</v>
      </c>
      <c r="C356" s="16">
        <v>50085689</v>
      </c>
      <c r="D356" s="34">
        <v>967.83720000000005</v>
      </c>
      <c r="E356" s="16">
        <v>51750.117685081743</v>
      </c>
    </row>
    <row r="357" spans="1:5" x14ac:dyDescent="0.25">
      <c r="A357" s="15">
        <v>79077</v>
      </c>
      <c r="B357" s="13" t="s">
        <v>363</v>
      </c>
      <c r="C357" s="16">
        <v>319336919</v>
      </c>
      <c r="D357" s="34">
        <v>2062.4758999999999</v>
      </c>
      <c r="E357" s="16">
        <v>154831.83051981361</v>
      </c>
    </row>
    <row r="358" spans="1:5" x14ac:dyDescent="0.25">
      <c r="A358" s="15">
        <v>79078</v>
      </c>
      <c r="B358" s="13" t="s">
        <v>364</v>
      </c>
      <c r="C358" s="16">
        <v>18364064</v>
      </c>
      <c r="D358" s="34">
        <v>97.615099999999998</v>
      </c>
      <c r="E358" s="16">
        <v>188127.28768397513</v>
      </c>
    </row>
    <row r="359" spans="1:5" x14ac:dyDescent="0.25">
      <c r="A359" s="15">
        <v>80116</v>
      </c>
      <c r="B359" s="13" t="s">
        <v>365</v>
      </c>
      <c r="C359" s="16">
        <v>29636260</v>
      </c>
      <c r="D359" s="34">
        <v>309.72829999999999</v>
      </c>
      <c r="E359" s="16">
        <v>95684.70172083081</v>
      </c>
    </row>
    <row r="360" spans="1:5" x14ac:dyDescent="0.25">
      <c r="A360" s="15">
        <v>80118</v>
      </c>
      <c r="B360" s="13" t="s">
        <v>366</v>
      </c>
      <c r="C360" s="16">
        <v>20817090</v>
      </c>
      <c r="D360" s="34">
        <v>312.68860000000001</v>
      </c>
      <c r="E360" s="16">
        <v>66574.508952357079</v>
      </c>
    </row>
    <row r="361" spans="1:5" x14ac:dyDescent="0.25">
      <c r="A361" s="15">
        <v>80119</v>
      </c>
      <c r="B361" s="13" t="s">
        <v>367</v>
      </c>
      <c r="C361" s="16">
        <v>44068735</v>
      </c>
      <c r="D361" s="34">
        <v>503.26729999999998</v>
      </c>
      <c r="E361" s="16">
        <v>87565.266012713328</v>
      </c>
    </row>
    <row r="362" spans="1:5" x14ac:dyDescent="0.25">
      <c r="A362" s="15">
        <v>80121</v>
      </c>
      <c r="B362" s="13" t="s">
        <v>368</v>
      </c>
      <c r="C362" s="16">
        <v>28208622</v>
      </c>
      <c r="D362" s="34">
        <v>376.65899999999999</v>
      </c>
      <c r="E362" s="16">
        <v>74891.671246405909</v>
      </c>
    </row>
    <row r="363" spans="1:5" x14ac:dyDescent="0.25">
      <c r="A363" s="15">
        <v>80122</v>
      </c>
      <c r="B363" s="13" t="s">
        <v>369</v>
      </c>
      <c r="C363" s="16">
        <v>51907944</v>
      </c>
      <c r="D363" s="34">
        <v>170.53739999999999</v>
      </c>
      <c r="E363" s="16">
        <v>304378.65242462943</v>
      </c>
    </row>
    <row r="364" spans="1:5" x14ac:dyDescent="0.25">
      <c r="A364" s="15">
        <v>80125</v>
      </c>
      <c r="B364" s="13" t="s">
        <v>370</v>
      </c>
      <c r="C364" s="16">
        <v>351638803</v>
      </c>
      <c r="D364" s="34">
        <v>4571.7637999999997</v>
      </c>
      <c r="E364" s="16">
        <v>76915.347857647415</v>
      </c>
    </row>
    <row r="365" spans="1:5" x14ac:dyDescent="0.25">
      <c r="A365" s="15">
        <v>81094</v>
      </c>
      <c r="B365" s="13" t="s">
        <v>371</v>
      </c>
      <c r="C365" s="16">
        <v>123102695</v>
      </c>
      <c r="D365" s="34">
        <v>1788.8747000000001</v>
      </c>
      <c r="E365" s="16">
        <v>68815.716942053012</v>
      </c>
    </row>
    <row r="366" spans="1:5" x14ac:dyDescent="0.25">
      <c r="A366" s="15">
        <v>81095</v>
      </c>
      <c r="B366" s="13" t="s">
        <v>372</v>
      </c>
      <c r="C366" s="16">
        <v>28057337</v>
      </c>
      <c r="D366" s="34">
        <v>397.34780000000001</v>
      </c>
      <c r="E366" s="16">
        <v>70611.532264680965</v>
      </c>
    </row>
    <row r="367" spans="1:5" x14ac:dyDescent="0.25">
      <c r="A367" s="15">
        <v>81096</v>
      </c>
      <c r="B367" s="13" t="s">
        <v>373</v>
      </c>
      <c r="C367" s="16">
        <v>415062235</v>
      </c>
      <c r="D367" s="34">
        <v>3737.0484999999999</v>
      </c>
      <c r="E367" s="16">
        <v>111066.85797628798</v>
      </c>
    </row>
    <row r="368" spans="1:5" x14ac:dyDescent="0.25">
      <c r="A368" s="15">
        <v>81097</v>
      </c>
      <c r="B368" s="13" t="s">
        <v>374</v>
      </c>
      <c r="C368" s="16">
        <v>19852665</v>
      </c>
      <c r="D368" s="34">
        <v>223.38939999999999</v>
      </c>
      <c r="E368" s="16">
        <v>88870.219446401665</v>
      </c>
    </row>
    <row r="369" spans="1:5" x14ac:dyDescent="0.25">
      <c r="A369" s="15">
        <v>82100</v>
      </c>
      <c r="B369" s="13" t="s">
        <v>375</v>
      </c>
      <c r="C369" s="16">
        <v>115148431</v>
      </c>
      <c r="D369" s="34">
        <v>1248.9023999999999</v>
      </c>
      <c r="E369" s="16">
        <v>92199.703515663045</v>
      </c>
    </row>
    <row r="370" spans="1:5" x14ac:dyDescent="0.25">
      <c r="A370" s="15">
        <v>82101</v>
      </c>
      <c r="B370" s="13" t="s">
        <v>376</v>
      </c>
      <c r="C370" s="16">
        <v>43285672</v>
      </c>
      <c r="D370" s="34">
        <v>386.6377</v>
      </c>
      <c r="E370" s="16">
        <v>111954.09035383772</v>
      </c>
    </row>
    <row r="371" spans="1:5" x14ac:dyDescent="0.25">
      <c r="A371" s="15">
        <v>82105</v>
      </c>
      <c r="B371" s="13" t="s">
        <v>377</v>
      </c>
      <c r="C371" s="16">
        <v>12584087</v>
      </c>
      <c r="D371" s="34">
        <v>52.320900000000002</v>
      </c>
      <c r="E371" s="16">
        <v>240517.40317922665</v>
      </c>
    </row>
    <row r="372" spans="1:5" x14ac:dyDescent="0.25">
      <c r="A372" s="15">
        <v>82108</v>
      </c>
      <c r="B372" s="13" t="s">
        <v>378</v>
      </c>
      <c r="C372" s="16">
        <v>56121350</v>
      </c>
      <c r="D372" s="34">
        <v>646.38430000000005</v>
      </c>
      <c r="E372" s="16">
        <v>86823.50422186924</v>
      </c>
    </row>
    <row r="373" spans="1:5" x14ac:dyDescent="0.25">
      <c r="A373" s="15">
        <v>83001</v>
      </c>
      <c r="B373" s="13" t="s">
        <v>379</v>
      </c>
      <c r="C373" s="16">
        <v>63809153</v>
      </c>
      <c r="D373" s="34">
        <v>593.28089999999997</v>
      </c>
      <c r="E373" s="16">
        <v>107553.02083717848</v>
      </c>
    </row>
    <row r="374" spans="1:5" x14ac:dyDescent="0.25">
      <c r="A374" s="15">
        <v>83002</v>
      </c>
      <c r="B374" s="13" t="s">
        <v>380</v>
      </c>
      <c r="C374" s="16">
        <v>216577671</v>
      </c>
      <c r="D374" s="34">
        <v>631.81700000000001</v>
      </c>
      <c r="E374" s="16">
        <v>342785.44420298917</v>
      </c>
    </row>
    <row r="375" spans="1:5" x14ac:dyDescent="0.25">
      <c r="A375" s="15">
        <v>83003</v>
      </c>
      <c r="B375" s="13" t="s">
        <v>381</v>
      </c>
      <c r="C375" s="16">
        <v>554855093</v>
      </c>
      <c r="D375" s="34">
        <v>3922.4971</v>
      </c>
      <c r="E375" s="16">
        <v>141454.55786315305</v>
      </c>
    </row>
    <row r="376" spans="1:5" x14ac:dyDescent="0.25">
      <c r="A376" s="15">
        <v>83005</v>
      </c>
      <c r="B376" s="13" t="s">
        <v>382</v>
      </c>
      <c r="C376" s="16">
        <v>1754560476</v>
      </c>
      <c r="D376" s="34">
        <v>11158.2958</v>
      </c>
      <c r="E376" s="16">
        <v>157242.69256242516</v>
      </c>
    </row>
    <row r="377" spans="1:5" x14ac:dyDescent="0.25">
      <c r="A377" s="15">
        <v>84001</v>
      </c>
      <c r="B377" s="13" t="s">
        <v>383</v>
      </c>
      <c r="C377" s="16">
        <v>168763328</v>
      </c>
      <c r="D377" s="34">
        <v>2593.6061</v>
      </c>
      <c r="E377" s="16">
        <v>65068.989466056548</v>
      </c>
    </row>
    <row r="378" spans="1:5" x14ac:dyDescent="0.25">
      <c r="A378" s="15">
        <v>84002</v>
      </c>
      <c r="B378" s="13" t="s">
        <v>384</v>
      </c>
      <c r="C378" s="16">
        <v>20575383</v>
      </c>
      <c r="D378" s="34">
        <v>341.5942</v>
      </c>
      <c r="E378" s="16">
        <v>60233.408529770117</v>
      </c>
    </row>
    <row r="379" spans="1:5" x14ac:dyDescent="0.25">
      <c r="A379" s="15">
        <v>84003</v>
      </c>
      <c r="B379" s="13" t="s">
        <v>385</v>
      </c>
      <c r="C379" s="16">
        <v>21916520</v>
      </c>
      <c r="D379" s="34">
        <v>240.4494</v>
      </c>
      <c r="E379" s="16">
        <v>91148.158406716757</v>
      </c>
    </row>
    <row r="380" spans="1:5" x14ac:dyDescent="0.25">
      <c r="A380" s="15">
        <v>84004</v>
      </c>
      <c r="B380" s="13" t="s">
        <v>386</v>
      </c>
      <c r="C380" s="16">
        <v>22160074</v>
      </c>
      <c r="D380" s="34">
        <v>334.33120000000002</v>
      </c>
      <c r="E380" s="16">
        <v>66281.800801121761</v>
      </c>
    </row>
    <row r="381" spans="1:5" x14ac:dyDescent="0.25">
      <c r="A381" s="15">
        <v>84005</v>
      </c>
      <c r="B381" s="13" t="s">
        <v>387</v>
      </c>
      <c r="C381" s="16">
        <v>38238148</v>
      </c>
      <c r="D381" s="34">
        <v>506.47140000000002</v>
      </c>
      <c r="E381" s="16">
        <v>75499.125913131516</v>
      </c>
    </row>
    <row r="382" spans="1:5" x14ac:dyDescent="0.25">
      <c r="A382" s="15">
        <v>84006</v>
      </c>
      <c r="B382" s="13" t="s">
        <v>388</v>
      </c>
      <c r="C382" s="16">
        <v>43156527</v>
      </c>
      <c r="D382" s="34">
        <v>752.05370000000005</v>
      </c>
      <c r="E382" s="16">
        <v>57384.900838862966</v>
      </c>
    </row>
    <row r="383" spans="1:5" x14ac:dyDescent="0.25">
      <c r="A383" s="15">
        <v>85043</v>
      </c>
      <c r="B383" s="13" t="s">
        <v>389</v>
      </c>
      <c r="C383" s="16">
        <v>6210466</v>
      </c>
      <c r="D383" s="34">
        <v>65.778599999999997</v>
      </c>
      <c r="E383" s="16">
        <v>94414.688059642504</v>
      </c>
    </row>
    <row r="384" spans="1:5" x14ac:dyDescent="0.25">
      <c r="A384" s="15">
        <v>85044</v>
      </c>
      <c r="B384" s="13" t="s">
        <v>390</v>
      </c>
      <c r="C384" s="16">
        <v>36624950</v>
      </c>
      <c r="D384" s="34">
        <v>490.7912</v>
      </c>
      <c r="E384" s="16">
        <v>74624.300517205687</v>
      </c>
    </row>
    <row r="385" spans="1:5" x14ac:dyDescent="0.25">
      <c r="A385" s="15">
        <v>85045</v>
      </c>
      <c r="B385" s="13" t="s">
        <v>391</v>
      </c>
      <c r="C385" s="16">
        <v>37229065</v>
      </c>
      <c r="D385" s="34">
        <v>593.96010000000001</v>
      </c>
      <c r="E385" s="16">
        <v>62679.403885883919</v>
      </c>
    </row>
    <row r="386" spans="1:5" x14ac:dyDescent="0.25">
      <c r="A386" s="15">
        <v>85046</v>
      </c>
      <c r="B386" s="13" t="s">
        <v>392</v>
      </c>
      <c r="C386" s="16">
        <v>327685420</v>
      </c>
      <c r="D386" s="34">
        <v>4233.99</v>
      </c>
      <c r="E386" s="16">
        <v>77393.999513461298</v>
      </c>
    </row>
    <row r="387" spans="1:5" x14ac:dyDescent="0.25">
      <c r="A387" s="15">
        <v>85048</v>
      </c>
      <c r="B387" s="13" t="s">
        <v>393</v>
      </c>
      <c r="C387" s="16">
        <v>66152621</v>
      </c>
      <c r="D387" s="34">
        <v>878.42560000000003</v>
      </c>
      <c r="E387" s="16">
        <v>75308.166109913</v>
      </c>
    </row>
    <row r="388" spans="1:5" x14ac:dyDescent="0.25">
      <c r="A388" s="15">
        <v>85049</v>
      </c>
      <c r="B388" s="13" t="s">
        <v>394</v>
      </c>
      <c r="C388" s="16">
        <v>32863107</v>
      </c>
      <c r="D388" s="34">
        <v>533.34910000000002</v>
      </c>
      <c r="E388" s="16">
        <v>61616.504087097921</v>
      </c>
    </row>
    <row r="389" spans="1:5" x14ac:dyDescent="0.25">
      <c r="A389" s="15">
        <v>86100</v>
      </c>
      <c r="B389" s="13" t="s">
        <v>395</v>
      </c>
      <c r="C389" s="16">
        <v>89204235</v>
      </c>
      <c r="D389" s="34">
        <v>638.56399999999996</v>
      </c>
      <c r="E389" s="16">
        <v>139695.05797382878</v>
      </c>
    </row>
    <row r="390" spans="1:5" x14ac:dyDescent="0.25">
      <c r="A390" s="15">
        <v>87083</v>
      </c>
      <c r="B390" s="13" t="s">
        <v>396</v>
      </c>
      <c r="C390" s="16">
        <v>86391153</v>
      </c>
      <c r="D390" s="34">
        <v>699.25080000000003</v>
      </c>
      <c r="E390" s="16">
        <v>123548.16469283981</v>
      </c>
    </row>
    <row r="391" spans="1:5" x14ac:dyDescent="0.25">
      <c r="A391" s="15">
        <v>88072</v>
      </c>
      <c r="B391" s="13" t="s">
        <v>397</v>
      </c>
      <c r="C391" s="16">
        <v>27432592</v>
      </c>
      <c r="D391" s="34">
        <v>363.8775</v>
      </c>
      <c r="E391" s="16">
        <v>75389.635248126084</v>
      </c>
    </row>
    <row r="392" spans="1:5" x14ac:dyDescent="0.25">
      <c r="A392" s="15">
        <v>88073</v>
      </c>
      <c r="B392" s="13" t="s">
        <v>398</v>
      </c>
      <c r="C392" s="16">
        <v>16525837</v>
      </c>
      <c r="D392" s="34">
        <v>128.69370000000001</v>
      </c>
      <c r="E392" s="16">
        <v>128412.16780619408</v>
      </c>
    </row>
    <row r="393" spans="1:5" x14ac:dyDescent="0.25">
      <c r="A393" s="15">
        <v>88075</v>
      </c>
      <c r="B393" s="13" t="s">
        <v>399</v>
      </c>
      <c r="C393" s="16">
        <v>13172602</v>
      </c>
      <c r="D393" s="34">
        <v>187.81370000000001</v>
      </c>
      <c r="E393" s="16">
        <v>70136.534235787913</v>
      </c>
    </row>
    <row r="394" spans="1:5" x14ac:dyDescent="0.25">
      <c r="A394" s="15">
        <v>88080</v>
      </c>
      <c r="B394" s="13" t="s">
        <v>400</v>
      </c>
      <c r="C394" s="16">
        <v>166621523</v>
      </c>
      <c r="D394" s="34">
        <v>521.97289999999998</v>
      </c>
      <c r="E394" s="16">
        <v>319214.89219076314</v>
      </c>
    </row>
    <row r="395" spans="1:5" x14ac:dyDescent="0.25">
      <c r="A395" s="15">
        <v>88081</v>
      </c>
      <c r="B395" s="13" t="s">
        <v>401</v>
      </c>
      <c r="C395" s="16">
        <v>183629868</v>
      </c>
      <c r="D395" s="34">
        <v>2093.7777999999998</v>
      </c>
      <c r="E395" s="16">
        <v>87702.653070445202</v>
      </c>
    </row>
    <row r="396" spans="1:5" x14ac:dyDescent="0.25">
      <c r="A396" s="15">
        <v>89080</v>
      </c>
      <c r="B396" s="13" t="s">
        <v>402</v>
      </c>
      <c r="C396" s="16">
        <v>72634842</v>
      </c>
      <c r="D396" s="34">
        <v>1107.9374</v>
      </c>
      <c r="E396" s="16">
        <v>65558.615495785227</v>
      </c>
    </row>
    <row r="397" spans="1:5" x14ac:dyDescent="0.25">
      <c r="A397" s="15">
        <v>89087</v>
      </c>
      <c r="B397" s="13" t="s">
        <v>403</v>
      </c>
      <c r="C397" s="16">
        <v>24520884</v>
      </c>
      <c r="D397" s="34">
        <v>262.78300000000002</v>
      </c>
      <c r="E397" s="16">
        <v>93312.291891027955</v>
      </c>
    </row>
    <row r="398" spans="1:5" x14ac:dyDescent="0.25">
      <c r="A398" s="15">
        <v>89088</v>
      </c>
      <c r="B398" s="13" t="s">
        <v>404</v>
      </c>
      <c r="C398" s="16">
        <v>18624887</v>
      </c>
      <c r="D398" s="34">
        <v>208.97290000000001</v>
      </c>
      <c r="E398" s="16">
        <v>89125.84837555491</v>
      </c>
    </row>
    <row r="399" spans="1:5" x14ac:dyDescent="0.25">
      <c r="A399" s="15">
        <v>89089</v>
      </c>
      <c r="B399" s="13" t="s">
        <v>405</v>
      </c>
      <c r="C399" s="16">
        <v>121925712</v>
      </c>
      <c r="D399" s="34">
        <v>1383.1261999999999</v>
      </c>
      <c r="E399" s="16">
        <v>88152.268390259691</v>
      </c>
    </row>
    <row r="400" spans="1:5" x14ac:dyDescent="0.25">
      <c r="A400" s="15">
        <v>90075</v>
      </c>
      <c r="B400" s="13" t="s">
        <v>406</v>
      </c>
      <c r="C400" s="16">
        <v>6306132</v>
      </c>
      <c r="D400" s="34">
        <v>87.183599999999998</v>
      </c>
      <c r="E400" s="16">
        <v>72331.631178340889</v>
      </c>
    </row>
    <row r="401" spans="1:5" x14ac:dyDescent="0.25">
      <c r="A401" s="15">
        <v>90076</v>
      </c>
      <c r="B401" s="13" t="s">
        <v>407</v>
      </c>
      <c r="C401" s="16">
        <v>32827635</v>
      </c>
      <c r="D401" s="34">
        <v>450.63749999999999</v>
      </c>
      <c r="E401" s="16">
        <v>72847.099941749184</v>
      </c>
    </row>
    <row r="402" spans="1:5" x14ac:dyDescent="0.25">
      <c r="A402" s="15">
        <v>90077</v>
      </c>
      <c r="B402" s="13" t="s">
        <v>408</v>
      </c>
      <c r="C402" s="16">
        <v>70778425</v>
      </c>
      <c r="D402" s="34">
        <v>212.06049999999999</v>
      </c>
      <c r="E402" s="16">
        <v>333765.24623869132</v>
      </c>
    </row>
    <row r="403" spans="1:5" x14ac:dyDescent="0.25">
      <c r="A403" s="15">
        <v>90078</v>
      </c>
      <c r="B403" s="13" t="s">
        <v>409</v>
      </c>
      <c r="C403" s="16">
        <v>59073268</v>
      </c>
      <c r="D403" s="34">
        <v>212.57429999999999</v>
      </c>
      <c r="E403" s="16">
        <v>277894.68435271812</v>
      </c>
    </row>
    <row r="404" spans="1:5" x14ac:dyDescent="0.25">
      <c r="A404" s="15">
        <v>91091</v>
      </c>
      <c r="B404" s="13" t="s">
        <v>410</v>
      </c>
      <c r="C404" s="16">
        <v>11146484</v>
      </c>
      <c r="D404" s="34">
        <v>380.46809999999999</v>
      </c>
      <c r="E404" s="16">
        <v>29296.763644573621</v>
      </c>
    </row>
    <row r="405" spans="1:5" x14ac:dyDescent="0.25">
      <c r="A405" s="15">
        <v>91092</v>
      </c>
      <c r="B405" s="13" t="s">
        <v>411</v>
      </c>
      <c r="C405" s="16">
        <v>75274049</v>
      </c>
      <c r="D405" s="34">
        <v>1438.0306</v>
      </c>
      <c r="E405" s="16">
        <v>52345.234517262703</v>
      </c>
    </row>
    <row r="406" spans="1:5" x14ac:dyDescent="0.25">
      <c r="A406" s="15">
        <v>91093</v>
      </c>
      <c r="B406" s="13" t="s">
        <v>412</v>
      </c>
      <c r="C406" s="16">
        <v>6353016</v>
      </c>
      <c r="D406" s="34">
        <v>140.98750000000001</v>
      </c>
      <c r="E406" s="16">
        <v>45060.845819664857</v>
      </c>
    </row>
    <row r="407" spans="1:5" x14ac:dyDescent="0.25">
      <c r="A407" s="15">
        <v>91095</v>
      </c>
      <c r="B407" s="13" t="s">
        <v>413</v>
      </c>
      <c r="C407" s="16">
        <v>6393556</v>
      </c>
      <c r="D407" s="34">
        <v>98.623500000000007</v>
      </c>
      <c r="E407" s="16">
        <v>64827.916267421046</v>
      </c>
    </row>
    <row r="408" spans="1:5" x14ac:dyDescent="0.25">
      <c r="A408" s="15">
        <v>92087</v>
      </c>
      <c r="B408" s="13" t="s">
        <v>414</v>
      </c>
      <c r="C408" s="16">
        <v>2455390247</v>
      </c>
      <c r="D408" s="34">
        <v>16856.151900000001</v>
      </c>
      <c r="E408" s="16">
        <v>145667.30660513329</v>
      </c>
    </row>
    <row r="409" spans="1:5" x14ac:dyDescent="0.25">
      <c r="A409" s="15">
        <v>92088</v>
      </c>
      <c r="B409" s="13" t="s">
        <v>415</v>
      </c>
      <c r="C409" s="16">
        <v>2609792213</v>
      </c>
      <c r="D409" s="34">
        <v>15810.5136</v>
      </c>
      <c r="E409" s="16">
        <v>165066.88391198119</v>
      </c>
    </row>
    <row r="410" spans="1:5" x14ac:dyDescent="0.25">
      <c r="A410" s="15">
        <v>92089</v>
      </c>
      <c r="B410" s="13" t="s">
        <v>416</v>
      </c>
      <c r="C410" s="16">
        <v>2024469310</v>
      </c>
      <c r="D410" s="34">
        <v>15898.023800000001</v>
      </c>
      <c r="E410" s="16">
        <v>127340.94095393164</v>
      </c>
    </row>
    <row r="411" spans="1:5" x14ac:dyDescent="0.25">
      <c r="A411" s="15">
        <v>92090</v>
      </c>
      <c r="B411" s="13" t="s">
        <v>417</v>
      </c>
      <c r="C411" s="16">
        <v>1019594734</v>
      </c>
      <c r="D411" s="34">
        <v>4491.1611000000003</v>
      </c>
      <c r="E411" s="16">
        <v>227022.5251995525</v>
      </c>
    </row>
    <row r="412" spans="1:5" x14ac:dyDescent="0.25">
      <c r="A412" s="15">
        <v>92091</v>
      </c>
      <c r="B412" s="13" t="s">
        <v>418</v>
      </c>
      <c r="C412" s="16">
        <v>333602181</v>
      </c>
      <c r="D412" s="34">
        <v>1815.9739</v>
      </c>
      <c r="E412" s="16">
        <v>183704.28176308042</v>
      </c>
    </row>
    <row r="413" spans="1:5" x14ac:dyDescent="0.25">
      <c r="A413" s="15">
        <v>93120</v>
      </c>
      <c r="B413" s="13" t="s">
        <v>419</v>
      </c>
      <c r="C413" s="16">
        <v>28109558</v>
      </c>
      <c r="D413" s="34">
        <v>288.54860000000002</v>
      </c>
      <c r="E413" s="16">
        <v>97417.065963931193</v>
      </c>
    </row>
    <row r="414" spans="1:5" x14ac:dyDescent="0.25">
      <c r="A414" s="15">
        <v>93121</v>
      </c>
      <c r="B414" s="13" t="s">
        <v>420</v>
      </c>
      <c r="C414" s="16">
        <v>7128969</v>
      </c>
      <c r="D414" s="34">
        <v>81.291600000000003</v>
      </c>
      <c r="E414" s="16">
        <v>87696.256439779754</v>
      </c>
    </row>
    <row r="415" spans="1:5" x14ac:dyDescent="0.25">
      <c r="A415" s="15">
        <v>93123</v>
      </c>
      <c r="B415" s="13" t="s">
        <v>421</v>
      </c>
      <c r="C415" s="16">
        <v>33986617</v>
      </c>
      <c r="D415" s="34">
        <v>363.38490000000002</v>
      </c>
      <c r="E415" s="16">
        <v>93527.873612800089</v>
      </c>
    </row>
    <row r="416" spans="1:5" x14ac:dyDescent="0.25">
      <c r="A416" s="15">
        <v>93124</v>
      </c>
      <c r="B416" s="13" t="s">
        <v>422</v>
      </c>
      <c r="C416" s="16">
        <v>32538853</v>
      </c>
      <c r="D416" s="34">
        <v>420.88499999999999</v>
      </c>
      <c r="E416" s="16">
        <v>77310.555139765027</v>
      </c>
    </row>
    <row r="417" spans="1:5" x14ac:dyDescent="0.25">
      <c r="A417" s="15">
        <v>94076</v>
      </c>
      <c r="B417" s="13" t="s">
        <v>423</v>
      </c>
      <c r="C417" s="16">
        <v>29513433</v>
      </c>
      <c r="D417" s="34">
        <v>464.5317</v>
      </c>
      <c r="E417" s="16">
        <v>63533.733004658243</v>
      </c>
    </row>
    <row r="418" spans="1:5" x14ac:dyDescent="0.25">
      <c r="A418" s="15">
        <v>94078</v>
      </c>
      <c r="B418" s="13" t="s">
        <v>424</v>
      </c>
      <c r="C418" s="16">
        <v>376392730</v>
      </c>
      <c r="D418" s="34">
        <v>3715.2489999999998</v>
      </c>
      <c r="E418" s="16">
        <v>101310.22981232214</v>
      </c>
    </row>
    <row r="419" spans="1:5" x14ac:dyDescent="0.25">
      <c r="A419" s="15">
        <v>94083</v>
      </c>
      <c r="B419" s="13" t="s">
        <v>425</v>
      </c>
      <c r="C419" s="16">
        <v>177769375</v>
      </c>
      <c r="D419" s="34">
        <v>2709.5814999999998</v>
      </c>
      <c r="E419" s="16">
        <v>65607.687017349366</v>
      </c>
    </row>
    <row r="420" spans="1:5" x14ac:dyDescent="0.25">
      <c r="A420" s="15">
        <v>94086</v>
      </c>
      <c r="B420" s="13" t="s">
        <v>426</v>
      </c>
      <c r="C420" s="16">
        <v>106965735</v>
      </c>
      <c r="D420" s="34">
        <v>2057.3643999999999</v>
      </c>
      <c r="E420" s="16">
        <v>51991.633081626183</v>
      </c>
    </row>
    <row r="421" spans="1:5" x14ac:dyDescent="0.25">
      <c r="A421" s="15">
        <v>94087</v>
      </c>
      <c r="B421" s="13" t="s">
        <v>427</v>
      </c>
      <c r="C421" s="16">
        <v>47890395</v>
      </c>
      <c r="D421" s="34">
        <v>978.32259999999997</v>
      </c>
      <c r="E421" s="16">
        <v>48951.537049231003</v>
      </c>
    </row>
    <row r="422" spans="1:5" x14ac:dyDescent="0.25">
      <c r="A422" s="15">
        <v>95059</v>
      </c>
      <c r="B422" s="13" t="s">
        <v>428</v>
      </c>
      <c r="C422" s="16">
        <v>385653790</v>
      </c>
      <c r="D422" s="34">
        <v>1702.0438999999999</v>
      </c>
      <c r="E422" s="16">
        <v>226582.75147897186</v>
      </c>
    </row>
    <row r="423" spans="1:5" x14ac:dyDescent="0.25">
      <c r="A423" s="15">
        <v>96088</v>
      </c>
      <c r="B423" s="13" t="s">
        <v>429</v>
      </c>
      <c r="C423" s="16">
        <v>1669337000</v>
      </c>
      <c r="D423" s="34">
        <v>15520.0108</v>
      </c>
      <c r="E423" s="16">
        <v>107560.29886267862</v>
      </c>
    </row>
    <row r="424" spans="1:5" x14ac:dyDescent="0.25">
      <c r="A424" s="15">
        <v>96089</v>
      </c>
      <c r="B424" s="13" t="s">
        <v>430</v>
      </c>
      <c r="C424" s="16">
        <v>972132160</v>
      </c>
      <c r="D424" s="34">
        <v>8807.8084999999992</v>
      </c>
      <c r="E424" s="16">
        <v>110371.62763018748</v>
      </c>
    </row>
    <row r="425" spans="1:5" x14ac:dyDescent="0.25">
      <c r="A425" s="15">
        <v>96090</v>
      </c>
      <c r="B425" s="13" t="s">
        <v>431</v>
      </c>
      <c r="C425" s="16">
        <v>1372985520</v>
      </c>
      <c r="D425" s="34">
        <v>5613.2470999999996</v>
      </c>
      <c r="E425" s="16">
        <v>244597.37751434461</v>
      </c>
    </row>
    <row r="426" spans="1:5" x14ac:dyDescent="0.25">
      <c r="A426" s="15">
        <v>96091</v>
      </c>
      <c r="B426" s="13" t="s">
        <v>432</v>
      </c>
      <c r="C426" s="16">
        <v>3741365540</v>
      </c>
      <c r="D426" s="34">
        <v>19774.876499999998</v>
      </c>
      <c r="E426" s="16">
        <v>189197.92191875385</v>
      </c>
    </row>
    <row r="427" spans="1:5" x14ac:dyDescent="0.25">
      <c r="A427" s="15">
        <v>96092</v>
      </c>
      <c r="B427" s="13" t="s">
        <v>433</v>
      </c>
      <c r="C427" s="16">
        <v>1424650980</v>
      </c>
      <c r="D427" s="34">
        <v>5454.8509000000004</v>
      </c>
      <c r="E427" s="16">
        <v>261171.38783756673</v>
      </c>
    </row>
    <row r="428" spans="1:5" x14ac:dyDescent="0.25">
      <c r="A428" s="15">
        <v>96093</v>
      </c>
      <c r="B428" s="13" t="s">
        <v>434</v>
      </c>
      <c r="C428" s="16">
        <v>1372738740</v>
      </c>
      <c r="D428" s="34">
        <v>6479.7120999999997</v>
      </c>
      <c r="E428" s="16">
        <v>211851.81051485299</v>
      </c>
    </row>
    <row r="429" spans="1:5" x14ac:dyDescent="0.25">
      <c r="A429" s="15">
        <v>96094</v>
      </c>
      <c r="B429" s="13" t="s">
        <v>435</v>
      </c>
      <c r="C429" s="16">
        <v>1820805200</v>
      </c>
      <c r="D429" s="34">
        <v>9409.4603000000006</v>
      </c>
      <c r="E429" s="16">
        <v>193507.93158668195</v>
      </c>
    </row>
    <row r="430" spans="1:5" x14ac:dyDescent="0.25">
      <c r="A430" s="15">
        <v>96095</v>
      </c>
      <c r="B430" s="13" t="s">
        <v>436</v>
      </c>
      <c r="C430" s="16">
        <v>4684978070</v>
      </c>
      <c r="D430" s="34">
        <v>16754.159299999999</v>
      </c>
      <c r="E430" s="16">
        <v>279630.7463783038</v>
      </c>
    </row>
    <row r="431" spans="1:5" x14ac:dyDescent="0.25">
      <c r="A431" s="15">
        <v>96098</v>
      </c>
      <c r="B431" s="13" t="s">
        <v>437</v>
      </c>
      <c r="C431" s="16">
        <v>396841690</v>
      </c>
      <c r="D431" s="34">
        <v>2437.0113000000001</v>
      </c>
      <c r="E431" s="16">
        <v>162839.49524567241</v>
      </c>
    </row>
    <row r="432" spans="1:5" x14ac:dyDescent="0.25">
      <c r="A432" s="15">
        <v>96099</v>
      </c>
      <c r="B432" s="13" t="s">
        <v>438</v>
      </c>
      <c r="C432" s="16">
        <v>152398580</v>
      </c>
      <c r="D432" s="34">
        <v>1635.7221999999999</v>
      </c>
      <c r="E432" s="16">
        <v>93168.986763155757</v>
      </c>
    </row>
    <row r="433" spans="1:5" x14ac:dyDescent="0.25">
      <c r="A433" s="15">
        <v>96101</v>
      </c>
      <c r="B433" s="13" t="s">
        <v>439</v>
      </c>
      <c r="C433" s="16">
        <v>311706040</v>
      </c>
      <c r="D433" s="34">
        <v>720.70569999999998</v>
      </c>
      <c r="E433" s="16">
        <v>432501.14436447498</v>
      </c>
    </row>
    <row r="434" spans="1:5" x14ac:dyDescent="0.25">
      <c r="A434" s="15">
        <v>96102</v>
      </c>
      <c r="B434" s="13" t="s">
        <v>440</v>
      </c>
      <c r="C434" s="16">
        <v>1136240380</v>
      </c>
      <c r="D434" s="34">
        <v>2483.4398999999999</v>
      </c>
      <c r="E434" s="16">
        <v>457526.82800981012</v>
      </c>
    </row>
    <row r="435" spans="1:5" x14ac:dyDescent="0.25">
      <c r="A435" s="15">
        <v>96103</v>
      </c>
      <c r="B435" s="13" t="s">
        <v>441</v>
      </c>
      <c r="C435" s="16">
        <v>157044500</v>
      </c>
      <c r="D435" s="34">
        <v>1400.0300999999999</v>
      </c>
      <c r="E435" s="16">
        <v>112172.23115417305</v>
      </c>
    </row>
    <row r="436" spans="1:5" x14ac:dyDescent="0.25">
      <c r="A436" s="15">
        <v>96104</v>
      </c>
      <c r="B436" s="13" t="s">
        <v>442</v>
      </c>
      <c r="C436" s="16">
        <v>92564540</v>
      </c>
      <c r="D436" s="34">
        <v>2345.9665</v>
      </c>
      <c r="E436" s="16">
        <v>39456.88909027473</v>
      </c>
    </row>
    <row r="437" spans="1:5" x14ac:dyDescent="0.25">
      <c r="A437" s="15">
        <v>96106</v>
      </c>
      <c r="B437" s="13" t="s">
        <v>443</v>
      </c>
      <c r="C437" s="16">
        <v>1654225570</v>
      </c>
      <c r="D437" s="34">
        <v>3914.1244999999999</v>
      </c>
      <c r="E437" s="16">
        <v>422629.77838339075</v>
      </c>
    </row>
    <row r="438" spans="1:5" x14ac:dyDescent="0.25">
      <c r="A438" s="15">
        <v>96107</v>
      </c>
      <c r="B438" s="13" t="s">
        <v>444</v>
      </c>
      <c r="C438" s="16">
        <v>297752990</v>
      </c>
      <c r="D438" s="34">
        <v>1312.6962000000001</v>
      </c>
      <c r="E438" s="16">
        <v>226825.51377843553</v>
      </c>
    </row>
    <row r="439" spans="1:5" x14ac:dyDescent="0.25">
      <c r="A439" s="15">
        <v>96109</v>
      </c>
      <c r="B439" s="13" t="s">
        <v>521</v>
      </c>
      <c r="C439" s="16">
        <v>270121380</v>
      </c>
      <c r="D439" s="34">
        <v>3094.8146000000002</v>
      </c>
      <c r="E439" s="16">
        <v>87281.926355136093</v>
      </c>
    </row>
    <row r="440" spans="1:5" x14ac:dyDescent="0.25">
      <c r="A440" s="15">
        <v>96110</v>
      </c>
      <c r="B440" s="13" t="s">
        <v>445</v>
      </c>
      <c r="C440" s="16">
        <v>547885130</v>
      </c>
      <c r="D440" s="34">
        <v>5705.4045999999998</v>
      </c>
      <c r="E440" s="16">
        <v>96029.145768207221</v>
      </c>
    </row>
    <row r="441" spans="1:5" x14ac:dyDescent="0.25">
      <c r="A441" s="15">
        <v>96111</v>
      </c>
      <c r="B441" s="13" t="s">
        <v>446</v>
      </c>
      <c r="C441" s="16">
        <v>190423640</v>
      </c>
      <c r="D441" s="34">
        <v>4777.3082000000004</v>
      </c>
      <c r="E441" s="16">
        <v>39860.028289571099</v>
      </c>
    </row>
    <row r="442" spans="1:5" x14ac:dyDescent="0.25">
      <c r="A442" s="15">
        <v>96112</v>
      </c>
      <c r="B442" s="13" t="s">
        <v>447</v>
      </c>
      <c r="C442" s="16">
        <v>660791690</v>
      </c>
      <c r="D442" s="34">
        <v>2368.6266000000001</v>
      </c>
      <c r="E442" s="16">
        <v>278976.72431779664</v>
      </c>
    </row>
    <row r="443" spans="1:5" x14ac:dyDescent="0.25">
      <c r="A443" s="15">
        <v>96113</v>
      </c>
      <c r="B443" s="13" t="s">
        <v>448</v>
      </c>
      <c r="C443" s="16">
        <v>174992060</v>
      </c>
      <c r="D443" s="34">
        <v>809.13499999999999</v>
      </c>
      <c r="E443" s="16">
        <v>216270.53581911547</v>
      </c>
    </row>
    <row r="444" spans="1:5" x14ac:dyDescent="0.25">
      <c r="A444" s="15">
        <v>96114</v>
      </c>
      <c r="B444" s="13" t="s">
        <v>449</v>
      </c>
      <c r="C444" s="16">
        <v>809473870</v>
      </c>
      <c r="D444" s="34">
        <v>4286.0846000000001</v>
      </c>
      <c r="E444" s="16">
        <v>188860.91749098932</v>
      </c>
    </row>
    <row r="445" spans="1:5" x14ac:dyDescent="0.25">
      <c r="A445" s="15">
        <v>96119</v>
      </c>
      <c r="B445" s="13" t="s">
        <v>1581</v>
      </c>
      <c r="C445" s="16">
        <v>0</v>
      </c>
      <c r="D445" s="34">
        <v>1848.5833</v>
      </c>
      <c r="E445" s="16">
        <v>0</v>
      </c>
    </row>
    <row r="446" spans="1:5" x14ac:dyDescent="0.25">
      <c r="A446" s="15">
        <v>97116</v>
      </c>
      <c r="B446" s="13" t="s">
        <v>30</v>
      </c>
      <c r="C446" s="16">
        <v>10942259</v>
      </c>
      <c r="D446" s="34">
        <v>72.781199999999998</v>
      </c>
      <c r="E446" s="16">
        <v>150344.58074337878</v>
      </c>
    </row>
    <row r="447" spans="1:5" x14ac:dyDescent="0.25">
      <c r="A447" s="15">
        <v>97118</v>
      </c>
      <c r="B447" s="13" t="s">
        <v>450</v>
      </c>
      <c r="C447" s="16">
        <v>7488387</v>
      </c>
      <c r="D447" s="34">
        <v>61.739600000000003</v>
      </c>
      <c r="E447" s="16">
        <v>121289.85286590777</v>
      </c>
    </row>
    <row r="448" spans="1:5" x14ac:dyDescent="0.25">
      <c r="A448" s="15">
        <v>97119</v>
      </c>
      <c r="B448" s="13" t="s">
        <v>451</v>
      </c>
      <c r="C448" s="16">
        <v>12276163</v>
      </c>
      <c r="D448" s="34">
        <v>68.990899999999996</v>
      </c>
      <c r="E448" s="16">
        <v>177938.87309775638</v>
      </c>
    </row>
    <row r="449" spans="1:5" x14ac:dyDescent="0.25">
      <c r="A449" s="15">
        <v>97122</v>
      </c>
      <c r="B449" s="13" t="s">
        <v>452</v>
      </c>
      <c r="C449" s="16">
        <v>8999478</v>
      </c>
      <c r="D449" s="34">
        <v>73.173500000000004</v>
      </c>
      <c r="E449" s="16">
        <v>122988.21294594354</v>
      </c>
    </row>
    <row r="450" spans="1:5" x14ac:dyDescent="0.25">
      <c r="A450" s="15">
        <v>97127</v>
      </c>
      <c r="B450" s="13" t="s">
        <v>453</v>
      </c>
      <c r="C450" s="16">
        <v>3290616</v>
      </c>
      <c r="D450" s="34">
        <v>46.669699999999999</v>
      </c>
      <c r="E450" s="16">
        <v>70508.616939898915</v>
      </c>
    </row>
    <row r="451" spans="1:5" x14ac:dyDescent="0.25">
      <c r="A451" s="15">
        <v>97129</v>
      </c>
      <c r="B451" s="13" t="s">
        <v>454</v>
      </c>
      <c r="C451" s="16">
        <v>170069732</v>
      </c>
      <c r="D451" s="34">
        <v>2336.6043</v>
      </c>
      <c r="E451" s="16">
        <v>72784.994874827549</v>
      </c>
    </row>
    <row r="452" spans="1:5" x14ac:dyDescent="0.25">
      <c r="A452" s="15">
        <v>97130</v>
      </c>
      <c r="B452" s="13" t="s">
        <v>455</v>
      </c>
      <c r="C452" s="16">
        <v>20987162</v>
      </c>
      <c r="D452" s="34">
        <v>284.80340000000001</v>
      </c>
      <c r="E452" s="16">
        <v>73689.998082888051</v>
      </c>
    </row>
    <row r="453" spans="1:5" x14ac:dyDescent="0.25">
      <c r="A453" s="15">
        <v>97131</v>
      </c>
      <c r="B453" s="13" t="s">
        <v>456</v>
      </c>
      <c r="C453" s="16">
        <v>33866136</v>
      </c>
      <c r="D453" s="34">
        <v>395.44850000000002</v>
      </c>
      <c r="E453" s="16">
        <v>85639.814033938674</v>
      </c>
    </row>
    <row r="454" spans="1:5" x14ac:dyDescent="0.25">
      <c r="A454" s="15">
        <v>98080</v>
      </c>
      <c r="B454" s="13" t="s">
        <v>457</v>
      </c>
      <c r="C454" s="16">
        <v>46404057</v>
      </c>
      <c r="D454" s="34">
        <v>531.60820000000001</v>
      </c>
      <c r="E454" s="16">
        <v>87289.957152654912</v>
      </c>
    </row>
    <row r="455" spans="1:5" x14ac:dyDescent="0.25">
      <c r="A455" s="15">
        <v>99082</v>
      </c>
      <c r="B455" s="13" t="s">
        <v>458</v>
      </c>
      <c r="C455" s="16">
        <v>69590899</v>
      </c>
      <c r="D455" s="34">
        <v>552.02679999999998</v>
      </c>
      <c r="E455" s="16">
        <v>126064.34868741881</v>
      </c>
    </row>
    <row r="456" spans="1:5" x14ac:dyDescent="0.25">
      <c r="A456" s="15">
        <v>100059</v>
      </c>
      <c r="B456" s="13" t="s">
        <v>459</v>
      </c>
      <c r="C456" s="16">
        <v>60994260</v>
      </c>
      <c r="D456" s="34">
        <v>791.74570000000006</v>
      </c>
      <c r="E456" s="16">
        <v>77037.690258374627</v>
      </c>
    </row>
    <row r="457" spans="1:5" x14ac:dyDescent="0.25">
      <c r="A457" s="15">
        <v>100060</v>
      </c>
      <c r="B457" s="13" t="s">
        <v>460</v>
      </c>
      <c r="C457" s="16">
        <v>25991510</v>
      </c>
      <c r="D457" s="34">
        <v>614.10829999999999</v>
      </c>
      <c r="E457" s="16">
        <v>42323.984222326908</v>
      </c>
    </row>
    <row r="458" spans="1:5" x14ac:dyDescent="0.25">
      <c r="A458" s="15">
        <v>100061</v>
      </c>
      <c r="B458" s="13" t="s">
        <v>461</v>
      </c>
      <c r="C458" s="16">
        <v>65908430</v>
      </c>
      <c r="D458" s="34">
        <v>847.47889999999995</v>
      </c>
      <c r="E458" s="16">
        <v>77769.995217580057</v>
      </c>
    </row>
    <row r="459" spans="1:5" x14ac:dyDescent="0.25">
      <c r="A459" s="15">
        <v>100062</v>
      </c>
      <c r="B459" s="13" t="s">
        <v>462</v>
      </c>
      <c r="C459" s="16">
        <v>18082310</v>
      </c>
      <c r="D459" s="34">
        <v>245.87219999999999</v>
      </c>
      <c r="E459" s="16">
        <v>73543.531964980182</v>
      </c>
    </row>
    <row r="460" spans="1:5" x14ac:dyDescent="0.25">
      <c r="A460" s="15">
        <v>100063</v>
      </c>
      <c r="B460" s="13" t="s">
        <v>463</v>
      </c>
      <c r="C460" s="16">
        <v>259486809</v>
      </c>
      <c r="D460" s="34">
        <v>3086.5007999999998</v>
      </c>
      <c r="E460" s="16">
        <v>84071.518465182322</v>
      </c>
    </row>
    <row r="461" spans="1:5" x14ac:dyDescent="0.25">
      <c r="A461" s="15">
        <v>100064</v>
      </c>
      <c r="B461" s="13" t="s">
        <v>464</v>
      </c>
      <c r="C461" s="16">
        <v>28681210</v>
      </c>
      <c r="D461" s="34">
        <v>149.34110000000001</v>
      </c>
      <c r="E461" s="16">
        <v>192051.68570473901</v>
      </c>
    </row>
    <row r="462" spans="1:5" x14ac:dyDescent="0.25">
      <c r="A462" s="15">
        <v>100065</v>
      </c>
      <c r="B462" s="13" t="s">
        <v>465</v>
      </c>
      <c r="C462" s="16">
        <v>24122608</v>
      </c>
      <c r="D462" s="34">
        <v>339.93950000000001</v>
      </c>
      <c r="E462" s="16">
        <v>70961.474026995973</v>
      </c>
    </row>
    <row r="463" spans="1:5" x14ac:dyDescent="0.25">
      <c r="A463" s="15">
        <v>101105</v>
      </c>
      <c r="B463" s="13" t="s">
        <v>466</v>
      </c>
      <c r="C463" s="16">
        <v>19419672</v>
      </c>
      <c r="D463" s="34">
        <v>434.59559999999999</v>
      </c>
      <c r="E463" s="16">
        <v>44684.465282207188</v>
      </c>
    </row>
    <row r="464" spans="1:5" x14ac:dyDescent="0.25">
      <c r="A464" s="15">
        <v>101107</v>
      </c>
      <c r="B464" s="13" t="s">
        <v>467</v>
      </c>
      <c r="C464" s="16">
        <v>23372752</v>
      </c>
      <c r="D464" s="34">
        <v>257.49329999999998</v>
      </c>
      <c r="E464" s="16">
        <v>90770.330723168343</v>
      </c>
    </row>
    <row r="465" spans="1:5" x14ac:dyDescent="0.25">
      <c r="A465" s="15">
        <v>102081</v>
      </c>
      <c r="B465" s="13" t="s">
        <v>468</v>
      </c>
      <c r="C465" s="16">
        <v>36970477</v>
      </c>
      <c r="D465" s="34">
        <v>260.67039999999997</v>
      </c>
      <c r="E465" s="16">
        <v>141828.44312204226</v>
      </c>
    </row>
    <row r="466" spans="1:5" x14ac:dyDescent="0.25">
      <c r="A466" s="15">
        <v>102085</v>
      </c>
      <c r="B466" s="13" t="s">
        <v>469</v>
      </c>
      <c r="C466" s="16">
        <v>64031884</v>
      </c>
      <c r="D466" s="34">
        <v>671.75189999999998</v>
      </c>
      <c r="E466" s="16">
        <v>95320.733741132703</v>
      </c>
    </row>
    <row r="467" spans="1:5" x14ac:dyDescent="0.25">
      <c r="A467" s="15">
        <v>103127</v>
      </c>
      <c r="B467" s="13" t="s">
        <v>470</v>
      </c>
      <c r="C467" s="16">
        <v>29248826</v>
      </c>
      <c r="D467" s="34">
        <v>265.54289999999997</v>
      </c>
      <c r="E467" s="16">
        <v>110147.27187207794</v>
      </c>
    </row>
    <row r="468" spans="1:5" x14ac:dyDescent="0.25">
      <c r="A468" s="15">
        <v>103128</v>
      </c>
      <c r="B468" s="13" t="s">
        <v>471</v>
      </c>
      <c r="C468" s="16">
        <v>36242023</v>
      </c>
      <c r="D468" s="34">
        <v>223.77260000000001</v>
      </c>
      <c r="E468" s="16">
        <v>161959.16300744595</v>
      </c>
    </row>
    <row r="469" spans="1:5" x14ac:dyDescent="0.25">
      <c r="A469" s="15">
        <v>103129</v>
      </c>
      <c r="B469" s="13" t="s">
        <v>472</v>
      </c>
      <c r="C469" s="16">
        <v>34163933</v>
      </c>
      <c r="D469" s="34">
        <v>427.14190000000002</v>
      </c>
      <c r="E469" s="16">
        <v>79982.631064758563</v>
      </c>
    </row>
    <row r="470" spans="1:5" x14ac:dyDescent="0.25">
      <c r="A470" s="15">
        <v>103130</v>
      </c>
      <c r="B470" s="13" t="s">
        <v>473</v>
      </c>
      <c r="C470" s="16">
        <v>45604901</v>
      </c>
      <c r="D470" s="34">
        <v>799.41539999999998</v>
      </c>
      <c r="E470" s="16">
        <v>57047.813940036685</v>
      </c>
    </row>
    <row r="471" spans="1:5" x14ac:dyDescent="0.25">
      <c r="A471" s="15">
        <v>103131</v>
      </c>
      <c r="B471" s="13" t="s">
        <v>474</v>
      </c>
      <c r="C471" s="16">
        <v>50690632</v>
      </c>
      <c r="D471" s="34">
        <v>598.12239999999997</v>
      </c>
      <c r="E471" s="16">
        <v>84749.596403679257</v>
      </c>
    </row>
    <row r="472" spans="1:5" x14ac:dyDescent="0.25">
      <c r="A472" s="15">
        <v>103132</v>
      </c>
      <c r="B472" s="13" t="s">
        <v>475</v>
      </c>
      <c r="C472" s="16">
        <v>192195730</v>
      </c>
      <c r="D472" s="34">
        <v>1995.8465000000001</v>
      </c>
      <c r="E472" s="16">
        <v>96297.85156323394</v>
      </c>
    </row>
    <row r="473" spans="1:5" x14ac:dyDescent="0.25">
      <c r="A473" s="15">
        <v>103135</v>
      </c>
      <c r="B473" s="13" t="s">
        <v>476</v>
      </c>
      <c r="C473" s="16">
        <v>37403876</v>
      </c>
      <c r="D473" s="34">
        <v>490.03500000000003</v>
      </c>
      <c r="E473" s="16">
        <v>76328.988745701834</v>
      </c>
    </row>
    <row r="474" spans="1:5" x14ac:dyDescent="0.25">
      <c r="A474" s="15">
        <v>104041</v>
      </c>
      <c r="B474" s="13" t="s">
        <v>477</v>
      </c>
      <c r="C474" s="16">
        <v>12756018</v>
      </c>
      <c r="D474" s="34">
        <v>205.61850000000001</v>
      </c>
      <c r="E474" s="16">
        <v>62037.306954383967</v>
      </c>
    </row>
    <row r="475" spans="1:5" x14ac:dyDescent="0.25">
      <c r="A475" s="15">
        <v>104042</v>
      </c>
      <c r="B475" s="13" t="s">
        <v>478</v>
      </c>
      <c r="C475" s="16">
        <v>34018503</v>
      </c>
      <c r="D475" s="34">
        <v>463.09300000000002</v>
      </c>
      <c r="E475" s="16">
        <v>73459.333222484463</v>
      </c>
    </row>
    <row r="476" spans="1:5" x14ac:dyDescent="0.25">
      <c r="A476" s="15">
        <v>104043</v>
      </c>
      <c r="B476" s="13" t="s">
        <v>479</v>
      </c>
      <c r="C476" s="16">
        <v>28924688</v>
      </c>
      <c r="D476" s="34">
        <v>529.8519</v>
      </c>
      <c r="E476" s="16">
        <v>54590.137357250205</v>
      </c>
    </row>
    <row r="477" spans="1:5" x14ac:dyDescent="0.25">
      <c r="A477" s="15">
        <v>104044</v>
      </c>
      <c r="B477" s="13" t="s">
        <v>480</v>
      </c>
      <c r="C477" s="16">
        <v>393989449</v>
      </c>
      <c r="D477" s="34">
        <v>1652.4730999999999</v>
      </c>
      <c r="E477" s="16">
        <v>238424.12260750268</v>
      </c>
    </row>
    <row r="478" spans="1:5" x14ac:dyDescent="0.25">
      <c r="A478" s="15">
        <v>104045</v>
      </c>
      <c r="B478" s="13" t="s">
        <v>481</v>
      </c>
      <c r="C478" s="16">
        <v>121986092</v>
      </c>
      <c r="D478" s="34">
        <v>507.27589999999998</v>
      </c>
      <c r="E478" s="16">
        <v>240472.87087756387</v>
      </c>
    </row>
    <row r="479" spans="1:5" x14ac:dyDescent="0.25">
      <c r="A479" s="15">
        <v>105123</v>
      </c>
      <c r="B479" s="13" t="s">
        <v>482</v>
      </c>
      <c r="C479" s="16">
        <v>24561183</v>
      </c>
      <c r="D479" s="34">
        <v>238.6961</v>
      </c>
      <c r="E479" s="16">
        <v>102897.29492857236</v>
      </c>
    </row>
    <row r="480" spans="1:5" x14ac:dyDescent="0.25">
      <c r="A480" s="15">
        <v>105124</v>
      </c>
      <c r="B480" s="13" t="s">
        <v>483</v>
      </c>
      <c r="C480" s="16">
        <v>46557375</v>
      </c>
      <c r="D480" s="34">
        <v>636.98080000000004</v>
      </c>
      <c r="E480" s="16">
        <v>73090.703832831379</v>
      </c>
    </row>
    <row r="481" spans="1:5" x14ac:dyDescent="0.25">
      <c r="A481" s="15">
        <v>105125</v>
      </c>
      <c r="B481" s="13" t="s">
        <v>484</v>
      </c>
      <c r="C481" s="16">
        <v>11112975</v>
      </c>
      <c r="D481" s="34">
        <v>74.261300000000006</v>
      </c>
      <c r="E481" s="16">
        <v>149646.92242123419</v>
      </c>
    </row>
    <row r="482" spans="1:5" x14ac:dyDescent="0.25">
      <c r="A482" s="15">
        <v>106001</v>
      </c>
      <c r="B482" s="13" t="s">
        <v>485</v>
      </c>
      <c r="C482" s="16">
        <v>8804840</v>
      </c>
      <c r="D482" s="34">
        <v>179.3639</v>
      </c>
      <c r="E482" s="16">
        <v>49089.253746155162</v>
      </c>
    </row>
    <row r="483" spans="1:5" x14ac:dyDescent="0.25">
      <c r="A483" s="15">
        <v>106002</v>
      </c>
      <c r="B483" s="13" t="s">
        <v>486</v>
      </c>
      <c r="C483" s="16">
        <v>12099040</v>
      </c>
      <c r="D483" s="34">
        <v>197.05789999999999</v>
      </c>
      <c r="E483" s="16">
        <v>61398.401180566732</v>
      </c>
    </row>
    <row r="484" spans="1:5" x14ac:dyDescent="0.25">
      <c r="A484" s="15">
        <v>106003</v>
      </c>
      <c r="B484" s="13" t="s">
        <v>487</v>
      </c>
      <c r="C484" s="16">
        <v>83285670</v>
      </c>
      <c r="D484" s="34">
        <v>1058.9194</v>
      </c>
      <c r="E484" s="16">
        <v>78651.566870906317</v>
      </c>
    </row>
    <row r="485" spans="1:5" x14ac:dyDescent="0.25">
      <c r="A485" s="15">
        <v>106004</v>
      </c>
      <c r="B485" s="13" t="s">
        <v>488</v>
      </c>
      <c r="C485" s="16">
        <v>652439130</v>
      </c>
      <c r="D485" s="34">
        <v>4325.3204999999998</v>
      </c>
      <c r="E485" s="16">
        <v>150841.80004695605</v>
      </c>
    </row>
    <row r="486" spans="1:5" x14ac:dyDescent="0.25">
      <c r="A486" s="15">
        <v>106005</v>
      </c>
      <c r="B486" s="13" t="s">
        <v>489</v>
      </c>
      <c r="C486" s="16">
        <v>208371957</v>
      </c>
      <c r="D486" s="34">
        <v>1292.4944</v>
      </c>
      <c r="E486" s="16">
        <v>161216.91281602459</v>
      </c>
    </row>
    <row r="487" spans="1:5" x14ac:dyDescent="0.25">
      <c r="A487" s="15">
        <v>106006</v>
      </c>
      <c r="B487" s="13" t="s">
        <v>490</v>
      </c>
      <c r="C487" s="16">
        <v>38954499</v>
      </c>
      <c r="D487" s="34">
        <v>352.19470000000001</v>
      </c>
      <c r="E487" s="16">
        <v>110605.01194367775</v>
      </c>
    </row>
    <row r="488" spans="1:5" x14ac:dyDescent="0.25">
      <c r="A488" s="15">
        <v>106008</v>
      </c>
      <c r="B488" s="13" t="s">
        <v>491</v>
      </c>
      <c r="C488" s="16">
        <v>7711472</v>
      </c>
      <c r="D488" s="34">
        <v>54.709699999999998</v>
      </c>
      <c r="E488" s="16">
        <v>140952.55503137471</v>
      </c>
    </row>
    <row r="489" spans="1:5" x14ac:dyDescent="0.25">
      <c r="A489" s="15">
        <v>107151</v>
      </c>
      <c r="B489" s="13" t="s">
        <v>492</v>
      </c>
      <c r="C489" s="16">
        <v>9053379</v>
      </c>
      <c r="D489" s="34">
        <v>119.0283</v>
      </c>
      <c r="E489" s="16">
        <v>76060.726734734519</v>
      </c>
    </row>
    <row r="490" spans="1:5" x14ac:dyDescent="0.25">
      <c r="A490" s="15">
        <v>107152</v>
      </c>
      <c r="B490" s="13" t="s">
        <v>493</v>
      </c>
      <c r="C490" s="16">
        <v>60912474</v>
      </c>
      <c r="D490" s="34">
        <v>894.33360000000005</v>
      </c>
      <c r="E490" s="16">
        <v>68109.343090766124</v>
      </c>
    </row>
    <row r="491" spans="1:5" x14ac:dyDescent="0.25">
      <c r="A491" s="15">
        <v>107153</v>
      </c>
      <c r="B491" s="13" t="s">
        <v>494</v>
      </c>
      <c r="C491" s="16">
        <v>29973169</v>
      </c>
      <c r="D491" s="34">
        <v>404.00130000000001</v>
      </c>
      <c r="E491" s="16">
        <v>74190.773643550157</v>
      </c>
    </row>
    <row r="492" spans="1:5" x14ac:dyDescent="0.25">
      <c r="A492" s="15">
        <v>107154</v>
      </c>
      <c r="B492" s="13" t="s">
        <v>495</v>
      </c>
      <c r="C492" s="16">
        <v>42661034</v>
      </c>
      <c r="D492" s="34">
        <v>726.1979</v>
      </c>
      <c r="E492" s="16">
        <v>58745.741346814691</v>
      </c>
    </row>
    <row r="493" spans="1:5" x14ac:dyDescent="0.25">
      <c r="A493" s="15">
        <v>107155</v>
      </c>
      <c r="B493" s="13" t="s">
        <v>496</v>
      </c>
      <c r="C493" s="16">
        <v>57187344</v>
      </c>
      <c r="D493" s="34">
        <v>719.80820000000006</v>
      </c>
      <c r="E493" s="16">
        <v>79448.030739299706</v>
      </c>
    </row>
    <row r="494" spans="1:5" x14ac:dyDescent="0.25">
      <c r="A494" s="15">
        <v>107156</v>
      </c>
      <c r="B494" s="13" t="s">
        <v>497</v>
      </c>
      <c r="C494" s="16">
        <v>35835895</v>
      </c>
      <c r="D494" s="34">
        <v>501.91919999999999</v>
      </c>
      <c r="E494" s="16">
        <v>71397.736926581012</v>
      </c>
    </row>
    <row r="495" spans="1:5" x14ac:dyDescent="0.25">
      <c r="A495" s="15">
        <v>107158</v>
      </c>
      <c r="B495" s="13" t="s">
        <v>498</v>
      </c>
      <c r="C495" s="16">
        <v>9747649</v>
      </c>
      <c r="D495" s="34">
        <v>184.85489999999999</v>
      </c>
      <c r="E495" s="16">
        <v>52731.353077467793</v>
      </c>
    </row>
    <row r="496" spans="1:5" x14ac:dyDescent="0.25">
      <c r="A496" s="15">
        <v>108142</v>
      </c>
      <c r="B496" s="13" t="s">
        <v>499</v>
      </c>
      <c r="C496" s="16">
        <v>175889093</v>
      </c>
      <c r="D496" s="34">
        <v>2247.7855</v>
      </c>
      <c r="E496" s="16">
        <v>78249.945557527622</v>
      </c>
    </row>
    <row r="497" spans="1:5" x14ac:dyDescent="0.25">
      <c r="A497" s="15">
        <v>108143</v>
      </c>
      <c r="B497" s="31" t="s">
        <v>500</v>
      </c>
      <c r="C497" s="16">
        <v>14067794</v>
      </c>
      <c r="D497" s="34">
        <v>161.89019999999999</v>
      </c>
      <c r="E497" s="16">
        <v>86897.131512593114</v>
      </c>
    </row>
    <row r="498" spans="1:5" x14ac:dyDescent="0.25">
      <c r="A498" s="15">
        <v>108144</v>
      </c>
      <c r="B498" s="13" t="s">
        <v>501</v>
      </c>
      <c r="C498" s="16">
        <v>12113907</v>
      </c>
      <c r="D498" s="34">
        <v>175.6525</v>
      </c>
      <c r="E498" s="16">
        <v>68965.18409928694</v>
      </c>
    </row>
    <row r="499" spans="1:5" x14ac:dyDescent="0.25">
      <c r="A499" s="15">
        <v>108147</v>
      </c>
      <c r="B499" s="13" t="s">
        <v>502</v>
      </c>
      <c r="C499" s="16">
        <v>19225371</v>
      </c>
      <c r="D499" s="34">
        <v>194.9683</v>
      </c>
      <c r="E499" s="16">
        <v>98607.676222237147</v>
      </c>
    </row>
    <row r="500" spans="1:5" x14ac:dyDescent="0.25">
      <c r="A500" s="15">
        <v>109002</v>
      </c>
      <c r="B500" s="13" t="s">
        <v>522</v>
      </c>
      <c r="C500" s="16">
        <v>209857927</v>
      </c>
      <c r="D500" s="34">
        <v>1610.9825000000001</v>
      </c>
      <c r="E500" s="16">
        <v>130267.04324845242</v>
      </c>
    </row>
    <row r="501" spans="1:5" x14ac:dyDescent="0.25">
      <c r="A501" s="15">
        <v>109003</v>
      </c>
      <c r="B501" s="13" t="s">
        <v>503</v>
      </c>
      <c r="C501" s="16">
        <v>282774850</v>
      </c>
      <c r="D501" s="34">
        <v>2852.3044</v>
      </c>
      <c r="E501" s="16">
        <v>99139.085575859295</v>
      </c>
    </row>
    <row r="502" spans="1:5" x14ac:dyDescent="0.25">
      <c r="A502" s="15">
        <v>110014</v>
      </c>
      <c r="B502" s="13" t="s">
        <v>504</v>
      </c>
      <c r="C502" s="16">
        <v>31808756</v>
      </c>
      <c r="D502" s="34">
        <v>793.58640000000003</v>
      </c>
      <c r="E502" s="16">
        <v>40082.284676249488</v>
      </c>
    </row>
    <row r="503" spans="1:5" x14ac:dyDescent="0.25">
      <c r="A503" s="15">
        <v>110029</v>
      </c>
      <c r="B503" s="13" t="s">
        <v>505</v>
      </c>
      <c r="C503" s="16">
        <v>93248563</v>
      </c>
      <c r="D503" s="34">
        <v>1998.7409</v>
      </c>
      <c r="E503" s="16">
        <v>46653.652306809752</v>
      </c>
    </row>
    <row r="504" spans="1:5" x14ac:dyDescent="0.25">
      <c r="A504" s="15">
        <v>110030</v>
      </c>
      <c r="B504" s="13" t="s">
        <v>506</v>
      </c>
      <c r="C504" s="16">
        <v>13872200</v>
      </c>
      <c r="D504" s="34">
        <v>235.43190000000001</v>
      </c>
      <c r="E504" s="16">
        <v>58922.34654692078</v>
      </c>
    </row>
    <row r="505" spans="1:5" x14ac:dyDescent="0.25">
      <c r="A505" s="15">
        <v>110031</v>
      </c>
      <c r="B505" s="13" t="s">
        <v>507</v>
      </c>
      <c r="C505" s="16">
        <v>25322450</v>
      </c>
      <c r="D505" s="34">
        <v>349.20229999999998</v>
      </c>
      <c r="E505" s="16">
        <v>72515.129482251403</v>
      </c>
    </row>
    <row r="506" spans="1:5" x14ac:dyDescent="0.25">
      <c r="A506" s="15">
        <v>111086</v>
      </c>
      <c r="B506" s="13" t="s">
        <v>508</v>
      </c>
      <c r="C506" s="16">
        <v>45687540</v>
      </c>
      <c r="D506" s="34">
        <v>691.82299999999998</v>
      </c>
      <c r="E506" s="16">
        <v>66039.348214789046</v>
      </c>
    </row>
    <row r="507" spans="1:5" x14ac:dyDescent="0.25">
      <c r="A507" s="15">
        <v>111087</v>
      </c>
      <c r="B507" s="13" t="s">
        <v>509</v>
      </c>
      <c r="C507" s="16">
        <v>67645352</v>
      </c>
      <c r="D507" s="34">
        <v>913.88789999999995</v>
      </c>
      <c r="E507" s="16">
        <v>74019.310245818997</v>
      </c>
    </row>
    <row r="508" spans="1:5" x14ac:dyDescent="0.25">
      <c r="A508" s="15">
        <v>112099</v>
      </c>
      <c r="B508" s="13" t="s">
        <v>510</v>
      </c>
      <c r="C508" s="16">
        <v>17435895</v>
      </c>
      <c r="D508" s="34">
        <v>286.73660000000001</v>
      </c>
      <c r="E508" s="16">
        <v>60808.055197697118</v>
      </c>
    </row>
    <row r="509" spans="1:5" x14ac:dyDescent="0.25">
      <c r="A509" s="15">
        <v>112101</v>
      </c>
      <c r="B509" s="13" t="s">
        <v>511</v>
      </c>
      <c r="C509" s="16">
        <v>36830932</v>
      </c>
      <c r="D509" s="34">
        <v>535.66610000000003</v>
      </c>
      <c r="E509" s="16">
        <v>68757.257552792682</v>
      </c>
    </row>
    <row r="510" spans="1:5" x14ac:dyDescent="0.25">
      <c r="A510" s="15">
        <v>112102</v>
      </c>
      <c r="B510" s="13" t="s">
        <v>512</v>
      </c>
      <c r="C510" s="16">
        <v>212956072</v>
      </c>
      <c r="D510" s="34">
        <v>2839.2779999999998</v>
      </c>
      <c r="E510" s="16">
        <v>75003.600211039578</v>
      </c>
    </row>
    <row r="511" spans="1:5" x14ac:dyDescent="0.25">
      <c r="A511" s="15">
        <v>112103</v>
      </c>
      <c r="B511" s="13" t="s">
        <v>513</v>
      </c>
      <c r="C511" s="16">
        <v>55752532</v>
      </c>
      <c r="D511" s="34">
        <v>644.47990000000004</v>
      </c>
      <c r="E511" s="16">
        <v>86507.790235195847</v>
      </c>
    </row>
    <row r="512" spans="1:5" x14ac:dyDescent="0.25">
      <c r="A512" s="15">
        <v>113001</v>
      </c>
      <c r="B512" s="13" t="s">
        <v>514</v>
      </c>
      <c r="C512" s="16">
        <v>28606120</v>
      </c>
      <c r="D512" s="34">
        <v>285.05070000000001</v>
      </c>
      <c r="E512" s="16">
        <v>100354.49834011984</v>
      </c>
    </row>
    <row r="513" spans="1:5" x14ac:dyDescent="0.25">
      <c r="A513" s="15">
        <v>114112</v>
      </c>
      <c r="B513" s="13" t="s">
        <v>515</v>
      </c>
      <c r="C513" s="16">
        <v>18576322</v>
      </c>
      <c r="D513" s="34">
        <v>326.85899999999998</v>
      </c>
      <c r="E513" s="16">
        <v>56832.830058220825</v>
      </c>
    </row>
    <row r="514" spans="1:5" x14ac:dyDescent="0.25">
      <c r="A514" s="15">
        <v>114113</v>
      </c>
      <c r="B514" s="13" t="s">
        <v>516</v>
      </c>
      <c r="C514" s="16">
        <v>40925041</v>
      </c>
      <c r="D514" s="34">
        <v>671.72730000000001</v>
      </c>
      <c r="E514" s="16">
        <v>60925.082246917758</v>
      </c>
    </row>
    <row r="515" spans="1:5" x14ac:dyDescent="0.25">
      <c r="A515" s="15">
        <v>114114</v>
      </c>
      <c r="B515" s="13" t="s">
        <v>517</v>
      </c>
      <c r="C515" s="16">
        <v>98662247</v>
      </c>
      <c r="D515" s="34">
        <v>1328.2136</v>
      </c>
      <c r="E515" s="16">
        <v>74281.91293930434</v>
      </c>
    </row>
    <row r="516" spans="1:5" x14ac:dyDescent="0.25">
      <c r="A516" s="15">
        <v>114115</v>
      </c>
      <c r="B516" s="13" t="s">
        <v>518</v>
      </c>
      <c r="C516" s="16">
        <v>39727821</v>
      </c>
      <c r="D516" s="34">
        <v>662.19039999999995</v>
      </c>
      <c r="E516" s="16">
        <v>59994.558966726188</v>
      </c>
    </row>
    <row r="517" spans="1:5" x14ac:dyDescent="0.25">
      <c r="A517" s="15">
        <v>114116</v>
      </c>
      <c r="B517" s="13" t="s">
        <v>519</v>
      </c>
      <c r="C517" s="16">
        <v>5466343</v>
      </c>
      <c r="D517" s="34">
        <v>66.150999999999996</v>
      </c>
      <c r="E517" s="16">
        <v>82634.32147662167</v>
      </c>
    </row>
    <row r="518" spans="1:5" x14ac:dyDescent="0.25">
      <c r="A518" s="15">
        <v>115115</v>
      </c>
      <c r="B518" s="13" t="s">
        <v>1586</v>
      </c>
      <c r="C518" s="16">
        <v>4201814836</v>
      </c>
      <c r="D518" s="34">
        <v>29957.653899999998</v>
      </c>
      <c r="E518" s="16">
        <v>140258.47451291906</v>
      </c>
    </row>
    <row r="519" spans="1:5" x14ac:dyDescent="0.25">
      <c r="E519" s="16"/>
    </row>
    <row r="520" spans="1:5" ht="15.75" thickBot="1" x14ac:dyDescent="0.3">
      <c r="A520" s="11" t="s">
        <v>3</v>
      </c>
      <c r="C520" s="22"/>
      <c r="D520" s="35"/>
      <c r="E520" s="5">
        <f>AVERAGE(E2:E518)</f>
        <v>108146.62517707655</v>
      </c>
    </row>
    <row r="521" spans="1:5" ht="15.75" thickTop="1" x14ac:dyDescent="0.25"/>
    <row r="522" spans="1:5" x14ac:dyDescent="0.25">
      <c r="A522" s="11" t="s">
        <v>4</v>
      </c>
      <c r="C522" s="22"/>
      <c r="E522" s="16"/>
    </row>
    <row r="523" spans="1:5" x14ac:dyDescent="0.25">
      <c r="A523" s="11" t="s">
        <v>5</v>
      </c>
      <c r="C523" s="22"/>
      <c r="E523" s="16"/>
    </row>
    <row r="524" spans="1:5" x14ac:dyDescent="0.25">
      <c r="A524" s="11"/>
      <c r="C524" s="22"/>
      <c r="E524" s="16"/>
    </row>
    <row r="525" spans="1:5" x14ac:dyDescent="0.25">
      <c r="A525" s="11" t="s">
        <v>1594</v>
      </c>
      <c r="C525" s="22"/>
      <c r="E525" s="16"/>
    </row>
    <row r="526" spans="1:5" x14ac:dyDescent="0.25">
      <c r="A526" s="11" t="s">
        <v>1595</v>
      </c>
      <c r="C526" s="22"/>
      <c r="E526" s="16"/>
    </row>
    <row r="527" spans="1:5" x14ac:dyDescent="0.25">
      <c r="C527" s="22"/>
      <c r="E527" s="16"/>
    </row>
    <row r="528" spans="1:5" x14ac:dyDescent="0.25">
      <c r="A528" s="11" t="s">
        <v>1041</v>
      </c>
      <c r="C528" s="22"/>
      <c r="E528" s="16"/>
    </row>
  </sheetData>
  <pageMargins left="0.7" right="0.7" top="0.95833333333333337" bottom="0.75" header="0.3" footer="0.3"/>
  <pageSetup scale="93" fitToHeight="0" orientation="portrait" horizontalDpi="4294967295" verticalDpi="4294967295" r:id="rId1"/>
  <headerFooter>
    <oddHeader>&amp;C&amp;"-,Bold"Missouri Department of Elementary and Secondary Education
School Finance 
Assessed Valuation per ADA for 2018-2019</oddHeader>
    <oddFooter>&amp;LMay 26, 2020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28"/>
  <sheetViews>
    <sheetView view="pageLayout" zoomScaleNormal="100" workbookViewId="0">
      <selection activeCell="C1" sqref="C1"/>
    </sheetView>
  </sheetViews>
  <sheetFormatPr defaultColWidth="9.140625" defaultRowHeight="15" x14ac:dyDescent="0.25"/>
  <cols>
    <col min="1" max="1" width="12.28515625" style="15" bestFit="1" customWidth="1"/>
    <col min="2" max="2" width="35.28515625" style="13" bestFit="1" customWidth="1"/>
    <col min="3" max="3" width="25.140625" style="30" bestFit="1" customWidth="1"/>
    <col min="4" max="4" width="11.140625" style="14" bestFit="1" customWidth="1"/>
    <col min="5" max="5" width="11.85546875" style="30" customWidth="1"/>
    <col min="6" max="16384" width="9.140625" style="13"/>
  </cols>
  <sheetData>
    <row r="1" spans="1:5" ht="45.75" thickBot="1" x14ac:dyDescent="0.3">
      <c r="A1" s="6" t="s">
        <v>0</v>
      </c>
      <c r="B1" s="7" t="s">
        <v>1</v>
      </c>
      <c r="C1" s="21" t="s">
        <v>1592</v>
      </c>
      <c r="D1" s="9" t="s">
        <v>1585</v>
      </c>
      <c r="E1" s="10" t="s">
        <v>2</v>
      </c>
    </row>
    <row r="2" spans="1:5" x14ac:dyDescent="0.25">
      <c r="A2" s="17" t="s">
        <v>524</v>
      </c>
      <c r="B2" s="13" t="s">
        <v>8</v>
      </c>
      <c r="C2" s="16">
        <v>16174642</v>
      </c>
      <c r="D2" s="13">
        <v>221.86850000000001</v>
      </c>
      <c r="E2" s="16">
        <v>72901.930648109119</v>
      </c>
    </row>
    <row r="3" spans="1:5" x14ac:dyDescent="0.25">
      <c r="A3" s="17" t="s">
        <v>525</v>
      </c>
      <c r="B3" s="13" t="s">
        <v>9</v>
      </c>
      <c r="C3" s="16">
        <v>223270593</v>
      </c>
      <c r="D3" s="16">
        <v>2312.6776</v>
      </c>
      <c r="E3" s="16">
        <v>96542.031193625953</v>
      </c>
    </row>
    <row r="4" spans="1:5" x14ac:dyDescent="0.25">
      <c r="A4" s="17" t="s">
        <v>526</v>
      </c>
      <c r="B4" s="13" t="s">
        <v>10</v>
      </c>
      <c r="C4" s="16">
        <v>15048352</v>
      </c>
      <c r="D4" s="13">
        <v>143.5462</v>
      </c>
      <c r="E4" s="16">
        <v>104832.81340780878</v>
      </c>
    </row>
    <row r="5" spans="1:5" x14ac:dyDescent="0.25">
      <c r="A5" s="17" t="s">
        <v>527</v>
      </c>
      <c r="B5" s="13" t="s">
        <v>11</v>
      </c>
      <c r="C5" s="16">
        <v>23459985</v>
      </c>
      <c r="D5" s="13">
        <v>339.911</v>
      </c>
      <c r="E5" s="16">
        <v>69018.022364677818</v>
      </c>
    </row>
    <row r="6" spans="1:5" x14ac:dyDescent="0.25">
      <c r="A6" s="17" t="s">
        <v>528</v>
      </c>
      <c r="B6" s="13" t="s">
        <v>12</v>
      </c>
      <c r="C6" s="16">
        <v>25153776</v>
      </c>
      <c r="D6" s="13">
        <v>198.1104</v>
      </c>
      <c r="E6" s="16">
        <v>126968.47818186223</v>
      </c>
    </row>
    <row r="7" spans="1:5" x14ac:dyDescent="0.25">
      <c r="A7" s="17" t="s">
        <v>529</v>
      </c>
      <c r="B7" s="13" t="s">
        <v>13</v>
      </c>
      <c r="C7" s="16">
        <v>183487295</v>
      </c>
      <c r="D7" s="16">
        <v>2223.6876999999999</v>
      </c>
      <c r="E7" s="16">
        <v>82514.867083178993</v>
      </c>
    </row>
    <row r="8" spans="1:5" x14ac:dyDescent="0.25">
      <c r="A8" s="17" t="s">
        <v>530</v>
      </c>
      <c r="B8" s="13" t="s">
        <v>14</v>
      </c>
      <c r="C8" s="16">
        <v>44995389</v>
      </c>
      <c r="D8" s="13">
        <v>298.36410000000001</v>
      </c>
      <c r="E8" s="16">
        <v>150806.98046447276</v>
      </c>
    </row>
    <row r="9" spans="1:5" x14ac:dyDescent="0.25">
      <c r="A9" s="17" t="s">
        <v>531</v>
      </c>
      <c r="B9" s="13" t="s">
        <v>15</v>
      </c>
      <c r="C9" s="16">
        <v>47922925</v>
      </c>
      <c r="D9" s="13">
        <v>331.98869999999999</v>
      </c>
      <c r="E9" s="16">
        <v>144351.07279253783</v>
      </c>
    </row>
    <row r="10" spans="1:5" x14ac:dyDescent="0.25">
      <c r="A10" s="17" t="s">
        <v>532</v>
      </c>
      <c r="B10" s="13" t="s">
        <v>16</v>
      </c>
      <c r="C10" s="16">
        <v>19360875</v>
      </c>
      <c r="D10" s="13">
        <v>130.90809999999999</v>
      </c>
      <c r="E10" s="16">
        <v>147896.69241246342</v>
      </c>
    </row>
    <row r="11" spans="1:5" x14ac:dyDescent="0.25">
      <c r="A11" s="17" t="s">
        <v>533</v>
      </c>
      <c r="B11" s="13" t="s">
        <v>17</v>
      </c>
      <c r="C11" s="16">
        <v>33099280</v>
      </c>
      <c r="D11" s="13">
        <v>296.8535</v>
      </c>
      <c r="E11" s="16">
        <v>111500.38655431046</v>
      </c>
    </row>
    <row r="12" spans="1:5" x14ac:dyDescent="0.25">
      <c r="A12" s="17" t="s">
        <v>534</v>
      </c>
      <c r="B12" s="13" t="s">
        <v>18</v>
      </c>
      <c r="C12" s="16">
        <v>43987492</v>
      </c>
      <c r="D12" s="13">
        <v>561.92499999999995</v>
      </c>
      <c r="E12" s="16">
        <v>78280.005338790768</v>
      </c>
    </row>
    <row r="13" spans="1:5" x14ac:dyDescent="0.25">
      <c r="A13" s="17" t="s">
        <v>535</v>
      </c>
      <c r="B13" s="13" t="s">
        <v>19</v>
      </c>
      <c r="C13" s="16">
        <v>202963125</v>
      </c>
      <c r="D13" s="16">
        <v>2252.1224999999999</v>
      </c>
      <c r="E13" s="16">
        <v>90120.819360403359</v>
      </c>
    </row>
    <row r="14" spans="1:5" x14ac:dyDescent="0.25">
      <c r="A14" s="17" t="s">
        <v>536</v>
      </c>
      <c r="B14" s="13" t="s">
        <v>20</v>
      </c>
      <c r="C14" s="16">
        <v>21709986</v>
      </c>
      <c r="D14" s="13">
        <v>397.67509999999999</v>
      </c>
      <c r="E14" s="16">
        <v>54592.268915001216</v>
      </c>
    </row>
    <row r="15" spans="1:5" x14ac:dyDescent="0.25">
      <c r="A15" s="17" t="s">
        <v>537</v>
      </c>
      <c r="B15" s="13" t="s">
        <v>21</v>
      </c>
      <c r="C15" s="16">
        <v>39273786</v>
      </c>
      <c r="D15" s="13">
        <v>731.31719999999996</v>
      </c>
      <c r="E15" s="16">
        <v>53702.806388253965</v>
      </c>
    </row>
    <row r="16" spans="1:5" x14ac:dyDescent="0.25">
      <c r="A16" s="17" t="s">
        <v>538</v>
      </c>
      <c r="B16" s="13" t="s">
        <v>22</v>
      </c>
      <c r="C16" s="16">
        <v>15380819</v>
      </c>
      <c r="D16" s="13">
        <v>305.81240000000003</v>
      </c>
      <c r="E16" s="16">
        <v>50294.948798675265</v>
      </c>
    </row>
    <row r="17" spans="1:5" x14ac:dyDescent="0.25">
      <c r="A17" s="17" t="s">
        <v>539</v>
      </c>
      <c r="B17" s="13" t="s">
        <v>23</v>
      </c>
      <c r="C17" s="16">
        <v>178314290</v>
      </c>
      <c r="D17" s="16">
        <v>1680.0516</v>
      </c>
      <c r="E17" s="16">
        <v>106136.19843580994</v>
      </c>
    </row>
    <row r="18" spans="1:5" x14ac:dyDescent="0.25">
      <c r="A18" s="17" t="s">
        <v>540</v>
      </c>
      <c r="B18" s="13" t="s">
        <v>24</v>
      </c>
      <c r="C18" s="16">
        <v>30415534</v>
      </c>
      <c r="D18" s="13">
        <v>598.58579999999995</v>
      </c>
      <c r="E18" s="16">
        <v>50812.321307989601</v>
      </c>
    </row>
    <row r="19" spans="1:5" x14ac:dyDescent="0.25">
      <c r="A19" s="17" t="s">
        <v>541</v>
      </c>
      <c r="B19" s="13" t="s">
        <v>25</v>
      </c>
      <c r="C19" s="16">
        <v>71986886</v>
      </c>
      <c r="D19" s="13">
        <v>164.40549999999999</v>
      </c>
      <c r="E19" s="16">
        <v>437861.78686236171</v>
      </c>
    </row>
    <row r="20" spans="1:5" x14ac:dyDescent="0.25">
      <c r="A20" s="17" t="s">
        <v>542</v>
      </c>
      <c r="B20" s="13" t="s">
        <v>26</v>
      </c>
      <c r="C20" s="16">
        <v>184468309</v>
      </c>
      <c r="D20" s="16">
        <v>2281.5241999999998</v>
      </c>
      <c r="E20" s="16">
        <v>80853.102062209116</v>
      </c>
    </row>
    <row r="21" spans="1:5" x14ac:dyDescent="0.25">
      <c r="A21" s="17" t="s">
        <v>543</v>
      </c>
      <c r="B21" s="13" t="s">
        <v>27</v>
      </c>
      <c r="C21" s="16">
        <v>34950121</v>
      </c>
      <c r="D21" s="13">
        <v>399.90359999999998</v>
      </c>
      <c r="E21" s="16">
        <v>87396.365023970779</v>
      </c>
    </row>
    <row r="22" spans="1:5" x14ac:dyDescent="0.25">
      <c r="A22" s="17" t="s">
        <v>544</v>
      </c>
      <c r="B22" s="13" t="s">
        <v>28</v>
      </c>
      <c r="C22" s="16">
        <v>18553018</v>
      </c>
      <c r="D22" s="13">
        <v>182.102</v>
      </c>
      <c r="E22" s="16">
        <v>101882.56032333527</v>
      </c>
    </row>
    <row r="23" spans="1:5" x14ac:dyDescent="0.25">
      <c r="A23" s="17" t="s">
        <v>545</v>
      </c>
      <c r="B23" s="13" t="s">
        <v>29</v>
      </c>
      <c r="C23" s="16">
        <v>100035326</v>
      </c>
      <c r="D23" s="16">
        <v>1165.5718999999999</v>
      </c>
      <c r="E23" s="16">
        <v>85825.100965457386</v>
      </c>
    </row>
    <row r="24" spans="1:5" x14ac:dyDescent="0.25">
      <c r="A24" s="17" t="s">
        <v>546</v>
      </c>
      <c r="B24" s="13" t="s">
        <v>30</v>
      </c>
      <c r="C24" s="16">
        <v>17717371</v>
      </c>
      <c r="D24" s="13">
        <v>147.5489</v>
      </c>
      <c r="E24" s="16">
        <v>120077.96059475876</v>
      </c>
    </row>
    <row r="25" spans="1:5" x14ac:dyDescent="0.25">
      <c r="A25" s="17" t="s">
        <v>547</v>
      </c>
      <c r="B25" s="13" t="s">
        <v>31</v>
      </c>
      <c r="C25" s="16">
        <v>10464766</v>
      </c>
      <c r="D25" s="13">
        <v>119.5864</v>
      </c>
      <c r="E25" s="16">
        <v>87507.994220078544</v>
      </c>
    </row>
    <row r="26" spans="1:5" x14ac:dyDescent="0.25">
      <c r="A26" s="17" t="s">
        <v>548</v>
      </c>
      <c r="B26" s="13" t="s">
        <v>32</v>
      </c>
      <c r="C26" s="16">
        <v>42445349</v>
      </c>
      <c r="D26" s="13">
        <v>635.84820000000002</v>
      </c>
      <c r="E26" s="16">
        <v>66753.902896949308</v>
      </c>
    </row>
    <row r="27" spans="1:5" x14ac:dyDescent="0.25">
      <c r="A27" s="17" t="s">
        <v>549</v>
      </c>
      <c r="B27" s="13" t="s">
        <v>33</v>
      </c>
      <c r="C27" s="16">
        <v>23802706</v>
      </c>
      <c r="D27" s="13">
        <v>316.7713</v>
      </c>
      <c r="E27" s="16">
        <v>75141.611629588922</v>
      </c>
    </row>
    <row r="28" spans="1:5" x14ac:dyDescent="0.25">
      <c r="A28" s="17" t="s">
        <v>550</v>
      </c>
      <c r="B28" s="13" t="s">
        <v>34</v>
      </c>
      <c r="C28" s="16">
        <v>8922480</v>
      </c>
      <c r="D28" s="13">
        <v>139.5643</v>
      </c>
      <c r="E28" s="16">
        <v>63930.962287633731</v>
      </c>
    </row>
    <row r="29" spans="1:5" x14ac:dyDescent="0.25">
      <c r="A29" s="17" t="s">
        <v>551</v>
      </c>
      <c r="B29" s="13" t="s">
        <v>35</v>
      </c>
      <c r="C29" s="16">
        <v>7584417</v>
      </c>
      <c r="D29" s="13">
        <v>54.690899999999999</v>
      </c>
      <c r="E29" s="16">
        <v>138677.86048501672</v>
      </c>
    </row>
    <row r="30" spans="1:5" x14ac:dyDescent="0.25">
      <c r="A30" s="17" t="s">
        <v>552</v>
      </c>
      <c r="B30" s="13" t="s">
        <v>36</v>
      </c>
      <c r="C30" s="16">
        <v>74111817</v>
      </c>
      <c r="D30" s="13">
        <v>930.69590000000005</v>
      </c>
      <c r="E30" s="16">
        <v>79630.539900304706</v>
      </c>
    </row>
    <row r="31" spans="1:5" x14ac:dyDescent="0.25">
      <c r="A31" s="17" t="s">
        <v>553</v>
      </c>
      <c r="B31" s="13" t="s">
        <v>37</v>
      </c>
      <c r="C31" s="16">
        <v>46337328</v>
      </c>
      <c r="D31" s="13">
        <v>466.39440000000002</v>
      </c>
      <c r="E31" s="16">
        <v>99352.239220711053</v>
      </c>
    </row>
    <row r="32" spans="1:5" x14ac:dyDescent="0.25">
      <c r="A32" s="17" t="s">
        <v>554</v>
      </c>
      <c r="B32" s="13" t="s">
        <v>38</v>
      </c>
      <c r="C32" s="16">
        <v>152468764</v>
      </c>
      <c r="D32" s="16">
        <v>1125.3388</v>
      </c>
      <c r="E32" s="16">
        <v>135486.98756321208</v>
      </c>
    </row>
    <row r="33" spans="1:5" x14ac:dyDescent="0.25">
      <c r="A33" s="17" t="s">
        <v>555</v>
      </c>
      <c r="B33" s="13" t="s">
        <v>39</v>
      </c>
      <c r="C33" s="16">
        <v>58949922</v>
      </c>
      <c r="D33" s="13">
        <v>669.18979999999999</v>
      </c>
      <c r="E33" s="16">
        <v>88091.483163670462</v>
      </c>
    </row>
    <row r="34" spans="1:5" x14ac:dyDescent="0.25">
      <c r="A34" s="17" t="s">
        <v>556</v>
      </c>
      <c r="B34" s="13" t="s">
        <v>40</v>
      </c>
      <c r="C34" s="16">
        <v>41056483</v>
      </c>
      <c r="D34" s="13">
        <v>503.72179999999997</v>
      </c>
      <c r="E34" s="16">
        <v>81506.265958709759</v>
      </c>
    </row>
    <row r="35" spans="1:5" x14ac:dyDescent="0.25">
      <c r="A35" s="17" t="s">
        <v>557</v>
      </c>
      <c r="B35" s="13" t="s">
        <v>41</v>
      </c>
      <c r="C35" s="16">
        <v>10626325</v>
      </c>
      <c r="D35" s="13">
        <v>208.51580000000001</v>
      </c>
      <c r="E35" s="16">
        <v>50961.725682178519</v>
      </c>
    </row>
    <row r="36" spans="1:5" x14ac:dyDescent="0.25">
      <c r="A36" s="17" t="s">
        <v>558</v>
      </c>
      <c r="B36" s="13" t="s">
        <v>42</v>
      </c>
      <c r="C36" s="16">
        <v>14676877</v>
      </c>
      <c r="D36" s="13">
        <v>245.08670000000001</v>
      </c>
      <c r="E36" s="16">
        <v>59884.428653207207</v>
      </c>
    </row>
    <row r="37" spans="1:5" x14ac:dyDescent="0.25">
      <c r="A37" s="17" t="s">
        <v>559</v>
      </c>
      <c r="B37" s="13" t="s">
        <v>43</v>
      </c>
      <c r="C37" s="16">
        <v>60410798</v>
      </c>
      <c r="D37" s="13">
        <v>841.72990000000004</v>
      </c>
      <c r="E37" s="16">
        <v>71769.813570837869</v>
      </c>
    </row>
    <row r="38" spans="1:5" x14ac:dyDescent="0.25">
      <c r="A38" s="17" t="s">
        <v>560</v>
      </c>
      <c r="B38" s="13" t="s">
        <v>44</v>
      </c>
      <c r="C38" s="16">
        <v>132743069</v>
      </c>
      <c r="D38" s="16">
        <v>1634.2260000000001</v>
      </c>
      <c r="E38" s="16">
        <v>81226.873761646188</v>
      </c>
    </row>
    <row r="39" spans="1:5" x14ac:dyDescent="0.25">
      <c r="A39" s="17" t="s">
        <v>561</v>
      </c>
      <c r="B39" s="13" t="s">
        <v>45</v>
      </c>
      <c r="C39" s="16">
        <v>82718919</v>
      </c>
      <c r="D39" s="16">
        <v>1352.4462000000001</v>
      </c>
      <c r="E39" s="16">
        <v>61162.446979406646</v>
      </c>
    </row>
    <row r="40" spans="1:5" x14ac:dyDescent="0.25">
      <c r="A40" s="17" t="s">
        <v>562</v>
      </c>
      <c r="B40" s="13" t="s">
        <v>46</v>
      </c>
      <c r="C40" s="16">
        <v>37629606</v>
      </c>
      <c r="D40" s="13">
        <v>416.41379999999998</v>
      </c>
      <c r="E40" s="16">
        <v>90365.895654754961</v>
      </c>
    </row>
    <row r="41" spans="1:5" x14ac:dyDescent="0.25">
      <c r="A41" s="17" t="s">
        <v>563</v>
      </c>
      <c r="B41" s="13" t="s">
        <v>47</v>
      </c>
      <c r="C41" s="16">
        <v>104779529</v>
      </c>
      <c r="D41" s="16">
        <v>1350.0838000000001</v>
      </c>
      <c r="E41" s="16">
        <v>77609.648378863581</v>
      </c>
    </row>
    <row r="42" spans="1:5" x14ac:dyDescent="0.25">
      <c r="A42" s="17" t="s">
        <v>564</v>
      </c>
      <c r="B42" s="13" t="s">
        <v>48</v>
      </c>
      <c r="C42" s="16">
        <v>41344725</v>
      </c>
      <c r="D42" s="13">
        <v>524.22749999999996</v>
      </c>
      <c r="E42" s="16">
        <v>78867.905632573646</v>
      </c>
    </row>
    <row r="43" spans="1:5" x14ac:dyDescent="0.25">
      <c r="A43" s="17" t="s">
        <v>565</v>
      </c>
      <c r="B43" s="13" t="s">
        <v>49</v>
      </c>
      <c r="C43" s="16">
        <v>2406626281</v>
      </c>
      <c r="D43" s="16">
        <v>17114.3609</v>
      </c>
      <c r="E43" s="16">
        <v>140620.28346030731</v>
      </c>
    </row>
    <row r="44" spans="1:5" x14ac:dyDescent="0.25">
      <c r="A44" s="17" t="s">
        <v>566</v>
      </c>
      <c r="B44" s="13" t="s">
        <v>50</v>
      </c>
      <c r="C44" s="16">
        <v>55838211</v>
      </c>
      <c r="D44" s="13">
        <v>686.32939999999996</v>
      </c>
      <c r="E44" s="16">
        <v>81357.743089542724</v>
      </c>
    </row>
    <row r="45" spans="1:5" x14ac:dyDescent="0.25">
      <c r="A45" s="17" t="s">
        <v>567</v>
      </c>
      <c r="B45" s="13" t="s">
        <v>51</v>
      </c>
      <c r="C45" s="16">
        <v>63935390</v>
      </c>
      <c r="D45" s="13">
        <v>746.62490000000003</v>
      </c>
      <c r="E45" s="16">
        <v>85632.544534745626</v>
      </c>
    </row>
    <row r="46" spans="1:5" x14ac:dyDescent="0.25">
      <c r="A46" s="17" t="s">
        <v>568</v>
      </c>
      <c r="B46" s="13" t="s">
        <v>52</v>
      </c>
      <c r="C46" s="16">
        <v>21670530</v>
      </c>
      <c r="D46" s="13">
        <v>268.32279999999997</v>
      </c>
      <c r="E46" s="16">
        <v>80762.90945085547</v>
      </c>
    </row>
    <row r="47" spans="1:5" x14ac:dyDescent="0.25">
      <c r="A47" s="17" t="s">
        <v>569</v>
      </c>
      <c r="B47" s="13" t="s">
        <v>53</v>
      </c>
      <c r="C47" s="16">
        <v>1056548825</v>
      </c>
      <c r="D47" s="16">
        <v>10691.786400000001</v>
      </c>
      <c r="E47" s="16">
        <v>98818.736689315076</v>
      </c>
    </row>
    <row r="48" spans="1:5" x14ac:dyDescent="0.25">
      <c r="A48" s="17" t="s">
        <v>570</v>
      </c>
      <c r="B48" s="13" t="s">
        <v>54</v>
      </c>
      <c r="C48" s="16">
        <v>39373386</v>
      </c>
      <c r="D48" s="13">
        <v>563.15049999999997</v>
      </c>
      <c r="E48" s="16">
        <v>69916.276377273927</v>
      </c>
    </row>
    <row r="49" spans="1:5" x14ac:dyDescent="0.25">
      <c r="A49" s="17" t="s">
        <v>571</v>
      </c>
      <c r="B49" s="13" t="s">
        <v>55</v>
      </c>
      <c r="C49" s="16">
        <v>463855857</v>
      </c>
      <c r="D49" s="16">
        <v>4735.3415999999997</v>
      </c>
      <c r="E49" s="16">
        <v>97956.155264490328</v>
      </c>
    </row>
    <row r="50" spans="1:5" x14ac:dyDescent="0.25">
      <c r="A50" s="17" t="s">
        <v>572</v>
      </c>
      <c r="B50" s="13" t="s">
        <v>56</v>
      </c>
      <c r="C50" s="16">
        <v>67497568</v>
      </c>
      <c r="D50" s="13">
        <v>871.65250000000003</v>
      </c>
      <c r="E50" s="16">
        <v>77436.326976633456</v>
      </c>
    </row>
    <row r="51" spans="1:5" x14ac:dyDescent="0.25">
      <c r="A51" s="17" t="s">
        <v>573</v>
      </c>
      <c r="B51" s="13" t="s">
        <v>57</v>
      </c>
      <c r="C51" s="16">
        <v>7113690</v>
      </c>
      <c r="D51" s="13">
        <v>52.500500000000002</v>
      </c>
      <c r="E51" s="16">
        <v>135497.56668984104</v>
      </c>
    </row>
    <row r="52" spans="1:5" x14ac:dyDescent="0.25">
      <c r="A52" s="17" t="s">
        <v>574</v>
      </c>
      <c r="B52" s="13" t="s">
        <v>58</v>
      </c>
      <c r="C52" s="16">
        <v>41312928</v>
      </c>
      <c r="D52" s="13">
        <v>604.18010000000004</v>
      </c>
      <c r="E52" s="16">
        <v>68378.49839807699</v>
      </c>
    </row>
    <row r="53" spans="1:5" x14ac:dyDescent="0.25">
      <c r="A53" s="17" t="s">
        <v>575</v>
      </c>
      <c r="B53" s="13" t="s">
        <v>59</v>
      </c>
      <c r="C53" s="16">
        <v>4039170</v>
      </c>
      <c r="D53" s="13">
        <v>35.137799999999999</v>
      </c>
      <c r="E53" s="16">
        <v>114952.27361986238</v>
      </c>
    </row>
    <row r="54" spans="1:5" x14ac:dyDescent="0.25">
      <c r="A54" s="17" t="s">
        <v>576</v>
      </c>
      <c r="B54" s="13" t="s">
        <v>60</v>
      </c>
      <c r="C54" s="16">
        <v>4200530</v>
      </c>
      <c r="D54" s="13">
        <v>56.881300000000003</v>
      </c>
      <c r="E54" s="16">
        <v>73847.292519685725</v>
      </c>
    </row>
    <row r="55" spans="1:5" x14ac:dyDescent="0.25">
      <c r="A55" s="17" t="s">
        <v>577</v>
      </c>
      <c r="B55" s="13" t="s">
        <v>61</v>
      </c>
      <c r="C55" s="16">
        <v>25410230</v>
      </c>
      <c r="D55" s="13">
        <v>369.43290000000002</v>
      </c>
      <c r="E55" s="16">
        <v>68781.719224248838</v>
      </c>
    </row>
    <row r="56" spans="1:5" x14ac:dyDescent="0.25">
      <c r="A56" s="17" t="s">
        <v>578</v>
      </c>
      <c r="B56" s="13" t="s">
        <v>62</v>
      </c>
      <c r="C56" s="16">
        <v>5138390</v>
      </c>
      <c r="D56" s="13">
        <v>60.386499999999998</v>
      </c>
      <c r="E56" s="16">
        <v>85091.700959651585</v>
      </c>
    </row>
    <row r="57" spans="1:5" x14ac:dyDescent="0.25">
      <c r="A57" s="17" t="s">
        <v>579</v>
      </c>
      <c r="B57" s="13" t="s">
        <v>63</v>
      </c>
      <c r="C57" s="16">
        <v>20123852</v>
      </c>
      <c r="D57" s="13">
        <v>298.35520000000002</v>
      </c>
      <c r="E57" s="16">
        <v>67449.308743403832</v>
      </c>
    </row>
    <row r="58" spans="1:5" x14ac:dyDescent="0.25">
      <c r="A58" s="17" t="s">
        <v>580</v>
      </c>
      <c r="B58" s="13" t="s">
        <v>64</v>
      </c>
      <c r="C58" s="16">
        <v>4762650</v>
      </c>
      <c r="D58" s="13">
        <v>43.662700000000001</v>
      </c>
      <c r="E58" s="16">
        <v>109078.22924372519</v>
      </c>
    </row>
    <row r="59" spans="1:5" x14ac:dyDescent="0.25">
      <c r="A59" s="17" t="s">
        <v>581</v>
      </c>
      <c r="B59" s="13" t="s">
        <v>65</v>
      </c>
      <c r="C59" s="16">
        <v>106526354</v>
      </c>
      <c r="D59" s="16">
        <v>1091.6528000000001</v>
      </c>
      <c r="E59" s="16">
        <v>97582.63250000366</v>
      </c>
    </row>
    <row r="60" spans="1:5" x14ac:dyDescent="0.25">
      <c r="A60" s="17" t="s">
        <v>582</v>
      </c>
      <c r="B60" s="13" t="s">
        <v>66</v>
      </c>
      <c r="C60" s="16">
        <v>52553205</v>
      </c>
      <c r="D60" s="13">
        <v>612.24570000000006</v>
      </c>
      <c r="E60" s="16">
        <v>85836.789053806337</v>
      </c>
    </row>
    <row r="61" spans="1:5" x14ac:dyDescent="0.25">
      <c r="A61" s="17" t="s">
        <v>583</v>
      </c>
      <c r="B61" s="13" t="s">
        <v>67</v>
      </c>
      <c r="C61" s="16">
        <v>211797234</v>
      </c>
      <c r="D61" s="16">
        <v>2126.0716000000002</v>
      </c>
      <c r="E61" s="16">
        <v>99619.050459072023</v>
      </c>
    </row>
    <row r="62" spans="1:5" x14ac:dyDescent="0.25">
      <c r="A62" s="17" t="s">
        <v>584</v>
      </c>
      <c r="B62" s="13" t="s">
        <v>68</v>
      </c>
      <c r="C62" s="16">
        <v>329215806</v>
      </c>
      <c r="D62" s="13">
        <v>739.2106</v>
      </c>
      <c r="E62" s="16">
        <v>445361.31651791791</v>
      </c>
    </row>
    <row r="63" spans="1:5" x14ac:dyDescent="0.25">
      <c r="A63" s="17" t="s">
        <v>585</v>
      </c>
      <c r="B63" s="13" t="s">
        <v>69</v>
      </c>
      <c r="C63" s="16">
        <v>26689834</v>
      </c>
      <c r="D63" s="13">
        <v>410.52629999999999</v>
      </c>
      <c r="E63" s="16">
        <v>65013.700705655159</v>
      </c>
    </row>
    <row r="64" spans="1:5" x14ac:dyDescent="0.25">
      <c r="A64" s="17" t="s">
        <v>586</v>
      </c>
      <c r="B64" s="13" t="s">
        <v>70</v>
      </c>
      <c r="C64" s="16">
        <v>1152737138</v>
      </c>
      <c r="D64" s="16">
        <v>3883.8546999999999</v>
      </c>
      <c r="E64" s="16">
        <v>296802.33351675078</v>
      </c>
    </row>
    <row r="65" spans="1:5" x14ac:dyDescent="0.25">
      <c r="A65" s="17" t="s">
        <v>587</v>
      </c>
      <c r="B65" s="13" t="s">
        <v>71</v>
      </c>
      <c r="C65" s="16">
        <v>92868200</v>
      </c>
      <c r="D65" s="13">
        <v>186.55359999999999</v>
      </c>
      <c r="E65" s="16">
        <v>497809.74475968303</v>
      </c>
    </row>
    <row r="66" spans="1:5" x14ac:dyDescent="0.25">
      <c r="A66" s="17" t="s">
        <v>588</v>
      </c>
      <c r="B66" s="13" t="s">
        <v>72</v>
      </c>
      <c r="C66" s="16">
        <v>33016670</v>
      </c>
      <c r="D66" s="13">
        <v>291.77510000000001</v>
      </c>
      <c r="E66" s="16">
        <v>113157.94253861964</v>
      </c>
    </row>
    <row r="67" spans="1:5" x14ac:dyDescent="0.25">
      <c r="A67" s="17" t="s">
        <v>589</v>
      </c>
      <c r="B67" s="13" t="s">
        <v>73</v>
      </c>
      <c r="C67" s="16">
        <v>510241564</v>
      </c>
      <c r="D67" s="16">
        <v>4776.4911000000002</v>
      </c>
      <c r="E67" s="16">
        <v>106823.51402266823</v>
      </c>
    </row>
    <row r="68" spans="1:5" x14ac:dyDescent="0.25">
      <c r="A68" s="17" t="s">
        <v>590</v>
      </c>
      <c r="B68" s="13" t="s">
        <v>74</v>
      </c>
      <c r="C68" s="16">
        <v>23468211</v>
      </c>
      <c r="D68" s="13">
        <v>216.6114</v>
      </c>
      <c r="E68" s="16">
        <v>108342.45566022841</v>
      </c>
    </row>
    <row r="69" spans="1:5" x14ac:dyDescent="0.25">
      <c r="A69" s="17" t="s">
        <v>591</v>
      </c>
      <c r="B69" s="13" t="s">
        <v>75</v>
      </c>
      <c r="C69" s="16">
        <v>28418046</v>
      </c>
      <c r="D69" s="13">
        <v>366.50709999999998</v>
      </c>
      <c r="E69" s="16">
        <v>77537.504730467714</v>
      </c>
    </row>
    <row r="70" spans="1:5" x14ac:dyDescent="0.25">
      <c r="A70" s="17" t="s">
        <v>592</v>
      </c>
      <c r="B70" s="13" t="s">
        <v>76</v>
      </c>
      <c r="C70" s="16">
        <v>655796580</v>
      </c>
      <c r="D70" s="16">
        <v>3743.7842999999998</v>
      </c>
      <c r="E70" s="16">
        <v>175169.43484163872</v>
      </c>
    </row>
    <row r="71" spans="1:5" x14ac:dyDescent="0.25">
      <c r="A71" s="17" t="s">
        <v>593</v>
      </c>
      <c r="B71" s="13" t="s">
        <v>77</v>
      </c>
      <c r="C71" s="16">
        <v>54418357</v>
      </c>
      <c r="D71" s="13">
        <v>346.32850000000002</v>
      </c>
      <c r="E71" s="16">
        <v>157129.30642439186</v>
      </c>
    </row>
    <row r="72" spans="1:5" x14ac:dyDescent="0.25">
      <c r="A72" s="17" t="s">
        <v>594</v>
      </c>
      <c r="B72" s="13" t="s">
        <v>78</v>
      </c>
      <c r="C72" s="16">
        <v>9720698</v>
      </c>
      <c r="D72" s="13">
        <v>143.49600000000001</v>
      </c>
      <c r="E72" s="16">
        <v>67741.944026314319</v>
      </c>
    </row>
    <row r="73" spans="1:5" x14ac:dyDescent="0.25">
      <c r="A73" s="17" t="s">
        <v>595</v>
      </c>
      <c r="B73" s="13" t="s">
        <v>79</v>
      </c>
      <c r="C73" s="16">
        <v>11275629</v>
      </c>
      <c r="D73" s="13">
        <v>136.49930000000001</v>
      </c>
      <c r="E73" s="16">
        <v>82605.764278644652</v>
      </c>
    </row>
    <row r="74" spans="1:5" x14ac:dyDescent="0.25">
      <c r="A74" s="17" t="s">
        <v>596</v>
      </c>
      <c r="B74" s="13" t="s">
        <v>80</v>
      </c>
      <c r="C74" s="16">
        <v>8347740</v>
      </c>
      <c r="D74" s="13">
        <v>48.554600000000001</v>
      </c>
      <c r="E74" s="16">
        <v>171924.80218146168</v>
      </c>
    </row>
    <row r="75" spans="1:5" x14ac:dyDescent="0.25">
      <c r="A75" s="17" t="s">
        <v>597</v>
      </c>
      <c r="B75" s="13" t="s">
        <v>81</v>
      </c>
      <c r="C75" s="16">
        <v>70944725</v>
      </c>
      <c r="D75" s="13">
        <v>806.45309999999995</v>
      </c>
      <c r="E75" s="16">
        <v>87971.296780928737</v>
      </c>
    </row>
    <row r="76" spans="1:5" x14ac:dyDescent="0.25">
      <c r="A76" s="17" t="s">
        <v>598</v>
      </c>
      <c r="B76" s="13" t="s">
        <v>82</v>
      </c>
      <c r="C76" s="16">
        <v>17538270</v>
      </c>
      <c r="D76" s="13">
        <v>167.78620000000001</v>
      </c>
      <c r="E76" s="16">
        <v>104527.48795788926</v>
      </c>
    </row>
    <row r="77" spans="1:5" x14ac:dyDescent="0.25">
      <c r="A77" s="17" t="s">
        <v>599</v>
      </c>
      <c r="B77" s="13" t="s">
        <v>83</v>
      </c>
      <c r="C77" s="16">
        <v>38021770</v>
      </c>
      <c r="D77" s="13">
        <v>666.70299999999997</v>
      </c>
      <c r="E77" s="16">
        <v>57029.546889694517</v>
      </c>
    </row>
    <row r="78" spans="1:5" x14ac:dyDescent="0.25">
      <c r="A78" s="17" t="s">
        <v>600</v>
      </c>
      <c r="B78" s="13" t="s">
        <v>84</v>
      </c>
      <c r="C78" s="16">
        <v>38330011</v>
      </c>
      <c r="D78" s="13">
        <v>458.70890000000003</v>
      </c>
      <c r="E78" s="16">
        <v>83560.643798278164</v>
      </c>
    </row>
    <row r="79" spans="1:5" x14ac:dyDescent="0.25">
      <c r="A79" s="17" t="s">
        <v>601</v>
      </c>
      <c r="B79" s="13" t="s">
        <v>85</v>
      </c>
      <c r="C79" s="16">
        <v>35682005</v>
      </c>
      <c r="D79" s="13">
        <v>507.11200000000002</v>
      </c>
      <c r="E79" s="16">
        <v>70363.164350281586</v>
      </c>
    </row>
    <row r="80" spans="1:5" x14ac:dyDescent="0.25">
      <c r="A80" s="17" t="s">
        <v>602</v>
      </c>
      <c r="B80" s="13" t="s">
        <v>86</v>
      </c>
      <c r="C80" s="16">
        <v>14221320</v>
      </c>
      <c r="D80" s="13">
        <v>157.6617</v>
      </c>
      <c r="E80" s="16">
        <v>90201.488376695168</v>
      </c>
    </row>
    <row r="81" spans="1:5" x14ac:dyDescent="0.25">
      <c r="A81" s="17" t="s">
        <v>603</v>
      </c>
      <c r="B81" s="13" t="s">
        <v>87</v>
      </c>
      <c r="C81" s="16">
        <v>542903864</v>
      </c>
      <c r="D81" s="16">
        <v>5869.4845999999998</v>
      </c>
      <c r="E81" s="16">
        <v>92496.002800654765</v>
      </c>
    </row>
    <row r="82" spans="1:5" x14ac:dyDescent="0.25">
      <c r="A82" s="17" t="s">
        <v>604</v>
      </c>
      <c r="B82" s="13" t="s">
        <v>88</v>
      </c>
      <c r="C82" s="16">
        <v>56563941</v>
      </c>
      <c r="D82" s="13">
        <v>747.98419999999999</v>
      </c>
      <c r="E82" s="16">
        <v>75621.839338317572</v>
      </c>
    </row>
    <row r="83" spans="1:5" x14ac:dyDescent="0.25">
      <c r="A83" s="17" t="s">
        <v>605</v>
      </c>
      <c r="B83" s="13" t="s">
        <v>89</v>
      </c>
      <c r="C83" s="16">
        <v>17007988</v>
      </c>
      <c r="D83" s="13">
        <v>159.41829999999999</v>
      </c>
      <c r="E83" s="16">
        <v>106687.80183956296</v>
      </c>
    </row>
    <row r="84" spans="1:5" x14ac:dyDescent="0.25">
      <c r="A84" s="17" t="s">
        <v>606</v>
      </c>
      <c r="B84" s="13" t="s">
        <v>90</v>
      </c>
      <c r="C84" s="16">
        <v>158345622</v>
      </c>
      <c r="D84" s="16">
        <v>2063.5288999999998</v>
      </c>
      <c r="E84" s="16">
        <v>76735.354663557184</v>
      </c>
    </row>
    <row r="85" spans="1:5" x14ac:dyDescent="0.25">
      <c r="A85" s="17" t="s">
        <v>607</v>
      </c>
      <c r="B85" s="13" t="s">
        <v>91</v>
      </c>
      <c r="C85" s="16">
        <v>199906019</v>
      </c>
      <c r="D85" s="16">
        <v>2207.6178</v>
      </c>
      <c r="E85" s="16">
        <v>90552.820782655399</v>
      </c>
    </row>
    <row r="86" spans="1:5" x14ac:dyDescent="0.25">
      <c r="A86" s="17" t="s">
        <v>608</v>
      </c>
      <c r="B86" s="13" t="s">
        <v>92</v>
      </c>
      <c r="C86" s="16">
        <v>20445123</v>
      </c>
      <c r="D86" s="13">
        <v>294.54640000000001</v>
      </c>
      <c r="E86" s="16">
        <v>69412.231824934875</v>
      </c>
    </row>
    <row r="87" spans="1:5" x14ac:dyDescent="0.25">
      <c r="A87" s="17" t="s">
        <v>609</v>
      </c>
      <c r="B87" s="13" t="s">
        <v>93</v>
      </c>
      <c r="C87" s="16">
        <v>43610129</v>
      </c>
      <c r="D87" s="13">
        <v>404.41649999999998</v>
      </c>
      <c r="E87" s="16">
        <v>107834.69269923458</v>
      </c>
    </row>
    <row r="88" spans="1:5" x14ac:dyDescent="0.25">
      <c r="A88" s="17" t="s">
        <v>610</v>
      </c>
      <c r="B88" s="13" t="s">
        <v>94</v>
      </c>
      <c r="C88" s="16">
        <v>340404574</v>
      </c>
      <c r="D88" s="16">
        <v>4431.9755000000005</v>
      </c>
      <c r="E88" s="16">
        <v>76806.510776063617</v>
      </c>
    </row>
    <row r="89" spans="1:5" x14ac:dyDescent="0.25">
      <c r="A89" s="17" t="s">
        <v>611</v>
      </c>
      <c r="B89" s="13" t="s">
        <v>95</v>
      </c>
      <c r="C89" s="16">
        <v>93286334</v>
      </c>
      <c r="D89" s="13">
        <v>928.35040000000004</v>
      </c>
      <c r="E89" s="16">
        <v>100486.1246356979</v>
      </c>
    </row>
    <row r="90" spans="1:5" x14ac:dyDescent="0.25">
      <c r="A90" s="17" t="s">
        <v>612</v>
      </c>
      <c r="B90" s="13" t="s">
        <v>96</v>
      </c>
      <c r="C90" s="16">
        <v>93879045</v>
      </c>
      <c r="D90" s="16">
        <v>1137.7764</v>
      </c>
      <c r="E90" s="16">
        <v>82510.979310170267</v>
      </c>
    </row>
    <row r="91" spans="1:5" x14ac:dyDescent="0.25">
      <c r="A91" s="17" t="s">
        <v>613</v>
      </c>
      <c r="B91" s="13" t="s">
        <v>97</v>
      </c>
      <c r="C91" s="16">
        <v>17131940</v>
      </c>
      <c r="D91" s="13">
        <v>137.45429999999999</v>
      </c>
      <c r="E91" s="16">
        <v>124637.35219632999</v>
      </c>
    </row>
    <row r="92" spans="1:5" x14ac:dyDescent="0.25">
      <c r="A92" s="17" t="s">
        <v>614</v>
      </c>
      <c r="B92" s="13" t="s">
        <v>98</v>
      </c>
      <c r="C92" s="16">
        <v>21417477</v>
      </c>
      <c r="D92" s="13">
        <v>230.316</v>
      </c>
      <c r="E92" s="16">
        <v>92991.702704110867</v>
      </c>
    </row>
    <row r="93" spans="1:5" x14ac:dyDescent="0.25">
      <c r="A93" s="17" t="s">
        <v>615</v>
      </c>
      <c r="B93" s="13" t="s">
        <v>99</v>
      </c>
      <c r="C93" s="16">
        <v>16565010</v>
      </c>
      <c r="D93" s="13">
        <v>119.57040000000001</v>
      </c>
      <c r="E93" s="16">
        <v>138537.71501977078</v>
      </c>
    </row>
    <row r="94" spans="1:5" x14ac:dyDescent="0.25">
      <c r="A94" s="17" t="s">
        <v>616</v>
      </c>
      <c r="B94" s="13" t="s">
        <v>100</v>
      </c>
      <c r="C94" s="16">
        <v>52010966</v>
      </c>
      <c r="D94" s="13">
        <v>442.07249999999999</v>
      </c>
      <c r="E94" s="16">
        <v>117652.57056252085</v>
      </c>
    </row>
    <row r="95" spans="1:5" x14ac:dyDescent="0.25">
      <c r="A95" s="17" t="s">
        <v>617</v>
      </c>
      <c r="B95" s="13" t="s">
        <v>101</v>
      </c>
      <c r="C95" s="16">
        <v>13566584</v>
      </c>
      <c r="D95" s="13">
        <v>224.43279999999999</v>
      </c>
      <c r="E95" s="16">
        <v>60448.312367889186</v>
      </c>
    </row>
    <row r="96" spans="1:5" x14ac:dyDescent="0.25">
      <c r="A96" s="17" t="s">
        <v>618</v>
      </c>
      <c r="B96" s="13" t="s">
        <v>102</v>
      </c>
      <c r="C96" s="16">
        <v>460247156</v>
      </c>
      <c r="D96" s="16">
        <v>5811.2223000000004</v>
      </c>
      <c r="E96" s="16">
        <v>79199.716039085266</v>
      </c>
    </row>
    <row r="97" spans="1:5" x14ac:dyDescent="0.25">
      <c r="A97" s="17" t="s">
        <v>619</v>
      </c>
      <c r="B97" s="13" t="s">
        <v>103</v>
      </c>
      <c r="C97" s="16">
        <v>40857999</v>
      </c>
      <c r="D97" s="13">
        <v>702.53499999999997</v>
      </c>
      <c r="E97" s="16">
        <v>58157.955119673752</v>
      </c>
    </row>
    <row r="98" spans="1:5" x14ac:dyDescent="0.25">
      <c r="A98" s="17" t="s">
        <v>620</v>
      </c>
      <c r="B98" s="13" t="s">
        <v>104</v>
      </c>
      <c r="C98" s="16">
        <v>35538823</v>
      </c>
      <c r="D98" s="13">
        <v>369.72570000000002</v>
      </c>
      <c r="E98" s="16">
        <v>96122.133246349928</v>
      </c>
    </row>
    <row r="99" spans="1:5" x14ac:dyDescent="0.25">
      <c r="A99" s="17" t="s">
        <v>621</v>
      </c>
      <c r="B99" s="13" t="s">
        <v>105</v>
      </c>
      <c r="C99" s="16">
        <v>71194339</v>
      </c>
      <c r="D99" s="16">
        <v>1155.6980000000001</v>
      </c>
      <c r="E99" s="16">
        <v>61602.891931975304</v>
      </c>
    </row>
    <row r="100" spans="1:5" x14ac:dyDescent="0.25">
      <c r="A100" s="17" t="s">
        <v>622</v>
      </c>
      <c r="B100" s="13" t="s">
        <v>106</v>
      </c>
      <c r="C100" s="16">
        <v>456306215</v>
      </c>
      <c r="D100" s="16">
        <v>5516.1827999999996</v>
      </c>
      <c r="E100" s="16">
        <v>82721.373011786345</v>
      </c>
    </row>
    <row r="101" spans="1:5" x14ac:dyDescent="0.25">
      <c r="A101" s="17" t="s">
        <v>623</v>
      </c>
      <c r="B101" s="13" t="s">
        <v>107</v>
      </c>
      <c r="C101" s="16">
        <v>64305851</v>
      </c>
      <c r="D101" s="13">
        <v>717.83</v>
      </c>
      <c r="E101" s="16">
        <v>89583.677193764539</v>
      </c>
    </row>
    <row r="102" spans="1:5" x14ac:dyDescent="0.25">
      <c r="A102" s="17" t="s">
        <v>624</v>
      </c>
      <c r="B102" s="13" t="s">
        <v>108</v>
      </c>
      <c r="C102" s="16">
        <v>93693849</v>
      </c>
      <c r="D102" s="13">
        <v>976.74260000000004</v>
      </c>
      <c r="E102" s="16">
        <v>95924.810692192594</v>
      </c>
    </row>
    <row r="103" spans="1:5" x14ac:dyDescent="0.25">
      <c r="A103" s="17" t="s">
        <v>625</v>
      </c>
      <c r="B103" s="13" t="s">
        <v>109</v>
      </c>
      <c r="C103" s="16">
        <v>354482321</v>
      </c>
      <c r="D103" s="16">
        <v>3328.3006999999998</v>
      </c>
      <c r="E103" s="16">
        <v>106505.49723466994</v>
      </c>
    </row>
    <row r="104" spans="1:5" x14ac:dyDescent="0.25">
      <c r="A104" s="17" t="s">
        <v>626</v>
      </c>
      <c r="B104" s="13" t="s">
        <v>110</v>
      </c>
      <c r="C104" s="16">
        <v>241016883</v>
      </c>
      <c r="D104" s="16">
        <v>2523.1884</v>
      </c>
      <c r="E104" s="16">
        <v>95520.763728939142</v>
      </c>
    </row>
    <row r="105" spans="1:5" x14ac:dyDescent="0.25">
      <c r="A105" s="17" t="s">
        <v>627</v>
      </c>
      <c r="B105" s="13" t="s">
        <v>111</v>
      </c>
      <c r="C105" s="16">
        <v>223866828</v>
      </c>
      <c r="D105" s="16">
        <v>2678.0956999999999</v>
      </c>
      <c r="E105" s="16">
        <v>83591.795468698154</v>
      </c>
    </row>
    <row r="106" spans="1:5" x14ac:dyDescent="0.25">
      <c r="A106" s="17" t="s">
        <v>628</v>
      </c>
      <c r="B106" s="13" t="s">
        <v>112</v>
      </c>
      <c r="C106" s="16">
        <v>918753541</v>
      </c>
      <c r="D106" s="16">
        <v>12024.9653</v>
      </c>
      <c r="E106" s="16">
        <v>76403.841348298942</v>
      </c>
    </row>
    <row r="107" spans="1:5" x14ac:dyDescent="0.25">
      <c r="A107" s="17" t="s">
        <v>629</v>
      </c>
      <c r="B107" s="13" t="s">
        <v>113</v>
      </c>
      <c r="C107" s="16">
        <v>7250359</v>
      </c>
      <c r="D107" s="13">
        <v>26.823499999999999</v>
      </c>
      <c r="E107" s="16">
        <v>270298.76787145599</v>
      </c>
    </row>
    <row r="108" spans="1:5" x14ac:dyDescent="0.25">
      <c r="A108" s="17" t="s">
        <v>630</v>
      </c>
      <c r="B108" s="13" t="s">
        <v>114</v>
      </c>
      <c r="C108" s="16">
        <v>2156754758</v>
      </c>
      <c r="D108" s="16">
        <v>19116.297999999999</v>
      </c>
      <c r="E108" s="16">
        <v>112822.82573749374</v>
      </c>
    </row>
    <row r="109" spans="1:5" x14ac:dyDescent="0.25">
      <c r="A109" s="17" t="s">
        <v>631</v>
      </c>
      <c r="B109" s="13" t="s">
        <v>115</v>
      </c>
      <c r="C109" s="16">
        <v>115298296</v>
      </c>
      <c r="D109" s="16">
        <v>1637.3587</v>
      </c>
      <c r="E109" s="16">
        <v>70417.249439600491</v>
      </c>
    </row>
    <row r="110" spans="1:5" x14ac:dyDescent="0.25">
      <c r="A110" s="17" t="s">
        <v>632</v>
      </c>
      <c r="B110" s="13" t="s">
        <v>116</v>
      </c>
      <c r="C110" s="16">
        <v>63714491</v>
      </c>
      <c r="D110" s="13">
        <v>904.86810000000003</v>
      </c>
      <c r="E110" s="16">
        <v>70413.01489134162</v>
      </c>
    </row>
    <row r="111" spans="1:5" x14ac:dyDescent="0.25">
      <c r="A111" s="17" t="s">
        <v>633</v>
      </c>
      <c r="B111" s="13" t="s">
        <v>117</v>
      </c>
      <c r="C111" s="16">
        <v>76858539</v>
      </c>
      <c r="D111" s="13">
        <v>623.25810000000001</v>
      </c>
      <c r="E111" s="16">
        <v>123317.35279493358</v>
      </c>
    </row>
    <row r="112" spans="1:5" x14ac:dyDescent="0.25">
      <c r="A112" s="17" t="s">
        <v>634</v>
      </c>
      <c r="B112" s="13" t="s">
        <v>118</v>
      </c>
      <c r="C112" s="16">
        <v>55383088</v>
      </c>
      <c r="D112" s="13">
        <v>533.86180000000002</v>
      </c>
      <c r="E112" s="16">
        <v>103740.49613589134</v>
      </c>
    </row>
    <row r="113" spans="1:5" x14ac:dyDescent="0.25">
      <c r="A113" s="17" t="s">
        <v>635</v>
      </c>
      <c r="B113" s="13" t="s">
        <v>119</v>
      </c>
      <c r="C113" s="16">
        <v>107339050</v>
      </c>
      <c r="D113" s="16">
        <v>1201.5925999999999</v>
      </c>
      <c r="E113" s="16">
        <v>89330.651670125138</v>
      </c>
    </row>
    <row r="114" spans="1:5" x14ac:dyDescent="0.25">
      <c r="A114" s="17" t="s">
        <v>636</v>
      </c>
      <c r="B114" s="13" t="s">
        <v>120</v>
      </c>
      <c r="C114" s="16">
        <v>67855636</v>
      </c>
      <c r="D114" s="13">
        <v>563.80110000000002</v>
      </c>
      <c r="E114" s="16">
        <v>120353.8552869088</v>
      </c>
    </row>
    <row r="115" spans="1:5" x14ac:dyDescent="0.25">
      <c r="A115" s="17" t="s">
        <v>637</v>
      </c>
      <c r="B115" s="13" t="s">
        <v>121</v>
      </c>
      <c r="C115" s="16">
        <v>1276901629</v>
      </c>
      <c r="D115" s="16">
        <v>8180.9003000000002</v>
      </c>
      <c r="E115" s="16">
        <v>156083.26494334615</v>
      </c>
    </row>
    <row r="116" spans="1:5" x14ac:dyDescent="0.25">
      <c r="A116" s="17" t="s">
        <v>638</v>
      </c>
      <c r="B116" s="13" t="s">
        <v>122</v>
      </c>
      <c r="C116" s="16">
        <v>9165038</v>
      </c>
      <c r="D116" s="13">
        <v>145.88990000000001</v>
      </c>
      <c r="E116" s="16">
        <v>62821.607253140894</v>
      </c>
    </row>
    <row r="117" spans="1:5" x14ac:dyDescent="0.25">
      <c r="A117" s="17" t="s">
        <v>639</v>
      </c>
      <c r="B117" s="13" t="s">
        <v>123</v>
      </c>
      <c r="C117" s="16">
        <v>9635731</v>
      </c>
      <c r="D117" s="13">
        <v>93.069900000000004</v>
      </c>
      <c r="E117" s="16">
        <v>103532.19461931301</v>
      </c>
    </row>
    <row r="118" spans="1:5" x14ac:dyDescent="0.25">
      <c r="A118" s="17" t="s">
        <v>640</v>
      </c>
      <c r="B118" s="13" t="s">
        <v>124</v>
      </c>
      <c r="C118" s="16">
        <v>14024000</v>
      </c>
      <c r="D118" s="13">
        <v>154.37549999999999</v>
      </c>
      <c r="E118" s="16">
        <v>90843.430466621983</v>
      </c>
    </row>
    <row r="119" spans="1:5" x14ac:dyDescent="0.25">
      <c r="A119" s="17" t="s">
        <v>641</v>
      </c>
      <c r="B119" s="13" t="s">
        <v>125</v>
      </c>
      <c r="C119" s="16">
        <v>15705733</v>
      </c>
      <c r="D119" s="13">
        <v>239.7542</v>
      </c>
      <c r="E119" s="16">
        <v>65507.644912998396</v>
      </c>
    </row>
    <row r="120" spans="1:5" x14ac:dyDescent="0.25">
      <c r="A120" s="17" t="s">
        <v>642</v>
      </c>
      <c r="B120" s="13" t="s">
        <v>126</v>
      </c>
      <c r="C120" s="16">
        <v>19457304</v>
      </c>
      <c r="D120" s="13">
        <v>240.07259999999999</v>
      </c>
      <c r="E120" s="16">
        <v>81047.583106110396</v>
      </c>
    </row>
    <row r="121" spans="1:5" x14ac:dyDescent="0.25">
      <c r="A121" s="17" t="s">
        <v>643</v>
      </c>
      <c r="B121" s="13" t="s">
        <v>127</v>
      </c>
      <c r="C121" s="16">
        <v>139997454</v>
      </c>
      <c r="D121" s="16">
        <v>1397.1775</v>
      </c>
      <c r="E121" s="16">
        <v>100200.19217314909</v>
      </c>
    </row>
    <row r="122" spans="1:5" x14ac:dyDescent="0.25">
      <c r="A122" s="17" t="s">
        <v>644</v>
      </c>
      <c r="B122" s="13" t="s">
        <v>128</v>
      </c>
      <c r="C122" s="16">
        <v>67651025</v>
      </c>
      <c r="D122" s="13">
        <v>854.88829999999996</v>
      </c>
      <c r="E122" s="16">
        <v>79134.344217835242</v>
      </c>
    </row>
    <row r="123" spans="1:5" x14ac:dyDescent="0.25">
      <c r="A123" s="17" t="s">
        <v>645</v>
      </c>
      <c r="B123" s="13" t="s">
        <v>129</v>
      </c>
      <c r="C123" s="16">
        <v>117418154</v>
      </c>
      <c r="D123" s="16">
        <v>1353.3127999999999</v>
      </c>
      <c r="E123" s="16">
        <v>86763.499170332245</v>
      </c>
    </row>
    <row r="124" spans="1:5" x14ac:dyDescent="0.25">
      <c r="A124" s="17" t="s">
        <v>646</v>
      </c>
      <c r="B124" s="13" t="s">
        <v>130</v>
      </c>
      <c r="C124" s="16">
        <v>60799963</v>
      </c>
      <c r="D124" s="13">
        <v>925.57950000000005</v>
      </c>
      <c r="E124" s="16">
        <v>65688.536749139326</v>
      </c>
    </row>
    <row r="125" spans="1:5" x14ac:dyDescent="0.25">
      <c r="A125" s="17" t="s">
        <v>647</v>
      </c>
      <c r="B125" s="13" t="s">
        <v>131</v>
      </c>
      <c r="C125" s="16">
        <v>32246910</v>
      </c>
      <c r="D125" s="13">
        <v>334.10820000000001</v>
      </c>
      <c r="E125" s="16">
        <v>96516.368050829042</v>
      </c>
    </row>
    <row r="126" spans="1:5" x14ac:dyDescent="0.25">
      <c r="A126" s="17" t="s">
        <v>648</v>
      </c>
      <c r="B126" s="13" t="s">
        <v>132</v>
      </c>
      <c r="C126" s="16">
        <v>11781486</v>
      </c>
      <c r="D126" s="13">
        <v>150.70500000000001</v>
      </c>
      <c r="E126" s="16">
        <v>78175.813675724086</v>
      </c>
    </row>
    <row r="127" spans="1:5" x14ac:dyDescent="0.25">
      <c r="A127" s="17" t="s">
        <v>649</v>
      </c>
      <c r="B127" s="13" t="s">
        <v>133</v>
      </c>
      <c r="C127" s="16">
        <v>11445706</v>
      </c>
      <c r="D127" s="13">
        <v>152.3424</v>
      </c>
      <c r="E127" s="16">
        <v>75131.453882832357</v>
      </c>
    </row>
    <row r="128" spans="1:5" x14ac:dyDescent="0.25">
      <c r="A128" s="17" t="s">
        <v>650</v>
      </c>
      <c r="B128" s="13" t="s">
        <v>134</v>
      </c>
      <c r="C128" s="16">
        <v>40505534</v>
      </c>
      <c r="D128" s="13">
        <v>393.03989999999999</v>
      </c>
      <c r="E128" s="16">
        <v>103057.05349507772</v>
      </c>
    </row>
    <row r="129" spans="1:5" x14ac:dyDescent="0.25">
      <c r="A129" s="17" t="s">
        <v>651</v>
      </c>
      <c r="B129" s="13" t="s">
        <v>135</v>
      </c>
      <c r="C129" s="16">
        <v>123540770</v>
      </c>
      <c r="D129" s="16">
        <v>1572.5821000000001</v>
      </c>
      <c r="E129" s="16">
        <v>78559.186194475944</v>
      </c>
    </row>
    <row r="130" spans="1:5" x14ac:dyDescent="0.25">
      <c r="A130" s="17" t="s">
        <v>652</v>
      </c>
      <c r="B130" s="13" t="s">
        <v>136</v>
      </c>
      <c r="C130" s="16">
        <v>14801714</v>
      </c>
      <c r="D130" s="13">
        <v>190.93010000000001</v>
      </c>
      <c r="E130" s="16">
        <v>77524.256259227855</v>
      </c>
    </row>
    <row r="131" spans="1:5" x14ac:dyDescent="0.25">
      <c r="A131" s="17" t="s">
        <v>653</v>
      </c>
      <c r="B131" s="13" t="s">
        <v>137</v>
      </c>
      <c r="C131" s="16">
        <v>23788254</v>
      </c>
      <c r="D131" s="13">
        <v>155.62309999999999</v>
      </c>
      <c r="E131" s="16">
        <v>152858.11682198851</v>
      </c>
    </row>
    <row r="132" spans="1:5" x14ac:dyDescent="0.25">
      <c r="A132" s="17" t="s">
        <v>654</v>
      </c>
      <c r="B132" s="13" t="s">
        <v>138</v>
      </c>
      <c r="C132" s="16">
        <v>11527372</v>
      </c>
      <c r="D132" s="13">
        <v>74.837599999999995</v>
      </c>
      <c r="E132" s="16">
        <v>154031.82357531509</v>
      </c>
    </row>
    <row r="133" spans="1:5" x14ac:dyDescent="0.25">
      <c r="A133" s="17" t="s">
        <v>655</v>
      </c>
      <c r="B133" s="13" t="s">
        <v>139</v>
      </c>
      <c r="C133" s="16">
        <v>45797143</v>
      </c>
      <c r="D133" s="13">
        <v>557.32079999999996</v>
      </c>
      <c r="E133" s="16">
        <v>82173.755223203596</v>
      </c>
    </row>
    <row r="134" spans="1:5" x14ac:dyDescent="0.25">
      <c r="A134" s="17" t="s">
        <v>656</v>
      </c>
      <c r="B134" s="13" t="s">
        <v>140</v>
      </c>
      <c r="C134" s="16">
        <v>22418016</v>
      </c>
      <c r="D134" s="13">
        <v>163.99289999999999</v>
      </c>
      <c r="E134" s="16">
        <v>136701.13767120405</v>
      </c>
    </row>
    <row r="135" spans="1:5" x14ac:dyDescent="0.25">
      <c r="A135" s="17" t="s">
        <v>657</v>
      </c>
      <c r="B135" s="13" t="s">
        <v>141</v>
      </c>
      <c r="C135" s="16">
        <v>20958293</v>
      </c>
      <c r="D135" s="13">
        <v>102.96510000000001</v>
      </c>
      <c r="E135" s="16">
        <v>203547.54183699135</v>
      </c>
    </row>
    <row r="136" spans="1:5" x14ac:dyDescent="0.25">
      <c r="A136" s="17" t="s">
        <v>658</v>
      </c>
      <c r="B136" s="13" t="s">
        <v>142</v>
      </c>
      <c r="C136" s="16">
        <v>70219547</v>
      </c>
      <c r="D136" s="13">
        <v>537.43889999999999</v>
      </c>
      <c r="E136" s="16">
        <v>130655.86990446728</v>
      </c>
    </row>
    <row r="137" spans="1:5" x14ac:dyDescent="0.25">
      <c r="A137" s="17" t="s">
        <v>659</v>
      </c>
      <c r="B137" s="13" t="s">
        <v>143</v>
      </c>
      <c r="C137" s="16">
        <v>29105093</v>
      </c>
      <c r="D137" s="13">
        <v>140.85300000000001</v>
      </c>
      <c r="E137" s="16">
        <v>206634.52677614248</v>
      </c>
    </row>
    <row r="138" spans="1:5" x14ac:dyDescent="0.25">
      <c r="A138" s="17" t="s">
        <v>660</v>
      </c>
      <c r="B138" s="13" t="s">
        <v>144</v>
      </c>
      <c r="C138" s="16">
        <v>18386678</v>
      </c>
      <c r="D138" s="13">
        <v>207.72460000000001</v>
      </c>
      <c r="E138" s="16">
        <v>88514.68723492547</v>
      </c>
    </row>
    <row r="139" spans="1:5" x14ac:dyDescent="0.25">
      <c r="A139" s="17" t="s">
        <v>661</v>
      </c>
      <c r="B139" s="13" t="s">
        <v>145</v>
      </c>
      <c r="C139" s="16">
        <v>68706400</v>
      </c>
      <c r="D139" s="16">
        <v>988.13260000000002</v>
      </c>
      <c r="E139" s="16">
        <v>69531.558821154162</v>
      </c>
    </row>
    <row r="140" spans="1:5" x14ac:dyDescent="0.25">
      <c r="A140" s="17" t="s">
        <v>662</v>
      </c>
      <c r="B140" s="13" t="s">
        <v>146</v>
      </c>
      <c r="C140" s="16">
        <v>14948585</v>
      </c>
      <c r="D140" s="13">
        <v>164.72200000000001</v>
      </c>
      <c r="E140" s="16">
        <v>90750.385497990545</v>
      </c>
    </row>
    <row r="141" spans="1:5" x14ac:dyDescent="0.25">
      <c r="A141" s="17" t="s">
        <v>663</v>
      </c>
      <c r="B141" s="13" t="s">
        <v>147</v>
      </c>
      <c r="C141" s="16">
        <v>21234710</v>
      </c>
      <c r="D141" s="13">
        <v>270.14839999999998</v>
      </c>
      <c r="E141" s="16">
        <v>78603.871057537268</v>
      </c>
    </row>
    <row r="142" spans="1:5" x14ac:dyDescent="0.25">
      <c r="A142" s="17" t="s">
        <v>664</v>
      </c>
      <c r="B142" s="13" t="s">
        <v>148</v>
      </c>
      <c r="C142" s="16">
        <v>33959093</v>
      </c>
      <c r="D142" s="13">
        <v>338.17559999999997</v>
      </c>
      <c r="E142" s="16">
        <v>100418.51925449383</v>
      </c>
    </row>
    <row r="143" spans="1:5" x14ac:dyDescent="0.25">
      <c r="A143" s="17" t="s">
        <v>665</v>
      </c>
      <c r="B143" s="13" t="s">
        <v>149</v>
      </c>
      <c r="C143" s="16">
        <v>20444297</v>
      </c>
      <c r="D143" s="13">
        <v>266.67970000000003</v>
      </c>
      <c r="E143" s="16">
        <v>76662.366876818895</v>
      </c>
    </row>
    <row r="144" spans="1:5" x14ac:dyDescent="0.25">
      <c r="A144" s="17" t="s">
        <v>666</v>
      </c>
      <c r="B144" s="13" t="s">
        <v>150</v>
      </c>
      <c r="C144" s="16">
        <v>10621326</v>
      </c>
      <c r="D144" s="13">
        <v>105.9509</v>
      </c>
      <c r="E144" s="16">
        <v>100247.62413533061</v>
      </c>
    </row>
    <row r="145" spans="1:5" x14ac:dyDescent="0.25">
      <c r="A145" s="17" t="s">
        <v>667</v>
      </c>
      <c r="B145" s="13" t="s">
        <v>151</v>
      </c>
      <c r="C145" s="16">
        <v>7514730</v>
      </c>
      <c r="D145" s="13">
        <v>117.8796</v>
      </c>
      <c r="E145" s="16">
        <v>63749.198334571884</v>
      </c>
    </row>
    <row r="146" spans="1:5" x14ac:dyDescent="0.25">
      <c r="A146" s="17" t="s">
        <v>668</v>
      </c>
      <c r="B146" s="13" t="s">
        <v>152</v>
      </c>
      <c r="C146" s="16">
        <v>104588389</v>
      </c>
      <c r="D146" s="16">
        <v>1239.0862</v>
      </c>
      <c r="E146" s="16">
        <v>84407.678013038967</v>
      </c>
    </row>
    <row r="147" spans="1:5" x14ac:dyDescent="0.25">
      <c r="A147" s="17" t="s">
        <v>669</v>
      </c>
      <c r="B147" s="13" t="s">
        <v>153</v>
      </c>
      <c r="C147" s="16">
        <v>46851224</v>
      </c>
      <c r="D147" s="13">
        <v>911.86739999999998</v>
      </c>
      <c r="E147" s="16">
        <v>51379.426438537012</v>
      </c>
    </row>
    <row r="148" spans="1:5" x14ac:dyDescent="0.25">
      <c r="A148" s="17" t="s">
        <v>670</v>
      </c>
      <c r="B148" s="13" t="s">
        <v>154</v>
      </c>
      <c r="C148" s="16">
        <v>48312476</v>
      </c>
      <c r="D148" s="13">
        <v>504.48880000000003</v>
      </c>
      <c r="E148" s="16">
        <v>95765.210248473304</v>
      </c>
    </row>
    <row r="149" spans="1:5" x14ac:dyDescent="0.25">
      <c r="A149" s="17" t="s">
        <v>671</v>
      </c>
      <c r="B149" s="13" t="s">
        <v>155</v>
      </c>
      <c r="C149" s="16">
        <v>22558892</v>
      </c>
      <c r="D149" s="13">
        <v>466.8476</v>
      </c>
      <c r="E149" s="16">
        <v>48321.747825200342</v>
      </c>
    </row>
    <row r="150" spans="1:5" x14ac:dyDescent="0.25">
      <c r="A150" s="17" t="s">
        <v>672</v>
      </c>
      <c r="B150" s="13" t="s">
        <v>156</v>
      </c>
      <c r="C150" s="16">
        <v>13908405</v>
      </c>
      <c r="D150" s="13">
        <v>313.05200000000002</v>
      </c>
      <c r="E150" s="16">
        <v>44428.41764307527</v>
      </c>
    </row>
    <row r="151" spans="1:5" x14ac:dyDescent="0.25">
      <c r="A151" s="17" t="s">
        <v>673</v>
      </c>
      <c r="B151" s="13" t="s">
        <v>157</v>
      </c>
      <c r="C151" s="16">
        <v>50842914</v>
      </c>
      <c r="D151" s="13">
        <v>711.80790000000002</v>
      </c>
      <c r="E151" s="16">
        <v>71427.858555658066</v>
      </c>
    </row>
    <row r="152" spans="1:5" x14ac:dyDescent="0.25">
      <c r="A152" s="17" t="s">
        <v>674</v>
      </c>
      <c r="B152" s="13" t="s">
        <v>158</v>
      </c>
      <c r="C152" s="16">
        <v>15488414</v>
      </c>
      <c r="D152" s="13">
        <v>231.8965</v>
      </c>
      <c r="E152" s="16">
        <v>66790.201663242013</v>
      </c>
    </row>
    <row r="153" spans="1:5" x14ac:dyDescent="0.25">
      <c r="A153" s="17" t="s">
        <v>675</v>
      </c>
      <c r="B153" s="13" t="s">
        <v>159</v>
      </c>
      <c r="C153" s="16">
        <v>94430475</v>
      </c>
      <c r="D153" s="16">
        <v>1849.1883</v>
      </c>
      <c r="E153" s="16">
        <v>51065.905511082892</v>
      </c>
    </row>
    <row r="154" spans="1:5" x14ac:dyDescent="0.25">
      <c r="A154" s="17" t="s">
        <v>676</v>
      </c>
      <c r="B154" s="13" t="s">
        <v>160</v>
      </c>
      <c r="C154" s="16">
        <v>33099665</v>
      </c>
      <c r="D154" s="13">
        <v>156.97229999999999</v>
      </c>
      <c r="E154" s="16">
        <v>210863.09495369566</v>
      </c>
    </row>
    <row r="155" spans="1:5" x14ac:dyDescent="0.25">
      <c r="A155" s="17" t="s">
        <v>677</v>
      </c>
      <c r="B155" s="13" t="s">
        <v>161</v>
      </c>
      <c r="C155" s="16">
        <v>331400648</v>
      </c>
      <c r="D155" s="16">
        <v>3048.5551</v>
      </c>
      <c r="E155" s="16">
        <v>108707.44898132233</v>
      </c>
    </row>
    <row r="156" spans="1:5" x14ac:dyDescent="0.25">
      <c r="A156" s="17" t="s">
        <v>678</v>
      </c>
      <c r="B156" s="13" t="s">
        <v>162</v>
      </c>
      <c r="C156" s="16">
        <v>318744690</v>
      </c>
      <c r="D156" s="16">
        <v>3041.7310000000002</v>
      </c>
      <c r="E156" s="16">
        <v>104790.55840243597</v>
      </c>
    </row>
    <row r="157" spans="1:5" x14ac:dyDescent="0.25">
      <c r="A157" s="17" t="s">
        <v>679</v>
      </c>
      <c r="B157" s="13" t="s">
        <v>163</v>
      </c>
      <c r="C157" s="16">
        <v>38437175</v>
      </c>
      <c r="D157" s="13">
        <v>441.78719999999998</v>
      </c>
      <c r="E157" s="16">
        <v>87003.822202182404</v>
      </c>
    </row>
    <row r="158" spans="1:5" x14ac:dyDescent="0.25">
      <c r="A158" s="17" t="s">
        <v>680</v>
      </c>
      <c r="B158" s="13" t="s">
        <v>164</v>
      </c>
      <c r="C158" s="16">
        <v>26725254</v>
      </c>
      <c r="D158" s="13">
        <v>290.93979999999999</v>
      </c>
      <c r="E158" s="16">
        <v>91858.363826468572</v>
      </c>
    </row>
    <row r="159" spans="1:5" x14ac:dyDescent="0.25">
      <c r="A159" s="17" t="s">
        <v>681</v>
      </c>
      <c r="B159" s="13" t="s">
        <v>165</v>
      </c>
      <c r="C159" s="16">
        <v>12049834</v>
      </c>
      <c r="D159" s="13">
        <v>97.794499999999999</v>
      </c>
      <c r="E159" s="16">
        <v>123215.86592293023</v>
      </c>
    </row>
    <row r="160" spans="1:5" x14ac:dyDescent="0.25">
      <c r="A160" s="17" t="s">
        <v>682</v>
      </c>
      <c r="B160" s="13" t="s">
        <v>166</v>
      </c>
      <c r="C160" s="16">
        <v>146439672</v>
      </c>
      <c r="D160" s="16">
        <v>1997.2898</v>
      </c>
      <c r="E160" s="16">
        <v>73319.190835501184</v>
      </c>
    </row>
    <row r="161" spans="1:5" x14ac:dyDescent="0.25">
      <c r="A161" s="17" t="s">
        <v>683</v>
      </c>
      <c r="B161" s="13" t="s">
        <v>1577</v>
      </c>
      <c r="C161" s="16">
        <v>165567779</v>
      </c>
      <c r="D161" s="16">
        <v>1898.0664999999999</v>
      </c>
      <c r="E161" s="16">
        <v>87229.704017219628</v>
      </c>
    </row>
    <row r="162" spans="1:5" x14ac:dyDescent="0.25">
      <c r="A162" s="17" t="s">
        <v>684</v>
      </c>
      <c r="B162" s="13" t="s">
        <v>168</v>
      </c>
      <c r="C162" s="16">
        <v>36311189</v>
      </c>
      <c r="D162" s="13">
        <v>465.02319999999997</v>
      </c>
      <c r="E162" s="16">
        <v>78084.682656693258</v>
      </c>
    </row>
    <row r="163" spans="1:5" x14ac:dyDescent="0.25">
      <c r="A163" s="17" t="s">
        <v>685</v>
      </c>
      <c r="B163" s="13" t="s">
        <v>169</v>
      </c>
      <c r="C163" s="16">
        <v>768224520</v>
      </c>
      <c r="D163" s="16">
        <v>3671.1705999999999</v>
      </c>
      <c r="E163" s="16">
        <v>209258.73616442669</v>
      </c>
    </row>
    <row r="164" spans="1:5" x14ac:dyDescent="0.25">
      <c r="A164" s="17" t="s">
        <v>686</v>
      </c>
      <c r="B164" s="13" t="s">
        <v>170</v>
      </c>
      <c r="C164" s="16">
        <v>160500896</v>
      </c>
      <c r="D164" s="16">
        <v>1742.7446</v>
      </c>
      <c r="E164" s="16">
        <v>92096.62505911653</v>
      </c>
    </row>
    <row r="165" spans="1:5" x14ac:dyDescent="0.25">
      <c r="A165" s="17" t="s">
        <v>687</v>
      </c>
      <c r="B165" s="13" t="s">
        <v>171</v>
      </c>
      <c r="C165" s="16">
        <v>119624128</v>
      </c>
      <c r="D165" s="13">
        <v>865.97439999999995</v>
      </c>
      <c r="E165" s="16">
        <v>138138.18052820038</v>
      </c>
    </row>
    <row r="166" spans="1:5" x14ac:dyDescent="0.25">
      <c r="A166" s="17" t="s">
        <v>688</v>
      </c>
      <c r="B166" s="13" t="s">
        <v>172</v>
      </c>
      <c r="C166" s="16">
        <v>46820189</v>
      </c>
      <c r="D166" s="13">
        <v>316.92149999999998</v>
      </c>
      <c r="E166" s="16">
        <v>147734.34115388198</v>
      </c>
    </row>
    <row r="167" spans="1:5" x14ac:dyDescent="0.25">
      <c r="A167" s="17" t="s">
        <v>689</v>
      </c>
      <c r="B167" s="13" t="s">
        <v>173</v>
      </c>
      <c r="C167" s="16">
        <v>26926302</v>
      </c>
      <c r="D167" s="13">
        <v>311.73439999999999</v>
      </c>
      <c r="E167" s="16">
        <v>86375.780151308296</v>
      </c>
    </row>
    <row r="168" spans="1:5" x14ac:dyDescent="0.25">
      <c r="A168" s="17" t="s">
        <v>690</v>
      </c>
      <c r="B168" s="13" t="s">
        <v>174</v>
      </c>
      <c r="C168" s="16">
        <v>37204808</v>
      </c>
      <c r="D168" s="13">
        <v>396.2296</v>
      </c>
      <c r="E168" s="16">
        <v>93897.094008120548</v>
      </c>
    </row>
    <row r="169" spans="1:5" x14ac:dyDescent="0.25">
      <c r="A169" s="17" t="s">
        <v>691</v>
      </c>
      <c r="B169" s="13" t="s">
        <v>175</v>
      </c>
      <c r="C169" s="16">
        <v>379521822</v>
      </c>
      <c r="D169" s="16">
        <v>4389.8647000000001</v>
      </c>
      <c r="E169" s="16">
        <v>86454.104610558948</v>
      </c>
    </row>
    <row r="170" spans="1:5" x14ac:dyDescent="0.25">
      <c r="A170" s="17" t="s">
        <v>692</v>
      </c>
      <c r="B170" s="13" t="s">
        <v>176</v>
      </c>
      <c r="C170" s="16">
        <v>371860994</v>
      </c>
      <c r="D170" s="16">
        <v>4616.5544</v>
      </c>
      <c r="E170" s="16">
        <v>80549.466502550044</v>
      </c>
    </row>
    <row r="171" spans="1:5" x14ac:dyDescent="0.25">
      <c r="A171" s="17" t="s">
        <v>693</v>
      </c>
      <c r="B171" s="13" t="s">
        <v>177</v>
      </c>
      <c r="C171" s="16">
        <v>60146532</v>
      </c>
      <c r="D171" s="13">
        <v>654.40769999999998</v>
      </c>
      <c r="E171" s="16">
        <v>91909.878199782805</v>
      </c>
    </row>
    <row r="172" spans="1:5" x14ac:dyDescent="0.25">
      <c r="A172" s="17" t="s">
        <v>694</v>
      </c>
      <c r="B172" s="13" t="s">
        <v>178</v>
      </c>
      <c r="C172" s="16">
        <v>20898067</v>
      </c>
      <c r="D172" s="13">
        <v>248.66900000000001</v>
      </c>
      <c r="E172" s="16">
        <v>84039.695337979399</v>
      </c>
    </row>
    <row r="173" spans="1:5" x14ac:dyDescent="0.25">
      <c r="A173" s="17" t="s">
        <v>695</v>
      </c>
      <c r="B173" s="13" t="s">
        <v>179</v>
      </c>
      <c r="C173" s="16">
        <v>203740630</v>
      </c>
      <c r="D173" s="16">
        <v>1137.0152</v>
      </c>
      <c r="E173" s="16">
        <v>179189.01172121533</v>
      </c>
    </row>
    <row r="174" spans="1:5" x14ac:dyDescent="0.25">
      <c r="A174" s="17" t="s">
        <v>696</v>
      </c>
      <c r="B174" s="13" t="s">
        <v>180</v>
      </c>
      <c r="C174" s="16">
        <v>250309717</v>
      </c>
      <c r="D174" s="16">
        <v>2124.1071000000002</v>
      </c>
      <c r="E174" s="16">
        <v>117842.32395814692</v>
      </c>
    </row>
    <row r="175" spans="1:5" x14ac:dyDescent="0.25">
      <c r="A175" s="17" t="s">
        <v>697</v>
      </c>
      <c r="B175" s="13" t="s">
        <v>181</v>
      </c>
      <c r="C175" s="16">
        <v>3601528129</v>
      </c>
      <c r="D175" s="16">
        <v>24040.679400000001</v>
      </c>
      <c r="E175" s="16">
        <v>149809.74826360357</v>
      </c>
    </row>
    <row r="176" spans="1:5" x14ac:dyDescent="0.25">
      <c r="A176" s="17" t="s">
        <v>698</v>
      </c>
      <c r="B176" s="13" t="s">
        <v>182</v>
      </c>
      <c r="C176" s="16">
        <v>69236238</v>
      </c>
      <c r="D176" s="16">
        <v>1069.5133000000001</v>
      </c>
      <c r="E176" s="16">
        <v>64736.210386537496</v>
      </c>
    </row>
    <row r="177" spans="1:5" x14ac:dyDescent="0.25">
      <c r="A177" s="17" t="s">
        <v>699</v>
      </c>
      <c r="B177" s="13" t="s">
        <v>1578</v>
      </c>
      <c r="C177" s="16">
        <v>11753755</v>
      </c>
      <c r="D177" s="13">
        <v>113.3145</v>
      </c>
      <c r="E177" s="16">
        <v>103726.83990133656</v>
      </c>
    </row>
    <row r="178" spans="1:5" x14ac:dyDescent="0.25">
      <c r="A178" s="17" t="s">
        <v>700</v>
      </c>
      <c r="B178" s="13" t="s">
        <v>184</v>
      </c>
      <c r="C178" s="16">
        <v>4776956</v>
      </c>
      <c r="D178" s="13">
        <v>42.431399999999996</v>
      </c>
      <c r="E178" s="16">
        <v>112580.68317331035</v>
      </c>
    </row>
    <row r="179" spans="1:5" x14ac:dyDescent="0.25">
      <c r="A179" s="17" t="s">
        <v>701</v>
      </c>
      <c r="B179" s="13" t="s">
        <v>185</v>
      </c>
      <c r="C179" s="16">
        <v>8177267</v>
      </c>
      <c r="D179" s="13">
        <v>55.965200000000003</v>
      </c>
      <c r="E179" s="16">
        <v>146113.42405637787</v>
      </c>
    </row>
    <row r="180" spans="1:5" x14ac:dyDescent="0.25">
      <c r="A180" s="17" t="s">
        <v>702</v>
      </c>
      <c r="B180" s="13" t="s">
        <v>186</v>
      </c>
      <c r="C180" s="16">
        <v>7053262</v>
      </c>
      <c r="D180" s="13">
        <v>53.473700000000001</v>
      </c>
      <c r="E180" s="16">
        <v>131901.51420230878</v>
      </c>
    </row>
    <row r="181" spans="1:5" x14ac:dyDescent="0.25">
      <c r="A181" s="17" t="s">
        <v>703</v>
      </c>
      <c r="B181" s="13" t="s">
        <v>187</v>
      </c>
      <c r="C181" s="16">
        <v>81235540</v>
      </c>
      <c r="D181" s="16">
        <v>1076.1893</v>
      </c>
      <c r="E181" s="16">
        <v>75484.433825907763</v>
      </c>
    </row>
    <row r="182" spans="1:5" x14ac:dyDescent="0.25">
      <c r="A182" s="17" t="s">
        <v>704</v>
      </c>
      <c r="B182" s="13" t="s">
        <v>188</v>
      </c>
      <c r="C182" s="16">
        <v>6112089</v>
      </c>
      <c r="D182" s="13">
        <v>58.991100000000003</v>
      </c>
      <c r="E182" s="16">
        <v>103610.3581726735</v>
      </c>
    </row>
    <row r="183" spans="1:5" x14ac:dyDescent="0.25">
      <c r="A183" s="17" t="s">
        <v>705</v>
      </c>
      <c r="B183" s="13" t="s">
        <v>189</v>
      </c>
      <c r="C183" s="16">
        <v>66665848</v>
      </c>
      <c r="D183" s="13">
        <v>832.274</v>
      </c>
      <c r="E183" s="16">
        <v>80100.841790083548</v>
      </c>
    </row>
    <row r="184" spans="1:5" x14ac:dyDescent="0.25">
      <c r="A184" s="17" t="s">
        <v>706</v>
      </c>
      <c r="B184" s="13" t="s">
        <v>190</v>
      </c>
      <c r="C184" s="16">
        <v>19658123</v>
      </c>
      <c r="D184" s="13">
        <v>191.1343</v>
      </c>
      <c r="E184" s="16">
        <v>102849.79200488872</v>
      </c>
    </row>
    <row r="185" spans="1:5" x14ac:dyDescent="0.25">
      <c r="A185" s="17" t="s">
        <v>707</v>
      </c>
      <c r="B185" s="13" t="s">
        <v>191</v>
      </c>
      <c r="C185" s="16">
        <v>11825477</v>
      </c>
      <c r="D185" s="13">
        <v>118.25069999999999</v>
      </c>
      <c r="E185" s="16">
        <v>100003.44184009059</v>
      </c>
    </row>
    <row r="186" spans="1:5" x14ac:dyDescent="0.25">
      <c r="A186" s="17" t="s">
        <v>708</v>
      </c>
      <c r="B186" s="13" t="s">
        <v>192</v>
      </c>
      <c r="C186" s="16">
        <v>7940005</v>
      </c>
      <c r="D186" s="13">
        <v>78.636899999999997</v>
      </c>
      <c r="E186" s="16">
        <v>100970.47314937389</v>
      </c>
    </row>
    <row r="187" spans="1:5" x14ac:dyDescent="0.25">
      <c r="A187" s="17" t="s">
        <v>709</v>
      </c>
      <c r="B187" s="13" t="s">
        <v>193</v>
      </c>
      <c r="C187" s="16">
        <v>47437520</v>
      </c>
      <c r="D187" s="13">
        <v>675.91719999999998</v>
      </c>
      <c r="E187" s="16">
        <v>70182.442464846288</v>
      </c>
    </row>
    <row r="188" spans="1:5" x14ac:dyDescent="0.25">
      <c r="A188" s="17" t="s">
        <v>710</v>
      </c>
      <c r="B188" s="13" t="s">
        <v>194</v>
      </c>
      <c r="C188" s="16">
        <v>10342906</v>
      </c>
      <c r="D188" s="13">
        <v>71.070499999999996</v>
      </c>
      <c r="E188" s="16">
        <v>145530.22702809185</v>
      </c>
    </row>
    <row r="189" spans="1:5" x14ac:dyDescent="0.25">
      <c r="A189" s="17" t="s">
        <v>711</v>
      </c>
      <c r="B189" s="13" t="s">
        <v>195</v>
      </c>
      <c r="C189" s="16">
        <v>11666962</v>
      </c>
      <c r="D189" s="13">
        <v>96.184600000000003</v>
      </c>
      <c r="E189" s="16">
        <v>121297.60897274615</v>
      </c>
    </row>
    <row r="190" spans="1:5" x14ac:dyDescent="0.25">
      <c r="A190" s="17" t="s">
        <v>712</v>
      </c>
      <c r="B190" s="13" t="s">
        <v>196</v>
      </c>
      <c r="C190" s="16">
        <v>17164124</v>
      </c>
      <c r="D190" s="13">
        <v>136.05000000000001</v>
      </c>
      <c r="E190" s="16">
        <v>126160.41161337742</v>
      </c>
    </row>
    <row r="191" spans="1:5" x14ac:dyDescent="0.25">
      <c r="A191" s="17" t="s">
        <v>713</v>
      </c>
      <c r="B191" s="13" t="s">
        <v>197</v>
      </c>
      <c r="C191" s="16">
        <v>17125616</v>
      </c>
      <c r="D191" s="13">
        <v>49.391800000000003</v>
      </c>
      <c r="E191" s="16">
        <v>346729.94302698015</v>
      </c>
    </row>
    <row r="192" spans="1:5" x14ac:dyDescent="0.25">
      <c r="A192" s="17" t="s">
        <v>714</v>
      </c>
      <c r="B192" s="13" t="s">
        <v>198</v>
      </c>
      <c r="C192" s="16">
        <v>11857678</v>
      </c>
      <c r="D192" s="13">
        <v>102.07299999999999</v>
      </c>
      <c r="E192" s="16">
        <v>116168.60482203914</v>
      </c>
    </row>
    <row r="193" spans="1:5" x14ac:dyDescent="0.25">
      <c r="A193" s="17" t="s">
        <v>715</v>
      </c>
      <c r="B193" s="13" t="s">
        <v>199</v>
      </c>
      <c r="C193" s="16">
        <v>179410162</v>
      </c>
      <c r="D193" s="16">
        <v>1524.6301000000001</v>
      </c>
      <c r="E193" s="16">
        <v>117674.5506992155</v>
      </c>
    </row>
    <row r="194" spans="1:5" x14ac:dyDescent="0.25">
      <c r="A194" s="17" t="s">
        <v>716</v>
      </c>
      <c r="B194" s="13" t="s">
        <v>200</v>
      </c>
      <c r="C194" s="16">
        <v>45759906</v>
      </c>
      <c r="D194" s="13">
        <v>693.43119999999999</v>
      </c>
      <c r="E194" s="16">
        <v>65990.549603190622</v>
      </c>
    </row>
    <row r="195" spans="1:5" x14ac:dyDescent="0.25">
      <c r="A195" s="17" t="s">
        <v>717</v>
      </c>
      <c r="B195" s="13" t="s">
        <v>201</v>
      </c>
      <c r="C195" s="16">
        <v>38491970</v>
      </c>
      <c r="D195" s="13">
        <v>316.7713</v>
      </c>
      <c r="E195" s="16">
        <v>121513.43887530215</v>
      </c>
    </row>
    <row r="196" spans="1:5" x14ac:dyDescent="0.25">
      <c r="A196" s="17" t="s">
        <v>718</v>
      </c>
      <c r="B196" s="13" t="s">
        <v>202</v>
      </c>
      <c r="C196" s="16">
        <v>24422880</v>
      </c>
      <c r="D196" s="13">
        <v>314.6472</v>
      </c>
      <c r="E196" s="16">
        <v>77619.886654004862</v>
      </c>
    </row>
    <row r="197" spans="1:5" x14ac:dyDescent="0.25">
      <c r="A197" s="17" t="s">
        <v>719</v>
      </c>
      <c r="B197" s="13" t="s">
        <v>203</v>
      </c>
      <c r="C197" s="16">
        <v>42847221</v>
      </c>
      <c r="D197" s="13">
        <v>222.70760000000001</v>
      </c>
      <c r="E197" s="16">
        <v>192392.2713010243</v>
      </c>
    </row>
    <row r="198" spans="1:5" x14ac:dyDescent="0.25">
      <c r="A198" s="17" t="s">
        <v>720</v>
      </c>
      <c r="B198" s="13" t="s">
        <v>204</v>
      </c>
      <c r="C198" s="16">
        <v>25434370</v>
      </c>
      <c r="D198" s="13">
        <v>70.056100000000001</v>
      </c>
      <c r="E198" s="16">
        <v>363057.17846126173</v>
      </c>
    </row>
    <row r="199" spans="1:5" x14ac:dyDescent="0.25">
      <c r="A199" s="17" t="s">
        <v>721</v>
      </c>
      <c r="B199" s="13" t="s">
        <v>205</v>
      </c>
      <c r="C199" s="16">
        <v>35215307</v>
      </c>
      <c r="D199" s="13">
        <v>234.18620000000001</v>
      </c>
      <c r="E199" s="16">
        <v>150373.10909011718</v>
      </c>
    </row>
    <row r="200" spans="1:5" x14ac:dyDescent="0.25">
      <c r="A200" s="17" t="s">
        <v>722</v>
      </c>
      <c r="B200" s="13" t="s">
        <v>206</v>
      </c>
      <c r="C200" s="16">
        <v>35232939</v>
      </c>
      <c r="D200" s="13">
        <v>263.24590000000001</v>
      </c>
      <c r="E200" s="16">
        <v>133840.40929032513</v>
      </c>
    </row>
    <row r="201" spans="1:5" x14ac:dyDescent="0.25">
      <c r="A201" s="17" t="s">
        <v>723</v>
      </c>
      <c r="B201" s="13" t="s">
        <v>207</v>
      </c>
      <c r="C201" s="16">
        <v>27806982</v>
      </c>
      <c r="D201" s="13">
        <v>411.7029</v>
      </c>
      <c r="E201" s="16">
        <v>67541.379961132159</v>
      </c>
    </row>
    <row r="202" spans="1:5" x14ac:dyDescent="0.25">
      <c r="A202" s="17" t="s">
        <v>724</v>
      </c>
      <c r="B202" s="13" t="s">
        <v>208</v>
      </c>
      <c r="C202" s="16">
        <v>52983137</v>
      </c>
      <c r="D202" s="13">
        <v>554.51679999999999</v>
      </c>
      <c r="E202" s="16">
        <v>95548.298987514892</v>
      </c>
    </row>
    <row r="203" spans="1:5" x14ac:dyDescent="0.25">
      <c r="A203" s="17" t="s">
        <v>725</v>
      </c>
      <c r="B203" s="13" t="s">
        <v>209</v>
      </c>
      <c r="C203" s="16">
        <v>26184952</v>
      </c>
      <c r="D203" s="13">
        <v>271.34809999999999</v>
      </c>
      <c r="E203" s="16">
        <v>96499.48534741906</v>
      </c>
    </row>
    <row r="204" spans="1:5" x14ac:dyDescent="0.25">
      <c r="A204" s="17" t="s">
        <v>726</v>
      </c>
      <c r="B204" s="13" t="s">
        <v>210</v>
      </c>
      <c r="C204" s="16">
        <v>25438960</v>
      </c>
      <c r="D204" s="13">
        <v>250.934</v>
      </c>
      <c r="E204" s="16">
        <v>101377.09517243579</v>
      </c>
    </row>
    <row r="205" spans="1:5" x14ac:dyDescent="0.25">
      <c r="A205" s="17" t="s">
        <v>727</v>
      </c>
      <c r="B205" s="13" t="s">
        <v>211</v>
      </c>
      <c r="C205" s="16">
        <v>70975825</v>
      </c>
      <c r="D205" s="16">
        <v>1183.9097999999999</v>
      </c>
      <c r="E205" s="16">
        <v>59950.365306546162</v>
      </c>
    </row>
    <row r="206" spans="1:5" x14ac:dyDescent="0.25">
      <c r="A206" s="17" t="s">
        <v>728</v>
      </c>
      <c r="B206" s="13" t="s">
        <v>212</v>
      </c>
      <c r="C206" s="16">
        <v>72748062</v>
      </c>
      <c r="D206" s="16">
        <v>1235.7768000000001</v>
      </c>
      <c r="E206" s="16">
        <v>58868.285923477437</v>
      </c>
    </row>
    <row r="207" spans="1:5" x14ac:dyDescent="0.25">
      <c r="A207" s="17" t="s">
        <v>729</v>
      </c>
      <c r="B207" s="13" t="s">
        <v>213</v>
      </c>
      <c r="C207" s="16">
        <v>41257320</v>
      </c>
      <c r="D207" s="13">
        <v>529.43949999999995</v>
      </c>
      <c r="E207" s="16">
        <v>77926.410855253533</v>
      </c>
    </row>
    <row r="208" spans="1:5" x14ac:dyDescent="0.25">
      <c r="A208" s="17" t="s">
        <v>730</v>
      </c>
      <c r="B208" s="13" t="s">
        <v>214</v>
      </c>
      <c r="C208" s="16">
        <v>163057900</v>
      </c>
      <c r="D208" s="16">
        <v>2003.7947999999999</v>
      </c>
      <c r="E208" s="16">
        <v>81374.549928964785</v>
      </c>
    </row>
    <row r="209" spans="1:5" x14ac:dyDescent="0.25">
      <c r="A209" s="17" t="s">
        <v>731</v>
      </c>
      <c r="B209" s="13" t="s">
        <v>215</v>
      </c>
      <c r="C209" s="16">
        <v>29075080</v>
      </c>
      <c r="D209" s="13">
        <v>318.14299999999997</v>
      </c>
      <c r="E209" s="16">
        <v>91389.972433779782</v>
      </c>
    </row>
    <row r="210" spans="1:5" x14ac:dyDescent="0.25">
      <c r="A210" s="17" t="s">
        <v>732</v>
      </c>
      <c r="B210" s="13" t="s">
        <v>216</v>
      </c>
      <c r="C210" s="16">
        <v>18061690</v>
      </c>
      <c r="D210" s="13">
        <v>285.33109999999999</v>
      </c>
      <c r="E210" s="16">
        <v>63300.810882515085</v>
      </c>
    </row>
    <row r="211" spans="1:5" x14ac:dyDescent="0.25">
      <c r="A211" s="17" t="s">
        <v>733</v>
      </c>
      <c r="B211" s="13" t="s">
        <v>217</v>
      </c>
      <c r="C211" s="16">
        <v>48380550</v>
      </c>
      <c r="D211" s="13">
        <v>626.94479999999999</v>
      </c>
      <c r="E211" s="16">
        <v>77168.755526802357</v>
      </c>
    </row>
    <row r="212" spans="1:5" x14ac:dyDescent="0.25">
      <c r="A212" s="17" t="s">
        <v>734</v>
      </c>
      <c r="B212" s="13" t="s">
        <v>218</v>
      </c>
      <c r="C212" s="16">
        <v>34675285</v>
      </c>
      <c r="D212" s="13">
        <v>270.84300000000002</v>
      </c>
      <c r="E212" s="16">
        <v>128027.25195039192</v>
      </c>
    </row>
    <row r="213" spans="1:5" x14ac:dyDescent="0.25">
      <c r="A213" s="17" t="s">
        <v>735</v>
      </c>
      <c r="B213" s="13" t="s">
        <v>219</v>
      </c>
      <c r="C213" s="16">
        <v>53713575</v>
      </c>
      <c r="D213" s="13">
        <v>927.90380000000005</v>
      </c>
      <c r="E213" s="16">
        <v>57887.008329958342</v>
      </c>
    </row>
    <row r="214" spans="1:5" x14ac:dyDescent="0.25">
      <c r="A214" s="17" t="s">
        <v>736</v>
      </c>
      <c r="B214" s="13" t="s">
        <v>220</v>
      </c>
      <c r="C214" s="16">
        <v>10777630</v>
      </c>
      <c r="D214" s="13">
        <v>178.83799999999999</v>
      </c>
      <c r="E214" s="16">
        <v>60264.76475916752</v>
      </c>
    </row>
    <row r="215" spans="1:5" x14ac:dyDescent="0.25">
      <c r="A215" s="17" t="s">
        <v>737</v>
      </c>
      <c r="B215" s="13" t="s">
        <v>221</v>
      </c>
      <c r="C215" s="16">
        <v>88623606</v>
      </c>
      <c r="D215" s="13">
        <v>370.98500000000001</v>
      </c>
      <c r="E215" s="16">
        <v>238887.30272113427</v>
      </c>
    </row>
    <row r="216" spans="1:5" x14ac:dyDescent="0.25">
      <c r="A216" s="17" t="s">
        <v>738</v>
      </c>
      <c r="B216" s="13" t="s">
        <v>222</v>
      </c>
      <c r="C216" s="16">
        <v>282063202</v>
      </c>
      <c r="D216" s="16">
        <v>4805.4616999999998</v>
      </c>
      <c r="E216" s="16">
        <v>58696.379163733633</v>
      </c>
    </row>
    <row r="217" spans="1:5" x14ac:dyDescent="0.25">
      <c r="A217" s="17" t="s">
        <v>739</v>
      </c>
      <c r="B217" s="13" t="s">
        <v>223</v>
      </c>
      <c r="C217" s="16">
        <v>1405788376</v>
      </c>
      <c r="D217" s="16">
        <v>13910.642900000001</v>
      </c>
      <c r="E217" s="16">
        <v>101058.47631240681</v>
      </c>
    </row>
    <row r="218" spans="1:5" x14ac:dyDescent="0.25">
      <c r="A218" s="17" t="s">
        <v>740</v>
      </c>
      <c r="B218" s="13" t="s">
        <v>224</v>
      </c>
      <c r="C218" s="16">
        <v>296093059</v>
      </c>
      <c r="D218" s="16">
        <v>4153.5099</v>
      </c>
      <c r="E218" s="16">
        <v>71287.433069558829</v>
      </c>
    </row>
    <row r="219" spans="1:5" x14ac:dyDescent="0.25">
      <c r="A219" s="17" t="s">
        <v>741</v>
      </c>
      <c r="B219" s="13" t="s">
        <v>225</v>
      </c>
      <c r="C219" s="16">
        <v>134601199</v>
      </c>
      <c r="D219" s="16">
        <v>1909.0515</v>
      </c>
      <c r="E219" s="16">
        <v>70506.845415118456</v>
      </c>
    </row>
    <row r="220" spans="1:5" x14ac:dyDescent="0.25">
      <c r="A220" s="17" t="s">
        <v>742</v>
      </c>
      <c r="B220" s="13" t="s">
        <v>226</v>
      </c>
      <c r="C220" s="16">
        <v>1947603112</v>
      </c>
      <c r="D220" s="16">
        <v>17112.2042</v>
      </c>
      <c r="E220" s="16">
        <v>113813.69046542818</v>
      </c>
    </row>
    <row r="221" spans="1:5" x14ac:dyDescent="0.25">
      <c r="A221" s="17" t="s">
        <v>743</v>
      </c>
      <c r="B221" s="13" t="s">
        <v>227</v>
      </c>
      <c r="C221" s="16">
        <v>427340069</v>
      </c>
      <c r="D221" s="16">
        <v>5339.2883000000002</v>
      </c>
      <c r="E221" s="16">
        <v>80036.89723965645</v>
      </c>
    </row>
    <row r="222" spans="1:5" x14ac:dyDescent="0.25">
      <c r="A222" s="17" t="s">
        <v>744</v>
      </c>
      <c r="B222" s="13" t="s">
        <v>228</v>
      </c>
      <c r="C222" s="16">
        <v>660300500</v>
      </c>
      <c r="D222" s="16">
        <v>8344.4086000000007</v>
      </c>
      <c r="E222" s="16">
        <v>79130.892511663435</v>
      </c>
    </row>
    <row r="223" spans="1:5" x14ac:dyDescent="0.25">
      <c r="A223" s="17" t="s">
        <v>745</v>
      </c>
      <c r="B223" s="13" t="s">
        <v>229</v>
      </c>
      <c r="C223" s="16">
        <v>469264966</v>
      </c>
      <c r="D223" s="16">
        <v>3797.6415999999999</v>
      </c>
      <c r="E223" s="16">
        <v>123567.47040057703</v>
      </c>
    </row>
    <row r="224" spans="1:5" x14ac:dyDescent="0.25">
      <c r="A224" s="17" t="s">
        <v>746</v>
      </c>
      <c r="B224" s="13" t="s">
        <v>230</v>
      </c>
      <c r="C224" s="16">
        <v>56051961</v>
      </c>
      <c r="D224" s="13">
        <v>593.13819999999998</v>
      </c>
      <c r="E224" s="16">
        <v>94500.676233633247</v>
      </c>
    </row>
    <row r="225" spans="1:5" x14ac:dyDescent="0.25">
      <c r="A225" s="17" t="s">
        <v>747</v>
      </c>
      <c r="B225" s="13" t="s">
        <v>231</v>
      </c>
      <c r="C225" s="16">
        <v>994974469</v>
      </c>
      <c r="D225" s="16">
        <v>13739.3033</v>
      </c>
      <c r="E225" s="16">
        <v>72418.116644968453</v>
      </c>
    </row>
    <row r="226" spans="1:5" x14ac:dyDescent="0.25">
      <c r="A226" s="17" t="s">
        <v>748</v>
      </c>
      <c r="B226" s="13" t="s">
        <v>1587</v>
      </c>
      <c r="C226" s="16">
        <v>3185224998</v>
      </c>
      <c r="D226" s="16">
        <v>26157.309600000001</v>
      </c>
      <c r="E226" s="16">
        <v>121771.88887958109</v>
      </c>
    </row>
    <row r="227" spans="1:5" x14ac:dyDescent="0.25">
      <c r="A227" s="17" t="s">
        <v>749</v>
      </c>
      <c r="B227" s="13" t="s">
        <v>233</v>
      </c>
      <c r="C227" s="16">
        <v>433115975</v>
      </c>
      <c r="D227" s="16">
        <v>2359.8006</v>
      </c>
      <c r="E227" s="16">
        <v>183539.22572949596</v>
      </c>
    </row>
    <row r="228" spans="1:5" x14ac:dyDescent="0.25">
      <c r="A228" s="17" t="s">
        <v>750</v>
      </c>
      <c r="B228" s="13" t="s">
        <v>234</v>
      </c>
      <c r="C228" s="16">
        <v>238149872</v>
      </c>
      <c r="D228" s="16">
        <v>3096.6698000000001</v>
      </c>
      <c r="E228" s="16">
        <v>76905.155338163589</v>
      </c>
    </row>
    <row r="229" spans="1:5" x14ac:dyDescent="0.25">
      <c r="A229" s="17" t="s">
        <v>751</v>
      </c>
      <c r="B229" s="13" t="s">
        <v>235</v>
      </c>
      <c r="C229" s="16">
        <v>22130500</v>
      </c>
      <c r="D229" s="13">
        <v>199.4846</v>
      </c>
      <c r="E229" s="16">
        <v>110938.38822645959</v>
      </c>
    </row>
    <row r="230" spans="1:5" x14ac:dyDescent="0.25">
      <c r="A230" s="17" t="s">
        <v>752</v>
      </c>
      <c r="B230" s="13" t="s">
        <v>236</v>
      </c>
      <c r="C230" s="16">
        <v>42003405</v>
      </c>
      <c r="D230" s="16">
        <v>412.12240000000003</v>
      </c>
      <c r="E230" s="16">
        <v>101919.73306959291</v>
      </c>
    </row>
    <row r="231" spans="1:5" x14ac:dyDescent="0.25">
      <c r="A231" s="17" t="s">
        <v>753</v>
      </c>
      <c r="B231" s="13" t="s">
        <v>237</v>
      </c>
      <c r="C231" s="16">
        <v>36708010</v>
      </c>
      <c r="D231" s="13">
        <v>832.86030000000005</v>
      </c>
      <c r="E231" s="16">
        <v>44074.630523270229</v>
      </c>
    </row>
    <row r="232" spans="1:5" x14ac:dyDescent="0.25">
      <c r="A232" s="17" t="s">
        <v>754</v>
      </c>
      <c r="B232" s="13" t="s">
        <v>238</v>
      </c>
      <c r="C232" s="16">
        <v>304879995</v>
      </c>
      <c r="D232" s="13">
        <v>4672.0758999999998</v>
      </c>
      <c r="E232" s="16">
        <v>65255.788117654512</v>
      </c>
    </row>
    <row r="233" spans="1:5" x14ac:dyDescent="0.25">
      <c r="A233" s="17" t="s">
        <v>755</v>
      </c>
      <c r="B233" s="13" t="s">
        <v>239</v>
      </c>
      <c r="C233" s="16">
        <v>245768056</v>
      </c>
      <c r="D233" s="13">
        <v>4232.0012999999999</v>
      </c>
      <c r="E233" s="16">
        <v>58073.719400795082</v>
      </c>
    </row>
    <row r="234" spans="1:5" x14ac:dyDescent="0.25">
      <c r="A234" s="17" t="s">
        <v>756</v>
      </c>
      <c r="B234" s="13" t="s">
        <v>240</v>
      </c>
      <c r="C234" s="16">
        <v>899536945</v>
      </c>
      <c r="D234" s="16">
        <v>7167.6174000000001</v>
      </c>
      <c r="E234" s="16">
        <v>125500.13411709169</v>
      </c>
    </row>
    <row r="235" spans="1:5" x14ac:dyDescent="0.25">
      <c r="A235" s="17" t="s">
        <v>757</v>
      </c>
      <c r="B235" s="13" t="s">
        <v>241</v>
      </c>
      <c r="C235" s="16">
        <v>597795482</v>
      </c>
      <c r="D235" s="13">
        <v>6029.4949999999999</v>
      </c>
      <c r="E235" s="16">
        <v>99145.199058959333</v>
      </c>
    </row>
    <row r="236" spans="1:5" x14ac:dyDescent="0.25">
      <c r="A236" s="17" t="s">
        <v>758</v>
      </c>
      <c r="B236" s="13" t="s">
        <v>242</v>
      </c>
      <c r="C236" s="16">
        <v>56029140</v>
      </c>
      <c r="D236" s="13">
        <v>710.029</v>
      </c>
      <c r="E236" s="16">
        <v>78911.058562396749</v>
      </c>
    </row>
    <row r="237" spans="1:5" x14ac:dyDescent="0.25">
      <c r="A237" s="17" t="s">
        <v>759</v>
      </c>
      <c r="B237" s="13" t="s">
        <v>243</v>
      </c>
      <c r="C237" s="16">
        <v>274013353</v>
      </c>
      <c r="D237" s="13">
        <v>3305.3971000000001</v>
      </c>
      <c r="E237" s="16">
        <v>82898.769712117195</v>
      </c>
    </row>
    <row r="238" spans="1:5" x14ac:dyDescent="0.25">
      <c r="A238" s="17" t="s">
        <v>760</v>
      </c>
      <c r="B238" s="13" t="s">
        <v>244</v>
      </c>
      <c r="C238" s="16">
        <v>158217553</v>
      </c>
      <c r="D238" s="16">
        <v>1493.3364999999999</v>
      </c>
      <c r="E238" s="16">
        <v>105949.02957237033</v>
      </c>
    </row>
    <row r="239" spans="1:5" x14ac:dyDescent="0.25">
      <c r="A239" s="17" t="s">
        <v>761</v>
      </c>
      <c r="B239" s="13" t="s">
        <v>245</v>
      </c>
      <c r="C239" s="16">
        <v>269460005</v>
      </c>
      <c r="D239" s="13">
        <v>2981.6448999999998</v>
      </c>
      <c r="E239" s="16">
        <v>90372.936428479472</v>
      </c>
    </row>
    <row r="240" spans="1:5" x14ac:dyDescent="0.25">
      <c r="A240" s="17" t="s">
        <v>762</v>
      </c>
      <c r="B240" s="13" t="s">
        <v>246</v>
      </c>
      <c r="C240" s="16">
        <v>194641574</v>
      </c>
      <c r="D240" s="13">
        <v>930.35659999999996</v>
      </c>
      <c r="E240" s="16">
        <v>209211.7947032353</v>
      </c>
    </row>
    <row r="241" spans="1:5" x14ac:dyDescent="0.25">
      <c r="A241" s="17" t="s">
        <v>763</v>
      </c>
      <c r="B241" s="13" t="s">
        <v>247</v>
      </c>
      <c r="C241" s="16">
        <v>38100755</v>
      </c>
      <c r="D241" s="13">
        <v>371.11399999999998</v>
      </c>
      <c r="E241" s="16">
        <v>102665.90589414575</v>
      </c>
    </row>
    <row r="242" spans="1:5" x14ac:dyDescent="0.25">
      <c r="A242" s="17" t="s">
        <v>764</v>
      </c>
      <c r="B242" s="13" t="s">
        <v>248</v>
      </c>
      <c r="C242" s="16">
        <v>228957886</v>
      </c>
      <c r="D242" s="13">
        <v>2876.3469</v>
      </c>
      <c r="E242" s="16">
        <v>79600.233893902012</v>
      </c>
    </row>
    <row r="243" spans="1:5" x14ac:dyDescent="0.25">
      <c r="A243" s="17" t="s">
        <v>765</v>
      </c>
      <c r="B243" s="13" t="s">
        <v>249</v>
      </c>
      <c r="C243" s="16">
        <v>945704556</v>
      </c>
      <c r="D243" s="13">
        <v>10976.0368</v>
      </c>
      <c r="E243" s="16">
        <v>86160.840495724289</v>
      </c>
    </row>
    <row r="244" spans="1:5" x14ac:dyDescent="0.25">
      <c r="A244" s="17" t="s">
        <v>766</v>
      </c>
      <c r="B244" s="13" t="s">
        <v>250</v>
      </c>
      <c r="C244" s="16">
        <v>61436000</v>
      </c>
      <c r="D244" s="13">
        <v>532.75109999999995</v>
      </c>
      <c r="E244" s="16">
        <v>115318.3916466808</v>
      </c>
    </row>
    <row r="245" spans="1:5" x14ac:dyDescent="0.25">
      <c r="A245" s="17" t="s">
        <v>767</v>
      </c>
      <c r="B245" s="13" t="s">
        <v>251</v>
      </c>
      <c r="C245" s="16">
        <v>193251181</v>
      </c>
      <c r="D245" s="16">
        <v>2590.4926</v>
      </c>
      <c r="E245" s="16">
        <v>74600.167165117557</v>
      </c>
    </row>
    <row r="246" spans="1:5" x14ac:dyDescent="0.25">
      <c r="A246" s="17" t="s">
        <v>768</v>
      </c>
      <c r="B246" s="13" t="s">
        <v>252</v>
      </c>
      <c r="C246" s="16">
        <v>24267461</v>
      </c>
      <c r="D246" s="16">
        <v>242.33779999999999</v>
      </c>
      <c r="E246" s="16">
        <v>100138.98368310681</v>
      </c>
    </row>
    <row r="247" spans="1:5" x14ac:dyDescent="0.25">
      <c r="A247" s="17" t="s">
        <v>769</v>
      </c>
      <c r="B247" s="13" t="s">
        <v>253</v>
      </c>
      <c r="C247" s="16">
        <v>98570802</v>
      </c>
      <c r="D247" s="13">
        <v>1133.8416</v>
      </c>
      <c r="E247" s="16">
        <v>86935.249156495935</v>
      </c>
    </row>
    <row r="248" spans="1:5" x14ac:dyDescent="0.25">
      <c r="A248" s="17" t="s">
        <v>770</v>
      </c>
      <c r="B248" s="13" t="s">
        <v>254</v>
      </c>
      <c r="C248" s="16">
        <v>9969062</v>
      </c>
      <c r="D248" s="13">
        <v>174.08359999999999</v>
      </c>
      <c r="E248" s="16">
        <v>57265.945786966724</v>
      </c>
    </row>
    <row r="249" spans="1:5" x14ac:dyDescent="0.25">
      <c r="A249" s="17" t="s">
        <v>771</v>
      </c>
      <c r="B249" s="13" t="s">
        <v>255</v>
      </c>
      <c r="C249" s="16">
        <v>40745850</v>
      </c>
      <c r="D249" s="13">
        <v>502.07960000000003</v>
      </c>
      <c r="E249" s="16">
        <v>81154.163602743458</v>
      </c>
    </row>
    <row r="250" spans="1:5" x14ac:dyDescent="0.25">
      <c r="A250" s="17" t="s">
        <v>772</v>
      </c>
      <c r="B250" s="13" t="s">
        <v>256</v>
      </c>
      <c r="C250" s="16">
        <v>61405109</v>
      </c>
      <c r="D250" s="13">
        <v>1515.8607</v>
      </c>
      <c r="E250" s="16">
        <v>40508.411491900282</v>
      </c>
    </row>
    <row r="251" spans="1:5" x14ac:dyDescent="0.25">
      <c r="A251" s="17" t="s">
        <v>773</v>
      </c>
      <c r="B251" s="13" t="s">
        <v>257</v>
      </c>
      <c r="C251" s="16">
        <v>16657920</v>
      </c>
      <c r="D251" s="13">
        <v>262.71359999999999</v>
      </c>
      <c r="E251" s="16">
        <v>63407.147555360672</v>
      </c>
    </row>
    <row r="252" spans="1:5" x14ac:dyDescent="0.25">
      <c r="A252" s="17" t="s">
        <v>774</v>
      </c>
      <c r="B252" s="13" t="s">
        <v>258</v>
      </c>
      <c r="C252" s="16">
        <v>289176031</v>
      </c>
      <c r="D252" s="16">
        <v>3175.7134999999998</v>
      </c>
      <c r="E252" s="16">
        <v>91058.601791376961</v>
      </c>
    </row>
    <row r="253" spans="1:5" x14ac:dyDescent="0.25">
      <c r="A253" s="17" t="s">
        <v>775</v>
      </c>
      <c r="B253" s="13" t="s">
        <v>259</v>
      </c>
      <c r="C253" s="16">
        <v>68211706</v>
      </c>
      <c r="D253" s="16">
        <v>449.03530000000001</v>
      </c>
      <c r="E253" s="16">
        <v>151907.22422045661</v>
      </c>
    </row>
    <row r="254" spans="1:5" x14ac:dyDescent="0.25">
      <c r="A254" s="17" t="s">
        <v>776</v>
      </c>
      <c r="B254" s="13" t="s">
        <v>260</v>
      </c>
      <c r="C254" s="16">
        <v>38552679</v>
      </c>
      <c r="D254" s="13">
        <v>681.7894</v>
      </c>
      <c r="E254" s="16">
        <v>56546.316208494878</v>
      </c>
    </row>
    <row r="255" spans="1:5" x14ac:dyDescent="0.25">
      <c r="A255" s="17" t="s">
        <v>777</v>
      </c>
      <c r="B255" s="13" t="s">
        <v>261</v>
      </c>
      <c r="C255" s="16">
        <v>9329158</v>
      </c>
      <c r="D255" s="13">
        <v>86.796199999999999</v>
      </c>
      <c r="E255" s="16">
        <v>107483.48430000393</v>
      </c>
    </row>
    <row r="256" spans="1:5" x14ac:dyDescent="0.25">
      <c r="A256" s="17" t="s">
        <v>778</v>
      </c>
      <c r="B256" s="13" t="s">
        <v>262</v>
      </c>
      <c r="C256" s="16">
        <v>319967934</v>
      </c>
      <c r="D256" s="13">
        <v>4024.4466000000002</v>
      </c>
      <c r="E256" s="16">
        <v>79506.070225903852</v>
      </c>
    </row>
    <row r="257" spans="1:5" x14ac:dyDescent="0.25">
      <c r="A257" s="17" t="s">
        <v>779</v>
      </c>
      <c r="B257" s="13" t="s">
        <v>263</v>
      </c>
      <c r="C257" s="16">
        <v>30505342</v>
      </c>
      <c r="D257" s="13">
        <v>572.34</v>
      </c>
      <c r="E257" s="16">
        <v>53299.336058985915</v>
      </c>
    </row>
    <row r="258" spans="1:5" x14ac:dyDescent="0.25">
      <c r="A258" s="17" t="s">
        <v>780</v>
      </c>
      <c r="B258" s="13" t="s">
        <v>264</v>
      </c>
      <c r="C258" s="16">
        <v>50543236</v>
      </c>
      <c r="D258" s="13">
        <v>391.4753</v>
      </c>
      <c r="E258" s="16">
        <v>129109.64242188459</v>
      </c>
    </row>
    <row r="259" spans="1:5" x14ac:dyDescent="0.25">
      <c r="A259" s="17" t="s">
        <v>781</v>
      </c>
      <c r="B259" s="13" t="s">
        <v>265</v>
      </c>
      <c r="C259" s="16">
        <v>77518728</v>
      </c>
      <c r="D259" s="13">
        <v>906.52589999999998</v>
      </c>
      <c r="E259" s="16">
        <v>85511.873405933584</v>
      </c>
    </row>
    <row r="260" spans="1:5" x14ac:dyDescent="0.25">
      <c r="A260" s="17" t="s">
        <v>782</v>
      </c>
      <c r="B260" s="13" t="s">
        <v>266</v>
      </c>
      <c r="C260" s="16">
        <v>139215151</v>
      </c>
      <c r="D260" s="13">
        <v>1936.4635000000001</v>
      </c>
      <c r="E260" s="16">
        <v>71891.440763019797</v>
      </c>
    </row>
    <row r="261" spans="1:5" x14ac:dyDescent="0.25">
      <c r="A261" s="17" t="s">
        <v>783</v>
      </c>
      <c r="B261" s="13" t="s">
        <v>267</v>
      </c>
      <c r="C261" s="16">
        <v>34563354</v>
      </c>
      <c r="D261" s="16">
        <v>293.38440000000003</v>
      </c>
      <c r="E261" s="16">
        <v>117809.10641465598</v>
      </c>
    </row>
    <row r="262" spans="1:5" x14ac:dyDescent="0.25">
      <c r="A262" s="17" t="s">
        <v>784</v>
      </c>
      <c r="B262" s="13" t="s">
        <v>268</v>
      </c>
      <c r="C262" s="16">
        <v>29102722</v>
      </c>
      <c r="D262" s="16">
        <v>378.5702</v>
      </c>
      <c r="E262" s="16">
        <v>76875.364199295131</v>
      </c>
    </row>
    <row r="263" spans="1:5" x14ac:dyDescent="0.25">
      <c r="A263" s="17" t="s">
        <v>785</v>
      </c>
      <c r="B263" s="13" t="s">
        <v>269</v>
      </c>
      <c r="C263" s="16">
        <v>58416624</v>
      </c>
      <c r="D263" s="13">
        <v>929.49260000000004</v>
      </c>
      <c r="E263" s="16">
        <v>62847.863447218406</v>
      </c>
    </row>
    <row r="264" spans="1:5" x14ac:dyDescent="0.25">
      <c r="A264" s="17" t="s">
        <v>786</v>
      </c>
      <c r="B264" s="13" t="s">
        <v>270</v>
      </c>
      <c r="C264" s="16">
        <v>51526808</v>
      </c>
      <c r="D264" s="13">
        <v>540.21270000000004</v>
      </c>
      <c r="E264" s="16">
        <v>95382.444729640745</v>
      </c>
    </row>
    <row r="265" spans="1:5" x14ac:dyDescent="0.25">
      <c r="A265" s="17" t="s">
        <v>787</v>
      </c>
      <c r="B265" s="13" t="s">
        <v>271</v>
      </c>
      <c r="C265" s="16">
        <v>42290515</v>
      </c>
      <c r="D265" s="13">
        <v>671.51</v>
      </c>
      <c r="E265" s="16">
        <v>62978.235618233535</v>
      </c>
    </row>
    <row r="266" spans="1:5" x14ac:dyDescent="0.25">
      <c r="A266" s="17" t="s">
        <v>788</v>
      </c>
      <c r="B266" s="13" t="s">
        <v>272</v>
      </c>
      <c r="C266" s="16">
        <v>40888933</v>
      </c>
      <c r="D266" s="16">
        <v>698.2337</v>
      </c>
      <c r="E266" s="16">
        <v>58560.526368177299</v>
      </c>
    </row>
    <row r="267" spans="1:5" x14ac:dyDescent="0.25">
      <c r="A267" s="17" t="s">
        <v>789</v>
      </c>
      <c r="B267" s="13" t="s">
        <v>273</v>
      </c>
      <c r="C267" s="16">
        <v>115560814</v>
      </c>
      <c r="D267" s="13">
        <v>1405.2039</v>
      </c>
      <c r="E267" s="16">
        <v>82237.754962109058</v>
      </c>
    </row>
    <row r="268" spans="1:5" x14ac:dyDescent="0.25">
      <c r="A268" s="17" t="s">
        <v>790</v>
      </c>
      <c r="B268" s="13" t="s">
        <v>274</v>
      </c>
      <c r="C268" s="16">
        <v>119077440</v>
      </c>
      <c r="D268" s="13">
        <v>1809.2782</v>
      </c>
      <c r="E268" s="16">
        <v>65814.886842719934</v>
      </c>
    </row>
    <row r="269" spans="1:5" x14ac:dyDescent="0.25">
      <c r="A269" s="17" t="s">
        <v>791</v>
      </c>
      <c r="B269" s="13" t="s">
        <v>275</v>
      </c>
      <c r="C269" s="16">
        <v>31501741</v>
      </c>
      <c r="D269" s="13">
        <v>376.76220000000001</v>
      </c>
      <c r="E269" s="16">
        <v>83611.73440435373</v>
      </c>
    </row>
    <row r="270" spans="1:5" x14ac:dyDescent="0.25">
      <c r="A270" s="17" t="s">
        <v>792</v>
      </c>
      <c r="B270" s="13" t="s">
        <v>276</v>
      </c>
      <c r="C270" s="16">
        <v>41537047</v>
      </c>
      <c r="D270" s="16">
        <v>462.62180000000001</v>
      </c>
      <c r="E270" s="16">
        <v>89786.186037925581</v>
      </c>
    </row>
    <row r="271" spans="1:5" x14ac:dyDescent="0.25">
      <c r="A271" s="17" t="s">
        <v>793</v>
      </c>
      <c r="B271" s="13" t="s">
        <v>277</v>
      </c>
      <c r="C271" s="16">
        <v>85880040</v>
      </c>
      <c r="D271" s="13">
        <v>874.91639999999995</v>
      </c>
      <c r="E271" s="16">
        <v>98157.995438192724</v>
      </c>
    </row>
    <row r="272" spans="1:5" x14ac:dyDescent="0.25">
      <c r="A272" s="17" t="s">
        <v>794</v>
      </c>
      <c r="B272" s="13" t="s">
        <v>278</v>
      </c>
      <c r="C272" s="16">
        <v>36549738</v>
      </c>
      <c r="D272" s="13">
        <v>414.49740000000003</v>
      </c>
      <c r="E272" s="16">
        <v>88178.449370249364</v>
      </c>
    </row>
    <row r="273" spans="1:5" x14ac:dyDescent="0.25">
      <c r="A273" s="17" t="s">
        <v>795</v>
      </c>
      <c r="B273" s="13" t="s">
        <v>279</v>
      </c>
      <c r="C273" s="16">
        <v>51613437</v>
      </c>
      <c r="D273" s="13">
        <v>755.77269999999999</v>
      </c>
      <c r="E273" s="16">
        <v>68292.274912814391</v>
      </c>
    </row>
    <row r="274" spans="1:5" x14ac:dyDescent="0.25">
      <c r="A274" s="17" t="s">
        <v>796</v>
      </c>
      <c r="B274" s="13" t="s">
        <v>280</v>
      </c>
      <c r="C274" s="16">
        <v>533999318</v>
      </c>
      <c r="D274" s="16">
        <v>5948.8064000000004</v>
      </c>
      <c r="E274" s="16">
        <v>89765.792008292614</v>
      </c>
    </row>
    <row r="275" spans="1:5" x14ac:dyDescent="0.25">
      <c r="A275" s="17" t="s">
        <v>797</v>
      </c>
      <c r="B275" s="13" t="s">
        <v>281</v>
      </c>
      <c r="C275" s="16">
        <v>111713718</v>
      </c>
      <c r="D275" s="16">
        <v>1457.5968</v>
      </c>
      <c r="E275" s="16">
        <v>76642.400696818208</v>
      </c>
    </row>
    <row r="276" spans="1:5" x14ac:dyDescent="0.25">
      <c r="A276" s="17" t="s">
        <v>798</v>
      </c>
      <c r="B276" s="13" t="s">
        <v>282</v>
      </c>
      <c r="C276" s="16">
        <v>19530134</v>
      </c>
      <c r="D276" s="13">
        <v>187.24260000000001</v>
      </c>
      <c r="E276" s="16">
        <v>104303.90306479401</v>
      </c>
    </row>
    <row r="277" spans="1:5" x14ac:dyDescent="0.25">
      <c r="A277" s="17" t="s">
        <v>799</v>
      </c>
      <c r="B277" s="13" t="s">
        <v>283</v>
      </c>
      <c r="C277" s="16">
        <v>12021876</v>
      </c>
      <c r="D277" s="13">
        <v>105.8526</v>
      </c>
      <c r="E277" s="16">
        <v>113571.85369088715</v>
      </c>
    </row>
    <row r="278" spans="1:5" x14ac:dyDescent="0.25">
      <c r="A278" s="17" t="s">
        <v>800</v>
      </c>
      <c r="B278" s="13" t="s">
        <v>284</v>
      </c>
      <c r="C278" s="16">
        <v>18435995</v>
      </c>
      <c r="D278" s="16">
        <v>217.8494</v>
      </c>
      <c r="E278" s="16">
        <v>84627.247079863431</v>
      </c>
    </row>
    <row r="279" spans="1:5" x14ac:dyDescent="0.25">
      <c r="A279" s="17" t="s">
        <v>801</v>
      </c>
      <c r="B279" s="13" t="s">
        <v>285</v>
      </c>
      <c r="C279" s="16">
        <v>40639033</v>
      </c>
      <c r="D279" s="13">
        <v>621.64049999999997</v>
      </c>
      <c r="E279" s="16">
        <v>65373.850320241363</v>
      </c>
    </row>
    <row r="280" spans="1:5" x14ac:dyDescent="0.25">
      <c r="A280" s="17" t="s">
        <v>802</v>
      </c>
      <c r="B280" s="13" t="s">
        <v>286</v>
      </c>
      <c r="C280" s="16">
        <v>63111697</v>
      </c>
      <c r="D280" s="13">
        <v>895.26099999999997</v>
      </c>
      <c r="E280" s="16">
        <v>70495.304721193039</v>
      </c>
    </row>
    <row r="281" spans="1:5" x14ac:dyDescent="0.25">
      <c r="A281" s="17" t="s">
        <v>803</v>
      </c>
      <c r="B281" s="13" t="s">
        <v>287</v>
      </c>
      <c r="C281" s="16">
        <v>11992582</v>
      </c>
      <c r="D281" s="16">
        <v>162.8057</v>
      </c>
      <c r="E281" s="16">
        <v>73661.929527037442</v>
      </c>
    </row>
    <row r="282" spans="1:5" x14ac:dyDescent="0.25">
      <c r="A282" s="17" t="s">
        <v>804</v>
      </c>
      <c r="B282" s="13" t="s">
        <v>288</v>
      </c>
      <c r="C282" s="16">
        <v>7954953</v>
      </c>
      <c r="D282" s="13">
        <v>76.681700000000006</v>
      </c>
      <c r="E282" s="16">
        <v>103739.91447763938</v>
      </c>
    </row>
    <row r="283" spans="1:5" x14ac:dyDescent="0.25">
      <c r="A283" s="17" t="s">
        <v>805</v>
      </c>
      <c r="B283" s="13" t="s">
        <v>289</v>
      </c>
      <c r="C283" s="16">
        <v>144418462</v>
      </c>
      <c r="D283" s="16">
        <v>1723.4407000000001</v>
      </c>
      <c r="E283" s="16">
        <v>83796.594800157603</v>
      </c>
    </row>
    <row r="284" spans="1:5" x14ac:dyDescent="0.25">
      <c r="A284" s="17" t="s">
        <v>806</v>
      </c>
      <c r="B284" s="13" t="s">
        <v>290</v>
      </c>
      <c r="C284" s="16">
        <v>230884861</v>
      </c>
      <c r="D284" s="13">
        <v>3635.3775999999998</v>
      </c>
      <c r="E284" s="16">
        <v>63510.558297988086</v>
      </c>
    </row>
    <row r="285" spans="1:5" x14ac:dyDescent="0.25">
      <c r="A285" s="17" t="s">
        <v>807</v>
      </c>
      <c r="B285" s="13" t="s">
        <v>291</v>
      </c>
      <c r="C285" s="16">
        <v>16525383</v>
      </c>
      <c r="D285" s="16">
        <v>181.70830000000001</v>
      </c>
      <c r="E285" s="16">
        <v>90944.568850184602</v>
      </c>
    </row>
    <row r="286" spans="1:5" x14ac:dyDescent="0.25">
      <c r="A286" s="17" t="s">
        <v>808</v>
      </c>
      <c r="B286" s="13" t="s">
        <v>292</v>
      </c>
      <c r="C286" s="16">
        <v>14628389</v>
      </c>
      <c r="D286" s="13">
        <v>170.88079999999999</v>
      </c>
      <c r="E286" s="16">
        <v>85605.808259324636</v>
      </c>
    </row>
    <row r="287" spans="1:5" x14ac:dyDescent="0.25">
      <c r="A287" s="17" t="s">
        <v>809</v>
      </c>
      <c r="B287" s="13" t="s">
        <v>293</v>
      </c>
      <c r="C287" s="16">
        <v>26796244</v>
      </c>
      <c r="D287" s="13">
        <v>317.92340000000002</v>
      </c>
      <c r="E287" s="16">
        <v>84285.220905413065</v>
      </c>
    </row>
    <row r="288" spans="1:5" x14ac:dyDescent="0.25">
      <c r="A288" s="17" t="s">
        <v>810</v>
      </c>
      <c r="B288" s="13" t="s">
        <v>294</v>
      </c>
      <c r="C288" s="16">
        <v>112523117</v>
      </c>
      <c r="D288" s="13">
        <v>1263.3837000000001</v>
      </c>
      <c r="E288" s="16">
        <v>89064.8794978121</v>
      </c>
    </row>
    <row r="289" spans="1:5" x14ac:dyDescent="0.25">
      <c r="A289" s="17" t="s">
        <v>811</v>
      </c>
      <c r="B289" s="13" t="s">
        <v>295</v>
      </c>
      <c r="C289" s="16">
        <v>6838685</v>
      </c>
      <c r="D289" s="13">
        <v>79.073499999999996</v>
      </c>
      <c r="E289" s="16">
        <v>86485.16886188167</v>
      </c>
    </row>
    <row r="290" spans="1:5" x14ac:dyDescent="0.25">
      <c r="A290" s="17" t="s">
        <v>812</v>
      </c>
      <c r="B290" s="13" t="s">
        <v>296</v>
      </c>
      <c r="C290" s="16">
        <v>12828622</v>
      </c>
      <c r="D290" s="13">
        <v>88.534199999999998</v>
      </c>
      <c r="E290" s="16">
        <v>144900.18546505194</v>
      </c>
    </row>
    <row r="291" spans="1:5" x14ac:dyDescent="0.25">
      <c r="A291" s="17" t="s">
        <v>813</v>
      </c>
      <c r="B291" s="13" t="s">
        <v>297</v>
      </c>
      <c r="C291" s="16">
        <v>10854215</v>
      </c>
      <c r="D291" s="13">
        <v>128.22380000000001</v>
      </c>
      <c r="E291" s="16">
        <v>84650.548494117305</v>
      </c>
    </row>
    <row r="292" spans="1:5" x14ac:dyDescent="0.25">
      <c r="A292" s="17" t="s">
        <v>814</v>
      </c>
      <c r="B292" s="13" t="s">
        <v>298</v>
      </c>
      <c r="C292" s="16">
        <v>100304151</v>
      </c>
      <c r="D292" s="13">
        <v>1865.1515999999999</v>
      </c>
      <c r="E292" s="16">
        <v>53778.015149009872</v>
      </c>
    </row>
    <row r="293" spans="1:5" x14ac:dyDescent="0.25">
      <c r="A293" s="17" t="s">
        <v>815</v>
      </c>
      <c r="B293" s="13" t="s">
        <v>299</v>
      </c>
      <c r="C293" s="16">
        <v>54802190</v>
      </c>
      <c r="D293" s="13">
        <v>442.09539999999998</v>
      </c>
      <c r="E293" s="16">
        <v>123960.10001461224</v>
      </c>
    </row>
    <row r="294" spans="1:5" x14ac:dyDescent="0.25">
      <c r="A294" s="17" t="s">
        <v>816</v>
      </c>
      <c r="B294" s="13" t="s">
        <v>300</v>
      </c>
      <c r="C294" s="16">
        <v>69041292</v>
      </c>
      <c r="D294" s="13">
        <v>705.73350000000005</v>
      </c>
      <c r="E294" s="16">
        <v>97829.126717096457</v>
      </c>
    </row>
    <row r="295" spans="1:5" x14ac:dyDescent="0.25">
      <c r="A295" s="17" t="s">
        <v>817</v>
      </c>
      <c r="B295" s="13" t="s">
        <v>301</v>
      </c>
      <c r="C295" s="16">
        <v>16030547</v>
      </c>
      <c r="D295" s="13">
        <v>193.75460000000001</v>
      </c>
      <c r="E295" s="16">
        <v>82736.342775861835</v>
      </c>
    </row>
    <row r="296" spans="1:5" x14ac:dyDescent="0.25">
      <c r="A296" s="17" t="s">
        <v>818</v>
      </c>
      <c r="B296" s="13" t="s">
        <v>302</v>
      </c>
      <c r="C296" s="16">
        <v>134840101</v>
      </c>
      <c r="D296" s="13">
        <v>1064.7065</v>
      </c>
      <c r="E296" s="16">
        <v>126645.32526099916</v>
      </c>
    </row>
    <row r="297" spans="1:5" x14ac:dyDescent="0.25">
      <c r="A297" s="17" t="s">
        <v>819</v>
      </c>
      <c r="B297" s="13" t="s">
        <v>303</v>
      </c>
      <c r="C297" s="16">
        <v>322646007</v>
      </c>
      <c r="D297" s="16">
        <v>3193.1007</v>
      </c>
      <c r="E297" s="16">
        <v>101044.73278904107</v>
      </c>
    </row>
    <row r="298" spans="1:5" x14ac:dyDescent="0.25">
      <c r="A298" s="17" t="s">
        <v>820</v>
      </c>
      <c r="B298" s="13" t="s">
        <v>304</v>
      </c>
      <c r="C298" s="16">
        <v>17527488</v>
      </c>
      <c r="D298" s="13">
        <v>162.1456</v>
      </c>
      <c r="E298" s="16">
        <v>108097.21632902774</v>
      </c>
    </row>
    <row r="299" spans="1:5" x14ac:dyDescent="0.25">
      <c r="A299" s="17" t="s">
        <v>821</v>
      </c>
      <c r="B299" s="13" t="s">
        <v>305</v>
      </c>
      <c r="C299" s="16">
        <v>46350593</v>
      </c>
      <c r="D299" s="16">
        <v>333.20600000000002</v>
      </c>
      <c r="E299" s="16">
        <v>139104.91707832392</v>
      </c>
    </row>
    <row r="300" spans="1:5" x14ac:dyDescent="0.25">
      <c r="A300" s="17" t="s">
        <v>822</v>
      </c>
      <c r="B300" s="13" t="s">
        <v>306</v>
      </c>
      <c r="C300" s="16">
        <v>185606010</v>
      </c>
      <c r="D300" s="13">
        <v>1744.9402</v>
      </c>
      <c r="E300" s="16">
        <v>106368.12081009996</v>
      </c>
    </row>
    <row r="301" spans="1:5" x14ac:dyDescent="0.25">
      <c r="A301" s="17" t="s">
        <v>823</v>
      </c>
      <c r="B301" s="13" t="s">
        <v>307</v>
      </c>
      <c r="C301" s="16">
        <v>12015991</v>
      </c>
      <c r="D301" s="13">
        <v>169.3948</v>
      </c>
      <c r="E301" s="16">
        <v>70934.827987635988</v>
      </c>
    </row>
    <row r="302" spans="1:5" x14ac:dyDescent="0.25">
      <c r="A302" s="17" t="s">
        <v>824</v>
      </c>
      <c r="B302" s="13" t="s">
        <v>308</v>
      </c>
      <c r="C302" s="16">
        <v>17335608</v>
      </c>
      <c r="D302" s="13">
        <v>240.15469999999999</v>
      </c>
      <c r="E302" s="16">
        <v>72185.170642090292</v>
      </c>
    </row>
    <row r="303" spans="1:5" x14ac:dyDescent="0.25">
      <c r="A303" s="17" t="s">
        <v>825</v>
      </c>
      <c r="B303" s="13" t="s">
        <v>309</v>
      </c>
      <c r="C303" s="16">
        <v>549039738</v>
      </c>
      <c r="D303" s="16">
        <v>1789.7743</v>
      </c>
      <c r="E303" s="16">
        <v>306764.79039843177</v>
      </c>
    </row>
    <row r="304" spans="1:5" x14ac:dyDescent="0.25">
      <c r="A304" s="17" t="s">
        <v>826</v>
      </c>
      <c r="B304" s="13" t="s">
        <v>310</v>
      </c>
      <c r="C304" s="16">
        <v>37089088</v>
      </c>
      <c r="D304" s="16">
        <v>701.88869999999997</v>
      </c>
      <c r="E304" s="16">
        <v>52841.836604578479</v>
      </c>
    </row>
    <row r="305" spans="1:5" x14ac:dyDescent="0.25">
      <c r="A305" s="17" t="s">
        <v>827</v>
      </c>
      <c r="B305" s="13" t="s">
        <v>311</v>
      </c>
      <c r="C305" s="16">
        <v>70531030</v>
      </c>
      <c r="D305" s="13">
        <v>1046.4036000000001</v>
      </c>
      <c r="E305" s="16">
        <v>67403.27537099451</v>
      </c>
    </row>
    <row r="306" spans="1:5" x14ac:dyDescent="0.25">
      <c r="A306" s="17" t="s">
        <v>828</v>
      </c>
      <c r="B306" s="13" t="s">
        <v>312</v>
      </c>
      <c r="C306" s="16">
        <v>84698408</v>
      </c>
      <c r="D306" s="13">
        <v>844.55809999999997</v>
      </c>
      <c r="E306" s="16">
        <v>100287.24844389036</v>
      </c>
    </row>
    <row r="307" spans="1:5" x14ac:dyDescent="0.25">
      <c r="A307" s="17" t="s">
        <v>829</v>
      </c>
      <c r="B307" s="13" t="s">
        <v>313</v>
      </c>
      <c r="C307" s="16">
        <v>88766823</v>
      </c>
      <c r="D307" s="16">
        <v>1306.1305</v>
      </c>
      <c r="E307" s="16">
        <v>67961.679939332244</v>
      </c>
    </row>
    <row r="308" spans="1:5" x14ac:dyDescent="0.25">
      <c r="A308" s="17" t="s">
        <v>830</v>
      </c>
      <c r="B308" s="13" t="s">
        <v>314</v>
      </c>
      <c r="C308" s="16">
        <v>10571344</v>
      </c>
      <c r="D308" s="16">
        <v>112.1541</v>
      </c>
      <c r="E308" s="16">
        <v>94257.312037633936</v>
      </c>
    </row>
    <row r="309" spans="1:5" x14ac:dyDescent="0.25">
      <c r="A309" s="17" t="s">
        <v>831</v>
      </c>
      <c r="B309" s="13" t="s">
        <v>315</v>
      </c>
      <c r="C309" s="16">
        <v>10751140</v>
      </c>
      <c r="D309" s="13">
        <v>67.973399999999998</v>
      </c>
      <c r="E309" s="16">
        <v>158166.87115842375</v>
      </c>
    </row>
    <row r="310" spans="1:5" x14ac:dyDescent="0.25">
      <c r="A310" s="17" t="s">
        <v>832</v>
      </c>
      <c r="B310" s="13" t="s">
        <v>316</v>
      </c>
      <c r="C310" s="16">
        <v>48957162</v>
      </c>
      <c r="D310" s="13">
        <v>559.21389999999997</v>
      </c>
      <c r="E310" s="16">
        <v>87546.396825973032</v>
      </c>
    </row>
    <row r="311" spans="1:5" x14ac:dyDescent="0.25">
      <c r="A311" s="17" t="s">
        <v>833</v>
      </c>
      <c r="B311" s="13" t="s">
        <v>317</v>
      </c>
      <c r="C311" s="16">
        <v>17055756</v>
      </c>
      <c r="D311" s="13">
        <v>203.62289999999999</v>
      </c>
      <c r="E311" s="16">
        <v>83761.482623025222</v>
      </c>
    </row>
    <row r="312" spans="1:5" x14ac:dyDescent="0.25">
      <c r="A312" s="17" t="s">
        <v>834</v>
      </c>
      <c r="B312" s="13" t="s">
        <v>318</v>
      </c>
      <c r="C312" s="16">
        <v>7579334</v>
      </c>
      <c r="D312" s="13">
        <v>63.1783</v>
      </c>
      <c r="E312" s="16">
        <v>119967.3622113922</v>
      </c>
    </row>
    <row r="313" spans="1:5" x14ac:dyDescent="0.25">
      <c r="A313" s="17" t="s">
        <v>835</v>
      </c>
      <c r="B313" s="13" t="s">
        <v>319</v>
      </c>
      <c r="C313" s="16">
        <v>4750514</v>
      </c>
      <c r="D313" s="13">
        <v>42.4512</v>
      </c>
      <c r="E313" s="16">
        <v>111905.29360771898</v>
      </c>
    </row>
    <row r="314" spans="1:5" x14ac:dyDescent="0.25">
      <c r="A314" s="17" t="s">
        <v>836</v>
      </c>
      <c r="B314" s="13" t="s">
        <v>320</v>
      </c>
      <c r="C314" s="16">
        <v>85855884</v>
      </c>
      <c r="D314" s="16">
        <v>659.70299999999997</v>
      </c>
      <c r="E314" s="16">
        <v>130143.23718400553</v>
      </c>
    </row>
    <row r="315" spans="1:5" x14ac:dyDescent="0.25">
      <c r="A315" s="17" t="s">
        <v>837</v>
      </c>
      <c r="B315" s="13" t="s">
        <v>321</v>
      </c>
      <c r="C315" s="16">
        <v>8589519</v>
      </c>
      <c r="D315" s="13">
        <v>80.355800000000002</v>
      </c>
      <c r="E315" s="16">
        <v>106893.5783104642</v>
      </c>
    </row>
    <row r="316" spans="1:5" x14ac:dyDescent="0.25">
      <c r="A316" s="17" t="s">
        <v>838</v>
      </c>
      <c r="B316" s="13" t="s">
        <v>322</v>
      </c>
      <c r="C316" s="16">
        <v>14344451</v>
      </c>
      <c r="D316" s="13">
        <v>181.02959999999999</v>
      </c>
      <c r="E316" s="16">
        <v>79238.152213781621</v>
      </c>
    </row>
    <row r="317" spans="1:5" x14ac:dyDescent="0.25">
      <c r="A317" s="17" t="s">
        <v>839</v>
      </c>
      <c r="B317" s="13" t="s">
        <v>323</v>
      </c>
      <c r="C317" s="16">
        <v>48778411</v>
      </c>
      <c r="D317" s="13">
        <v>351.42910000000001</v>
      </c>
      <c r="E317" s="16">
        <v>138800.14773961517</v>
      </c>
    </row>
    <row r="318" spans="1:5" x14ac:dyDescent="0.25">
      <c r="A318" s="17" t="s">
        <v>840</v>
      </c>
      <c r="B318" s="13" t="s">
        <v>324</v>
      </c>
      <c r="C318" s="16">
        <v>30180826</v>
      </c>
      <c r="D318" s="13">
        <v>331.33539999999999</v>
      </c>
      <c r="E318" s="16">
        <v>91088.44391513856</v>
      </c>
    </row>
    <row r="319" spans="1:5" x14ac:dyDescent="0.25">
      <c r="A319" s="17" t="s">
        <v>841</v>
      </c>
      <c r="B319" s="13" t="s">
        <v>325</v>
      </c>
      <c r="C319" s="16">
        <v>129748974</v>
      </c>
      <c r="D319" s="13">
        <v>1127.3822</v>
      </c>
      <c r="E319" s="16">
        <v>115088.71969062489</v>
      </c>
    </row>
    <row r="320" spans="1:5" x14ac:dyDescent="0.25">
      <c r="A320" s="17" t="s">
        <v>842</v>
      </c>
      <c r="B320" s="13" t="s">
        <v>326</v>
      </c>
      <c r="C320" s="16">
        <v>86654173</v>
      </c>
      <c r="D320" s="13">
        <v>645.33900000000006</v>
      </c>
      <c r="E320" s="16">
        <v>134276.98155543054</v>
      </c>
    </row>
    <row r="321" spans="1:5" x14ac:dyDescent="0.25">
      <c r="A321" s="17" t="s">
        <v>843</v>
      </c>
      <c r="B321" s="13" t="s">
        <v>327</v>
      </c>
      <c r="C321" s="16">
        <v>272616541</v>
      </c>
      <c r="D321" s="13">
        <v>1188.4725000000001</v>
      </c>
      <c r="E321" s="16">
        <v>229383.9706009184</v>
      </c>
    </row>
    <row r="322" spans="1:5" x14ac:dyDescent="0.25">
      <c r="A322" s="17" t="s">
        <v>844</v>
      </c>
      <c r="B322" s="13" t="s">
        <v>328</v>
      </c>
      <c r="C322" s="16">
        <v>10732366</v>
      </c>
      <c r="D322" s="13">
        <v>151.7921</v>
      </c>
      <c r="E322" s="16">
        <v>70704.377895819343</v>
      </c>
    </row>
    <row r="323" spans="1:5" x14ac:dyDescent="0.25">
      <c r="A323" s="17" t="s">
        <v>845</v>
      </c>
      <c r="B323" s="13" t="s">
        <v>329</v>
      </c>
      <c r="C323" s="16">
        <v>50084481</v>
      </c>
      <c r="D323" s="13">
        <v>657.80370000000005</v>
      </c>
      <c r="E323" s="16">
        <v>76138.946922919407</v>
      </c>
    </row>
    <row r="324" spans="1:5" x14ac:dyDescent="0.25">
      <c r="A324" s="17" t="s">
        <v>846</v>
      </c>
      <c r="B324" s="13" t="s">
        <v>330</v>
      </c>
      <c r="C324" s="16">
        <v>14326800</v>
      </c>
      <c r="D324" s="13">
        <v>237.59399999999999</v>
      </c>
      <c r="E324" s="16">
        <v>60299.502512689716</v>
      </c>
    </row>
    <row r="325" spans="1:5" x14ac:dyDescent="0.25">
      <c r="A325" s="17" t="s">
        <v>847</v>
      </c>
      <c r="B325" s="13" t="s">
        <v>331</v>
      </c>
      <c r="C325" s="16">
        <v>256683843</v>
      </c>
      <c r="D325" s="13">
        <v>1196.2982999999999</v>
      </c>
      <c r="E325" s="16">
        <v>214565.08213712249</v>
      </c>
    </row>
    <row r="326" spans="1:5" x14ac:dyDescent="0.25">
      <c r="A326" s="17" t="s">
        <v>848</v>
      </c>
      <c r="B326" s="13" t="s">
        <v>332</v>
      </c>
      <c r="C326" s="16">
        <v>73739915</v>
      </c>
      <c r="D326" s="13">
        <v>1287.1168</v>
      </c>
      <c r="E326" s="16">
        <v>57290.771901975015</v>
      </c>
    </row>
    <row r="327" spans="1:5" x14ac:dyDescent="0.25">
      <c r="A327" s="17" t="s">
        <v>849</v>
      </c>
      <c r="B327" s="13" t="s">
        <v>333</v>
      </c>
      <c r="C327" s="16">
        <v>71578182</v>
      </c>
      <c r="D327" s="13">
        <v>745.56719999999996</v>
      </c>
      <c r="E327" s="16">
        <v>96005.003975496787</v>
      </c>
    </row>
    <row r="328" spans="1:5" x14ac:dyDescent="0.25">
      <c r="A328" s="17" t="s">
        <v>850</v>
      </c>
      <c r="B328" s="13" t="s">
        <v>334</v>
      </c>
      <c r="C328" s="16">
        <v>9253135</v>
      </c>
      <c r="D328" s="13">
        <v>154.137</v>
      </c>
      <c r="E328" s="16">
        <v>60031.887217215852</v>
      </c>
    </row>
    <row r="329" spans="1:5" x14ac:dyDescent="0.25">
      <c r="A329" s="17" t="s">
        <v>851</v>
      </c>
      <c r="B329" s="13" t="s">
        <v>335</v>
      </c>
      <c r="C329" s="16">
        <v>95442065</v>
      </c>
      <c r="D329" s="13">
        <v>1340.7933</v>
      </c>
      <c r="E329" s="16">
        <v>71183.280077548116</v>
      </c>
    </row>
    <row r="330" spans="1:5" x14ac:dyDescent="0.25">
      <c r="A330" s="17" t="s">
        <v>852</v>
      </c>
      <c r="B330" s="13" t="s">
        <v>1579</v>
      </c>
      <c r="C330" s="16">
        <v>309330019</v>
      </c>
      <c r="D330" s="13">
        <v>4337.5910000000003</v>
      </c>
      <c r="E330" s="16">
        <v>71313.782004804045</v>
      </c>
    </row>
    <row r="331" spans="1:5" x14ac:dyDescent="0.25">
      <c r="A331" s="17" t="s">
        <v>853</v>
      </c>
      <c r="B331" s="13" t="s">
        <v>337</v>
      </c>
      <c r="C331" s="16">
        <v>28250302</v>
      </c>
      <c r="D331" s="13">
        <v>193.58940000000001</v>
      </c>
      <c r="E331" s="16">
        <v>145928.97131764443</v>
      </c>
    </row>
    <row r="332" spans="1:5" x14ac:dyDescent="0.25">
      <c r="A332" s="17" t="s">
        <v>854</v>
      </c>
      <c r="B332" s="13" t="s">
        <v>338</v>
      </c>
      <c r="C332" s="16">
        <v>24504052</v>
      </c>
      <c r="D332" s="13">
        <v>214.93360000000001</v>
      </c>
      <c r="E332" s="16">
        <v>114007.54465565179</v>
      </c>
    </row>
    <row r="333" spans="1:5" x14ac:dyDescent="0.25">
      <c r="A333" s="17" t="s">
        <v>855</v>
      </c>
      <c r="B333" s="13" t="s">
        <v>339</v>
      </c>
      <c r="C333" s="16">
        <v>16927645</v>
      </c>
      <c r="D333" s="13">
        <v>198.26410000000001</v>
      </c>
      <c r="E333" s="16">
        <v>85379.27441226122</v>
      </c>
    </row>
    <row r="334" spans="1:5" x14ac:dyDescent="0.25">
      <c r="A334" s="17" t="s">
        <v>856</v>
      </c>
      <c r="B334" s="13" t="s">
        <v>340</v>
      </c>
      <c r="C334" s="16">
        <v>14895782</v>
      </c>
      <c r="D334" s="16">
        <v>116.27500000000001</v>
      </c>
      <c r="E334" s="16">
        <v>128108.20898731455</v>
      </c>
    </row>
    <row r="335" spans="1:5" x14ac:dyDescent="0.25">
      <c r="A335" s="17" t="s">
        <v>857</v>
      </c>
      <c r="B335" s="13" t="s">
        <v>341</v>
      </c>
      <c r="C335" s="16">
        <v>16433278</v>
      </c>
      <c r="D335" s="16">
        <v>187.63509999999999</v>
      </c>
      <c r="E335" s="16">
        <v>87581.044271567531</v>
      </c>
    </row>
    <row r="336" spans="1:5" x14ac:dyDescent="0.25">
      <c r="A336" s="17" t="s">
        <v>858</v>
      </c>
      <c r="B336" s="13" t="s">
        <v>342</v>
      </c>
      <c r="C336" s="16">
        <v>186606337</v>
      </c>
      <c r="D336" s="13">
        <v>1375.0245</v>
      </c>
      <c r="E336" s="16">
        <v>135711.28150807496</v>
      </c>
    </row>
    <row r="337" spans="1:5" x14ac:dyDescent="0.25">
      <c r="A337" s="17" t="s">
        <v>859</v>
      </c>
      <c r="B337" s="13" t="s">
        <v>343</v>
      </c>
      <c r="C337" s="16">
        <v>15649068</v>
      </c>
      <c r="D337" s="13">
        <v>156.5222</v>
      </c>
      <c r="E337" s="16">
        <v>99979.862281516616</v>
      </c>
    </row>
    <row r="338" spans="1:5" x14ac:dyDescent="0.25">
      <c r="A338" s="17" t="s">
        <v>860</v>
      </c>
      <c r="B338" s="13" t="s">
        <v>344</v>
      </c>
      <c r="C338" s="16">
        <v>12152546</v>
      </c>
      <c r="D338" s="13">
        <v>106.3653</v>
      </c>
      <c r="E338" s="16">
        <v>114252.91895007112</v>
      </c>
    </row>
    <row r="339" spans="1:5" x14ac:dyDescent="0.25">
      <c r="A339" s="17" t="s">
        <v>861</v>
      </c>
      <c r="B339" s="13" t="s">
        <v>345</v>
      </c>
      <c r="C339" s="16">
        <v>31998552</v>
      </c>
      <c r="D339" s="13">
        <v>686.17880000000002</v>
      </c>
      <c r="E339" s="16">
        <v>46632.965052257518</v>
      </c>
    </row>
    <row r="340" spans="1:5" x14ac:dyDescent="0.25">
      <c r="A340" s="17" t="s">
        <v>862</v>
      </c>
      <c r="B340" s="13" t="s">
        <v>346</v>
      </c>
      <c r="C340" s="16">
        <v>14700482</v>
      </c>
      <c r="D340" s="13">
        <v>217.9785</v>
      </c>
      <c r="E340" s="16">
        <v>67440.0548677966</v>
      </c>
    </row>
    <row r="341" spans="1:5" x14ac:dyDescent="0.25">
      <c r="A341" s="17" t="s">
        <v>863</v>
      </c>
      <c r="B341" s="13" t="s">
        <v>347</v>
      </c>
      <c r="C341" s="16">
        <v>40018271</v>
      </c>
      <c r="D341" s="13">
        <v>614.86429999999996</v>
      </c>
      <c r="E341" s="16">
        <v>65084.720319589222</v>
      </c>
    </row>
    <row r="342" spans="1:5" x14ac:dyDescent="0.25">
      <c r="A342" s="17" t="s">
        <v>864</v>
      </c>
      <c r="B342" s="13" t="s">
        <v>348</v>
      </c>
      <c r="C342" s="16">
        <v>14950347</v>
      </c>
      <c r="D342" s="16">
        <v>172.78790000000001</v>
      </c>
      <c r="E342" s="16">
        <v>86524.270507367706</v>
      </c>
    </row>
    <row r="343" spans="1:5" x14ac:dyDescent="0.25">
      <c r="A343" s="17" t="s">
        <v>865</v>
      </c>
      <c r="B343" s="13" t="s">
        <v>349</v>
      </c>
      <c r="C343" s="16">
        <v>63506937</v>
      </c>
      <c r="D343" s="16">
        <v>634.57180000000005</v>
      </c>
      <c r="E343" s="16">
        <v>100078.41035482509</v>
      </c>
    </row>
    <row r="344" spans="1:5" x14ac:dyDescent="0.25">
      <c r="A344" s="17" t="s">
        <v>866</v>
      </c>
      <c r="B344" s="13" t="s">
        <v>350</v>
      </c>
      <c r="C344" s="16">
        <v>91714633</v>
      </c>
      <c r="D344" s="13">
        <v>768.32849999999996</v>
      </c>
      <c r="E344" s="16">
        <v>119369.03681172832</v>
      </c>
    </row>
    <row r="345" spans="1:5" x14ac:dyDescent="0.25">
      <c r="A345" s="17" t="s">
        <v>867</v>
      </c>
      <c r="B345" s="13" t="s">
        <v>351</v>
      </c>
      <c r="C345" s="16">
        <v>7172520</v>
      </c>
      <c r="D345" s="16">
        <v>73.105000000000004</v>
      </c>
      <c r="E345" s="16">
        <v>98112.577799056147</v>
      </c>
    </row>
    <row r="346" spans="1:5" x14ac:dyDescent="0.25">
      <c r="A346" s="17" t="s">
        <v>868</v>
      </c>
      <c r="B346" s="13" t="s">
        <v>352</v>
      </c>
      <c r="C346" s="16">
        <v>14411514</v>
      </c>
      <c r="D346" s="13">
        <v>315.8965</v>
      </c>
      <c r="E346" s="16">
        <v>45620.999282993005</v>
      </c>
    </row>
    <row r="347" spans="1:5" x14ac:dyDescent="0.25">
      <c r="A347" s="17" t="s">
        <v>869</v>
      </c>
      <c r="B347" s="13" t="s">
        <v>353</v>
      </c>
      <c r="C347" s="16">
        <v>52153114</v>
      </c>
      <c r="D347" s="16">
        <v>603.30359999999996</v>
      </c>
      <c r="E347" s="16">
        <v>86445.885620440531</v>
      </c>
    </row>
    <row r="348" spans="1:5" x14ac:dyDescent="0.25">
      <c r="A348" s="17" t="s">
        <v>870</v>
      </c>
      <c r="B348" s="13" t="s">
        <v>354</v>
      </c>
      <c r="C348" s="16">
        <v>18115918</v>
      </c>
      <c r="D348" s="13">
        <v>273.49950000000001</v>
      </c>
      <c r="E348" s="16">
        <v>66237.481238539738</v>
      </c>
    </row>
    <row r="349" spans="1:5" x14ac:dyDescent="0.25">
      <c r="A349" s="17" t="s">
        <v>871</v>
      </c>
      <c r="B349" s="13" t="s">
        <v>355</v>
      </c>
      <c r="C349" s="16">
        <v>25296167</v>
      </c>
      <c r="D349" s="13">
        <v>117.6949</v>
      </c>
      <c r="E349" s="16">
        <v>214930.01820809566</v>
      </c>
    </row>
    <row r="350" spans="1:5" x14ac:dyDescent="0.25">
      <c r="A350" s="17" t="s">
        <v>872</v>
      </c>
      <c r="B350" s="13" t="s">
        <v>356</v>
      </c>
      <c r="C350" s="16">
        <v>19402845</v>
      </c>
      <c r="D350" s="13">
        <v>235.83879999999999</v>
      </c>
      <c r="E350" s="16">
        <v>82271.640629107686</v>
      </c>
    </row>
    <row r="351" spans="1:5" x14ac:dyDescent="0.25">
      <c r="A351" s="17" t="s">
        <v>873</v>
      </c>
      <c r="B351" s="13" t="s">
        <v>357</v>
      </c>
      <c r="C351" s="16">
        <v>28615287</v>
      </c>
      <c r="D351" s="13">
        <v>539.80330000000004</v>
      </c>
      <c r="E351" s="16">
        <v>53010.581817487961</v>
      </c>
    </row>
    <row r="352" spans="1:5" x14ac:dyDescent="0.25">
      <c r="A352" s="17" t="s">
        <v>874</v>
      </c>
      <c r="B352" s="13" t="s">
        <v>358</v>
      </c>
      <c r="C352" s="16">
        <v>12214120</v>
      </c>
      <c r="D352" s="13">
        <v>152.5428</v>
      </c>
      <c r="E352" s="16">
        <v>80070.118025891745</v>
      </c>
    </row>
    <row r="353" spans="1:5" x14ac:dyDescent="0.25">
      <c r="A353" s="17" t="s">
        <v>875</v>
      </c>
      <c r="B353" s="13" t="s">
        <v>359</v>
      </c>
      <c r="C353" s="16">
        <v>8475305</v>
      </c>
      <c r="D353" s="16">
        <v>178.3544</v>
      </c>
      <c r="E353" s="16">
        <v>47519.461252427755</v>
      </c>
    </row>
    <row r="354" spans="1:5" x14ac:dyDescent="0.25">
      <c r="A354" s="17" t="s">
        <v>876</v>
      </c>
      <c r="B354" s="13" t="s">
        <v>360</v>
      </c>
      <c r="C354" s="16">
        <v>30104021</v>
      </c>
      <c r="D354" s="16">
        <v>580.98940000000005</v>
      </c>
      <c r="E354" s="16">
        <v>51815.095077466125</v>
      </c>
    </row>
    <row r="355" spans="1:5" x14ac:dyDescent="0.25">
      <c r="A355" s="17" t="s">
        <v>877</v>
      </c>
      <c r="B355" s="13" t="s">
        <v>361</v>
      </c>
      <c r="C355" s="16">
        <v>12250653</v>
      </c>
      <c r="D355" s="16">
        <v>185.8115</v>
      </c>
      <c r="E355" s="16">
        <v>65930.542512169588</v>
      </c>
    </row>
    <row r="356" spans="1:5" x14ac:dyDescent="0.25">
      <c r="A356" s="17" t="s">
        <v>878</v>
      </c>
      <c r="B356" s="13" t="s">
        <v>362</v>
      </c>
      <c r="C356" s="16">
        <v>50403873</v>
      </c>
      <c r="D356" s="13">
        <v>997.2817</v>
      </c>
      <c r="E356" s="16">
        <v>50541.259305169238</v>
      </c>
    </row>
    <row r="357" spans="1:5" x14ac:dyDescent="0.25">
      <c r="A357" s="17" t="s">
        <v>879</v>
      </c>
      <c r="B357" s="13" t="s">
        <v>363</v>
      </c>
      <c r="C357" s="16">
        <v>308748278</v>
      </c>
      <c r="D357" s="13">
        <v>2079.2172999999998</v>
      </c>
      <c r="E357" s="16">
        <v>148492.54957622758</v>
      </c>
    </row>
    <row r="358" spans="1:5" x14ac:dyDescent="0.25">
      <c r="A358" s="17" t="s">
        <v>880</v>
      </c>
      <c r="B358" s="13" t="s">
        <v>364</v>
      </c>
      <c r="C358" s="16">
        <v>17839268</v>
      </c>
      <c r="D358" s="13">
        <v>95.167299999999997</v>
      </c>
      <c r="E358" s="16">
        <v>187451.65618862782</v>
      </c>
    </row>
    <row r="359" spans="1:5" x14ac:dyDescent="0.25">
      <c r="A359" s="17" t="s">
        <v>881</v>
      </c>
      <c r="B359" s="13" t="s">
        <v>365</v>
      </c>
      <c r="C359" s="16">
        <v>28528605</v>
      </c>
      <c r="D359" s="13">
        <v>311.18889999999999</v>
      </c>
      <c r="E359" s="16">
        <v>91676.16518455511</v>
      </c>
    </row>
    <row r="360" spans="1:5" x14ac:dyDescent="0.25">
      <c r="A360" s="17" t="s">
        <v>882</v>
      </c>
      <c r="B360" s="13" t="s">
        <v>366</v>
      </c>
      <c r="C360" s="16">
        <v>19930215</v>
      </c>
      <c r="D360" s="13">
        <v>316.3929</v>
      </c>
      <c r="E360" s="16">
        <v>62991.979276399696</v>
      </c>
    </row>
    <row r="361" spans="1:5" x14ac:dyDescent="0.25">
      <c r="A361" s="17" t="s">
        <v>883</v>
      </c>
      <c r="B361" s="13" t="s">
        <v>367</v>
      </c>
      <c r="C361" s="16">
        <v>42707974</v>
      </c>
      <c r="D361" s="13">
        <v>512.98320000000001</v>
      </c>
      <c r="E361" s="16">
        <v>83254.137757337856</v>
      </c>
    </row>
    <row r="362" spans="1:5" x14ac:dyDescent="0.25">
      <c r="A362" s="17" t="s">
        <v>884</v>
      </c>
      <c r="B362" s="13" t="s">
        <v>368</v>
      </c>
      <c r="C362" s="16">
        <v>27221219</v>
      </c>
      <c r="D362" s="13">
        <v>374.25689999999997</v>
      </c>
      <c r="E362" s="16">
        <v>72734.047121108524</v>
      </c>
    </row>
    <row r="363" spans="1:5" x14ac:dyDescent="0.25">
      <c r="A363" s="17" t="s">
        <v>885</v>
      </c>
      <c r="B363" s="13" t="s">
        <v>369</v>
      </c>
      <c r="C363" s="16">
        <v>49831952</v>
      </c>
      <c r="D363" s="13">
        <v>154.64959999999999</v>
      </c>
      <c r="E363" s="16">
        <v>322224.90067869559</v>
      </c>
    </row>
    <row r="364" spans="1:5" x14ac:dyDescent="0.25">
      <c r="A364" s="17" t="s">
        <v>886</v>
      </c>
      <c r="B364" s="13" t="s">
        <v>370</v>
      </c>
      <c r="C364" s="16">
        <v>346244271</v>
      </c>
      <c r="D364" s="16">
        <v>4603.7602999999999</v>
      </c>
      <c r="E364" s="16">
        <v>75209.01359699374</v>
      </c>
    </row>
    <row r="365" spans="1:5" x14ac:dyDescent="0.25">
      <c r="A365" s="17" t="s">
        <v>887</v>
      </c>
      <c r="B365" s="13" t="s">
        <v>371</v>
      </c>
      <c r="C365" s="16">
        <v>119628272</v>
      </c>
      <c r="D365" s="13">
        <v>1763.7498000000001</v>
      </c>
      <c r="E365" s="16">
        <v>67826.100958310519</v>
      </c>
    </row>
    <row r="366" spans="1:5" x14ac:dyDescent="0.25">
      <c r="A366" s="17" t="s">
        <v>888</v>
      </c>
      <c r="B366" s="13" t="s">
        <v>372</v>
      </c>
      <c r="C366" s="16">
        <v>27318291</v>
      </c>
      <c r="D366" s="13">
        <v>376.41030000000001</v>
      </c>
      <c r="E366" s="16">
        <v>72575.832807975763</v>
      </c>
    </row>
    <row r="367" spans="1:5" x14ac:dyDescent="0.25">
      <c r="A367" s="17" t="s">
        <v>889</v>
      </c>
      <c r="B367" s="13" t="s">
        <v>373</v>
      </c>
      <c r="C367" s="16">
        <v>406922981</v>
      </c>
      <c r="D367" s="13">
        <v>3787.0509000000002</v>
      </c>
      <c r="E367" s="16">
        <v>107451.15176561265</v>
      </c>
    </row>
    <row r="368" spans="1:5" x14ac:dyDescent="0.25">
      <c r="A368" s="17" t="s">
        <v>890</v>
      </c>
      <c r="B368" s="13" t="s">
        <v>374</v>
      </c>
      <c r="C368" s="16">
        <v>19039194</v>
      </c>
      <c r="D368" s="13">
        <v>223.1156</v>
      </c>
      <c r="E368" s="16">
        <v>85333.316003004715</v>
      </c>
    </row>
    <row r="369" spans="1:5" x14ac:dyDescent="0.25">
      <c r="A369" s="17" t="s">
        <v>891</v>
      </c>
      <c r="B369" s="13" t="s">
        <v>375</v>
      </c>
      <c r="C369" s="16">
        <v>112341700</v>
      </c>
      <c r="D369" s="13">
        <v>1232.5264999999999</v>
      </c>
      <c r="E369" s="16">
        <v>91147.492569125287</v>
      </c>
    </row>
    <row r="370" spans="1:5" x14ac:dyDescent="0.25">
      <c r="A370" s="17" t="s">
        <v>892</v>
      </c>
      <c r="B370" s="13" t="s">
        <v>376</v>
      </c>
      <c r="C370" s="16">
        <v>42758271</v>
      </c>
      <c r="D370" s="13">
        <v>388.2457</v>
      </c>
      <c r="E370" s="16">
        <v>110131.98858351812</v>
      </c>
    </row>
    <row r="371" spans="1:5" x14ac:dyDescent="0.25">
      <c r="A371" s="17" t="s">
        <v>893</v>
      </c>
      <c r="B371" s="13" t="s">
        <v>377</v>
      </c>
      <c r="C371" s="16">
        <v>11504841</v>
      </c>
      <c r="D371" s="13">
        <v>54.871400000000001</v>
      </c>
      <c r="E371" s="16">
        <v>209669.17191833997</v>
      </c>
    </row>
    <row r="372" spans="1:5" x14ac:dyDescent="0.25">
      <c r="A372" s="17" t="s">
        <v>894</v>
      </c>
      <c r="B372" s="13" t="s">
        <v>378</v>
      </c>
      <c r="C372" s="16">
        <v>56974208</v>
      </c>
      <c r="D372" s="13">
        <v>663.29939999999999</v>
      </c>
      <c r="E372" s="16">
        <v>85895.159862951783</v>
      </c>
    </row>
    <row r="373" spans="1:5" x14ac:dyDescent="0.25">
      <c r="A373" s="17" t="s">
        <v>895</v>
      </c>
      <c r="B373" s="13" t="s">
        <v>379</v>
      </c>
      <c r="C373" s="16">
        <v>61687311</v>
      </c>
      <c r="D373" s="16">
        <v>601.39840000000004</v>
      </c>
      <c r="E373" s="16">
        <v>102573.12124541734</v>
      </c>
    </row>
    <row r="374" spans="1:5" x14ac:dyDescent="0.25">
      <c r="A374" s="17" t="s">
        <v>896</v>
      </c>
      <c r="B374" s="13" t="s">
        <v>380</v>
      </c>
      <c r="C374" s="16">
        <v>212429138</v>
      </c>
      <c r="D374" s="16">
        <v>584.928</v>
      </c>
      <c r="E374" s="16">
        <v>363171.42964604188</v>
      </c>
    </row>
    <row r="375" spans="1:5" x14ac:dyDescent="0.25">
      <c r="A375" s="17" t="s">
        <v>897</v>
      </c>
      <c r="B375" s="13" t="s">
        <v>381</v>
      </c>
      <c r="C375" s="16">
        <v>533631962</v>
      </c>
      <c r="D375" s="13">
        <v>3894.8461000000002</v>
      </c>
      <c r="E375" s="16">
        <v>137009.76837056541</v>
      </c>
    </row>
    <row r="376" spans="1:5" x14ac:dyDescent="0.25">
      <c r="A376" s="17" t="s">
        <v>898</v>
      </c>
      <c r="B376" s="13" t="s">
        <v>382</v>
      </c>
      <c r="C376" s="16">
        <v>1698107954</v>
      </c>
      <c r="D376" s="13">
        <v>11050.483099999999</v>
      </c>
      <c r="E376" s="16">
        <v>153668.20967311374</v>
      </c>
    </row>
    <row r="377" spans="1:5" x14ac:dyDescent="0.25">
      <c r="A377" s="17" t="s">
        <v>899</v>
      </c>
      <c r="B377" s="13" t="s">
        <v>383</v>
      </c>
      <c r="C377" s="16">
        <v>163523850</v>
      </c>
      <c r="D377" s="16">
        <v>2587.3726999999999</v>
      </c>
      <c r="E377" s="16">
        <v>63200.732542319864</v>
      </c>
    </row>
    <row r="378" spans="1:5" x14ac:dyDescent="0.25">
      <c r="A378" s="17" t="s">
        <v>900</v>
      </c>
      <c r="B378" s="13" t="s">
        <v>384</v>
      </c>
      <c r="C378" s="16">
        <v>19322380</v>
      </c>
      <c r="D378" s="13">
        <v>337.33780000000002</v>
      </c>
      <c r="E378" s="16">
        <v>57279.024171023819</v>
      </c>
    </row>
    <row r="379" spans="1:5" x14ac:dyDescent="0.25">
      <c r="A379" s="17" t="s">
        <v>901</v>
      </c>
      <c r="B379" s="13" t="s">
        <v>385</v>
      </c>
      <c r="C379" s="16">
        <v>20860290</v>
      </c>
      <c r="D379" s="13">
        <v>253.33279999999999</v>
      </c>
      <c r="E379" s="16">
        <v>82343.423354575483</v>
      </c>
    </row>
    <row r="380" spans="1:5" x14ac:dyDescent="0.25">
      <c r="A380" s="17" t="s">
        <v>902</v>
      </c>
      <c r="B380" s="13" t="s">
        <v>386</v>
      </c>
      <c r="C380" s="16">
        <v>21121841</v>
      </c>
      <c r="D380" s="13">
        <v>347.5711</v>
      </c>
      <c r="E380" s="16">
        <v>60769.842486904119</v>
      </c>
    </row>
    <row r="381" spans="1:5" x14ac:dyDescent="0.25">
      <c r="A381" s="17" t="s">
        <v>903</v>
      </c>
      <c r="B381" s="13" t="s">
        <v>387</v>
      </c>
      <c r="C381" s="16">
        <v>36159660</v>
      </c>
      <c r="D381" s="13">
        <v>528.16880000000003</v>
      </c>
      <c r="E381" s="16">
        <v>68462.317350059297</v>
      </c>
    </row>
    <row r="382" spans="1:5" x14ac:dyDescent="0.25">
      <c r="A382" s="17" t="s">
        <v>904</v>
      </c>
      <c r="B382" s="13" t="s">
        <v>388</v>
      </c>
      <c r="C382" s="16">
        <v>41731980</v>
      </c>
      <c r="D382" s="13">
        <v>732.58969999999999</v>
      </c>
      <c r="E382" s="16">
        <v>56965.010564576594</v>
      </c>
    </row>
    <row r="383" spans="1:5" x14ac:dyDescent="0.25">
      <c r="A383" s="17" t="s">
        <v>905</v>
      </c>
      <c r="B383" s="13" t="s">
        <v>389</v>
      </c>
      <c r="C383" s="16">
        <v>6052435</v>
      </c>
      <c r="D383" s="16">
        <v>71.7119</v>
      </c>
      <c r="E383" s="16">
        <v>84399.311690249451</v>
      </c>
    </row>
    <row r="384" spans="1:5" x14ac:dyDescent="0.25">
      <c r="A384" s="17" t="s">
        <v>906</v>
      </c>
      <c r="B384" s="13" t="s">
        <v>390</v>
      </c>
      <c r="C384" s="16">
        <v>35124067</v>
      </c>
      <c r="D384" s="13">
        <v>502.55439999999999</v>
      </c>
      <c r="E384" s="16">
        <v>69891.074478703202</v>
      </c>
    </row>
    <row r="385" spans="1:5" x14ac:dyDescent="0.25">
      <c r="A385" s="17" t="s">
        <v>907</v>
      </c>
      <c r="B385" s="13" t="s">
        <v>391</v>
      </c>
      <c r="C385" s="16">
        <v>36336362</v>
      </c>
      <c r="D385" s="13">
        <v>590.26199999999994</v>
      </c>
      <c r="E385" s="16">
        <v>61559.717549156143</v>
      </c>
    </row>
    <row r="386" spans="1:5" x14ac:dyDescent="0.25">
      <c r="A386" s="17" t="s">
        <v>908</v>
      </c>
      <c r="B386" s="13" t="s">
        <v>392</v>
      </c>
      <c r="C386" s="16">
        <v>316061294</v>
      </c>
      <c r="D386" s="16">
        <v>5629.8961999999992</v>
      </c>
      <c r="E386" s="16">
        <v>56139.808403572351</v>
      </c>
    </row>
    <row r="387" spans="1:5" x14ac:dyDescent="0.25">
      <c r="A387" s="17" t="s">
        <v>909</v>
      </c>
      <c r="B387" s="13" t="s">
        <v>393</v>
      </c>
      <c r="C387" s="16">
        <v>64874918</v>
      </c>
      <c r="D387" s="16">
        <v>874.0299</v>
      </c>
      <c r="E387" s="16">
        <v>74225.055687454165</v>
      </c>
    </row>
    <row r="388" spans="1:5" x14ac:dyDescent="0.25">
      <c r="A388" s="17" t="s">
        <v>910</v>
      </c>
      <c r="B388" s="13" t="s">
        <v>394</v>
      </c>
      <c r="C388" s="16">
        <v>31807418</v>
      </c>
      <c r="D388" s="16">
        <v>540.17520000000002</v>
      </c>
      <c r="E388" s="16">
        <v>58883.521494507702</v>
      </c>
    </row>
    <row r="389" spans="1:5" x14ac:dyDescent="0.25">
      <c r="A389" s="17" t="s">
        <v>911</v>
      </c>
      <c r="B389" s="13" t="s">
        <v>395</v>
      </c>
      <c r="C389" s="16">
        <v>87017973</v>
      </c>
      <c r="D389" s="16">
        <v>650.11519999999996</v>
      </c>
      <c r="E389" s="16">
        <v>133850.08226234367</v>
      </c>
    </row>
    <row r="390" spans="1:5" x14ac:dyDescent="0.25">
      <c r="A390" s="17" t="s">
        <v>912</v>
      </c>
      <c r="B390" s="13" t="s">
        <v>396</v>
      </c>
      <c r="C390" s="16">
        <v>84826590</v>
      </c>
      <c r="D390" s="16">
        <v>725.62120000000004</v>
      </c>
      <c r="E390" s="16">
        <v>116902.02822078516</v>
      </c>
    </row>
    <row r="391" spans="1:5" x14ac:dyDescent="0.25">
      <c r="A391" s="17" t="s">
        <v>913</v>
      </c>
      <c r="B391" s="13" t="s">
        <v>397</v>
      </c>
      <c r="C391" s="16">
        <v>26449154</v>
      </c>
      <c r="D391" s="13">
        <v>373.86840000000001</v>
      </c>
      <c r="E391" s="16">
        <v>70744.556105838303</v>
      </c>
    </row>
    <row r="392" spans="1:5" x14ac:dyDescent="0.25">
      <c r="A392" s="17" t="s">
        <v>914</v>
      </c>
      <c r="B392" s="13" t="s">
        <v>398</v>
      </c>
      <c r="C392" s="16">
        <v>15813170</v>
      </c>
      <c r="D392" s="13">
        <v>116.4267</v>
      </c>
      <c r="E392" s="16">
        <v>135820.82116902739</v>
      </c>
    </row>
    <row r="393" spans="1:5" x14ac:dyDescent="0.25">
      <c r="A393" s="17" t="s">
        <v>915</v>
      </c>
      <c r="B393" s="13" t="s">
        <v>399</v>
      </c>
      <c r="C393" s="16">
        <v>12715086</v>
      </c>
      <c r="D393" s="13">
        <v>193.4941</v>
      </c>
      <c r="E393" s="16">
        <v>65713.042413179515</v>
      </c>
    </row>
    <row r="394" spans="1:5" x14ac:dyDescent="0.25">
      <c r="A394" s="17" t="s">
        <v>916</v>
      </c>
      <c r="B394" s="13" t="s">
        <v>400</v>
      </c>
      <c r="C394" s="16">
        <v>167868146</v>
      </c>
      <c r="D394" s="13">
        <v>546.65639999999996</v>
      </c>
      <c r="E394" s="16">
        <v>307081.64397233806</v>
      </c>
    </row>
    <row r="395" spans="1:5" x14ac:dyDescent="0.25">
      <c r="A395" s="17" t="s">
        <v>917</v>
      </c>
      <c r="B395" s="13" t="s">
        <v>401</v>
      </c>
      <c r="C395" s="16">
        <v>182103400</v>
      </c>
      <c r="D395" s="13">
        <v>2075.9634000000001</v>
      </c>
      <c r="E395" s="16">
        <v>87719.947278453939</v>
      </c>
    </row>
    <row r="396" spans="1:5" x14ac:dyDescent="0.25">
      <c r="A396" s="17" t="s">
        <v>918</v>
      </c>
      <c r="B396" s="13" t="s">
        <v>402</v>
      </c>
      <c r="C396" s="16">
        <v>71337640</v>
      </c>
      <c r="D396" s="16">
        <v>1120.0358000000001</v>
      </c>
      <c r="E396" s="16">
        <v>63692.285550158304</v>
      </c>
    </row>
    <row r="397" spans="1:5" x14ac:dyDescent="0.25">
      <c r="A397" s="17" t="s">
        <v>919</v>
      </c>
      <c r="B397" s="13" t="s">
        <v>403</v>
      </c>
      <c r="C397" s="16">
        <v>25003652</v>
      </c>
      <c r="D397" s="16">
        <v>276.00920000000002</v>
      </c>
      <c r="E397" s="16">
        <v>90589.92236490667</v>
      </c>
    </row>
    <row r="398" spans="1:5" x14ac:dyDescent="0.25">
      <c r="A398" s="17" t="s">
        <v>920</v>
      </c>
      <c r="B398" s="13" t="s">
        <v>404</v>
      </c>
      <c r="C398" s="16">
        <v>18507653</v>
      </c>
      <c r="D398" s="16">
        <v>219.49080000000001</v>
      </c>
      <c r="E398" s="16">
        <v>84320.859917591079</v>
      </c>
    </row>
    <row r="399" spans="1:5" x14ac:dyDescent="0.25">
      <c r="A399" s="17" t="s">
        <v>921</v>
      </c>
      <c r="B399" s="13" t="s">
        <v>405</v>
      </c>
      <c r="C399" s="16">
        <v>119386698</v>
      </c>
      <c r="D399" s="16">
        <v>1406.4341999999999</v>
      </c>
      <c r="E399" s="16">
        <v>84886.08852088495</v>
      </c>
    </row>
    <row r="400" spans="1:5" x14ac:dyDescent="0.25">
      <c r="A400" s="17" t="s">
        <v>922</v>
      </c>
      <c r="B400" s="13" t="s">
        <v>406</v>
      </c>
      <c r="C400" s="16">
        <v>6228434</v>
      </c>
      <c r="D400" s="16">
        <v>76.909499999999994</v>
      </c>
      <c r="E400" s="16">
        <v>80983.935664644814</v>
      </c>
    </row>
    <row r="401" spans="1:5" x14ac:dyDescent="0.25">
      <c r="A401" s="17" t="s">
        <v>923</v>
      </c>
      <c r="B401" s="13" t="s">
        <v>407</v>
      </c>
      <c r="C401" s="16">
        <v>32015705</v>
      </c>
      <c r="D401" s="16">
        <v>455.69200000000001</v>
      </c>
      <c r="E401" s="16">
        <v>70257.333900968195</v>
      </c>
    </row>
    <row r="402" spans="1:5" x14ac:dyDescent="0.25">
      <c r="A402" s="17" t="s">
        <v>924</v>
      </c>
      <c r="B402" s="13" t="s">
        <v>408</v>
      </c>
      <c r="C402" s="16">
        <v>70561268</v>
      </c>
      <c r="D402" s="16">
        <v>217.8486</v>
      </c>
      <c r="E402" s="16">
        <v>323900.48868801544</v>
      </c>
    </row>
    <row r="403" spans="1:5" x14ac:dyDescent="0.25">
      <c r="A403" s="17" t="s">
        <v>925</v>
      </c>
      <c r="B403" s="13" t="s">
        <v>409</v>
      </c>
      <c r="C403" s="16">
        <v>57841145</v>
      </c>
      <c r="D403" s="16">
        <v>217.48750000000001</v>
      </c>
      <c r="E403" s="16">
        <v>265951.58342433471</v>
      </c>
    </row>
    <row r="404" spans="1:5" x14ac:dyDescent="0.25">
      <c r="A404" s="17" t="s">
        <v>926</v>
      </c>
      <c r="B404" s="13" t="s">
        <v>410</v>
      </c>
      <c r="C404" s="16">
        <v>10940827</v>
      </c>
      <c r="D404" s="16">
        <v>385.72570000000002</v>
      </c>
      <c r="E404" s="16">
        <v>28364.267664819843</v>
      </c>
    </row>
    <row r="405" spans="1:5" x14ac:dyDescent="0.25">
      <c r="A405" s="17" t="s">
        <v>927</v>
      </c>
      <c r="B405" s="13" t="s">
        <v>411</v>
      </c>
      <c r="C405" s="16">
        <v>74621879</v>
      </c>
      <c r="D405" s="16">
        <v>1392.9803999999999</v>
      </c>
      <c r="E405" s="16">
        <v>53569.941831198776</v>
      </c>
    </row>
    <row r="406" spans="1:5" x14ac:dyDescent="0.25">
      <c r="A406" s="17" t="s">
        <v>928</v>
      </c>
      <c r="B406" s="13" t="s">
        <v>412</v>
      </c>
      <c r="C406" s="16">
        <v>6351994</v>
      </c>
      <c r="D406" s="16">
        <v>147.67240000000001</v>
      </c>
      <c r="E406" s="16">
        <v>43014.090649302103</v>
      </c>
    </row>
    <row r="407" spans="1:5" x14ac:dyDescent="0.25">
      <c r="A407" s="17" t="s">
        <v>929</v>
      </c>
      <c r="B407" s="13" t="s">
        <v>413</v>
      </c>
      <c r="C407" s="16">
        <v>6385163</v>
      </c>
      <c r="D407" s="16">
        <v>115.00709999999999</v>
      </c>
      <c r="E407" s="16">
        <v>55519.728781962163</v>
      </c>
    </row>
    <row r="408" spans="1:5" x14ac:dyDescent="0.25">
      <c r="A408" s="17" t="s">
        <v>930</v>
      </c>
      <c r="B408" s="13" t="s">
        <v>414</v>
      </c>
      <c r="C408" s="16">
        <v>2428091641</v>
      </c>
      <c r="D408" s="16">
        <v>16793.506600000001</v>
      </c>
      <c r="E408" s="16">
        <v>144585.1482262793</v>
      </c>
    </row>
    <row r="409" spans="1:5" x14ac:dyDescent="0.25">
      <c r="A409" s="17" t="s">
        <v>931</v>
      </c>
      <c r="B409" s="13" t="s">
        <v>415</v>
      </c>
      <c r="C409" s="16">
        <v>2560119212</v>
      </c>
      <c r="D409" s="16">
        <v>15773.0594</v>
      </c>
      <c r="E409" s="16">
        <v>162309.61585042911</v>
      </c>
    </row>
    <row r="410" spans="1:5" x14ac:dyDescent="0.25">
      <c r="A410" s="17" t="s">
        <v>932</v>
      </c>
      <c r="B410" s="13" t="s">
        <v>416</v>
      </c>
      <c r="C410" s="16">
        <v>1946271226</v>
      </c>
      <c r="D410" s="16">
        <v>15453.8776</v>
      </c>
      <c r="E410" s="16">
        <v>125940.63939007773</v>
      </c>
    </row>
    <row r="411" spans="1:5" x14ac:dyDescent="0.25">
      <c r="A411" s="17" t="s">
        <v>933</v>
      </c>
      <c r="B411" s="13" t="s">
        <v>417</v>
      </c>
      <c r="C411" s="16">
        <v>994817379</v>
      </c>
      <c r="D411" s="13">
        <v>4544.0874000000003</v>
      </c>
      <c r="E411" s="16">
        <v>218925.67009164477</v>
      </c>
    </row>
    <row r="412" spans="1:5" x14ac:dyDescent="0.25">
      <c r="A412" s="17" t="s">
        <v>934</v>
      </c>
      <c r="B412" s="13" t="s">
        <v>418</v>
      </c>
      <c r="C412" s="16">
        <v>318755165</v>
      </c>
      <c r="D412" s="16">
        <v>1767.4196999999999</v>
      </c>
      <c r="E412" s="16">
        <v>180350.57830350086</v>
      </c>
    </row>
    <row r="413" spans="1:5" x14ac:dyDescent="0.25">
      <c r="A413" s="17" t="s">
        <v>935</v>
      </c>
      <c r="B413" s="13" t="s">
        <v>419</v>
      </c>
      <c r="C413" s="16">
        <v>27249644</v>
      </c>
      <c r="D413" s="16">
        <v>309.99919999999997</v>
      </c>
      <c r="E413" s="16">
        <v>87902.304264011007</v>
      </c>
    </row>
    <row r="414" spans="1:5" x14ac:dyDescent="0.25">
      <c r="A414" s="17" t="s">
        <v>936</v>
      </c>
      <c r="B414" s="13" t="s">
        <v>420</v>
      </c>
      <c r="C414" s="16">
        <v>6890415</v>
      </c>
      <c r="D414" s="16">
        <v>74.046999999999997</v>
      </c>
      <c r="E414" s="16">
        <v>93054.613961402894</v>
      </c>
    </row>
    <row r="415" spans="1:5" x14ac:dyDescent="0.25">
      <c r="A415" s="17" t="s">
        <v>937</v>
      </c>
      <c r="B415" s="13" t="s">
        <v>421</v>
      </c>
      <c r="C415" s="16">
        <v>34180162</v>
      </c>
      <c r="D415" s="16">
        <v>361.86579999999998</v>
      </c>
      <c r="E415" s="16">
        <v>94455.353338171233</v>
      </c>
    </row>
    <row r="416" spans="1:5" x14ac:dyDescent="0.25">
      <c r="A416" s="17" t="s">
        <v>938</v>
      </c>
      <c r="B416" s="13" t="s">
        <v>422</v>
      </c>
      <c r="C416" s="16">
        <v>32240131</v>
      </c>
      <c r="D416" s="16">
        <v>435.78399999999999</v>
      </c>
      <c r="E416" s="16">
        <v>73981.906173700729</v>
      </c>
    </row>
    <row r="417" spans="1:5" x14ac:dyDescent="0.25">
      <c r="A417" s="17" t="s">
        <v>939</v>
      </c>
      <c r="B417" s="13" t="s">
        <v>423</v>
      </c>
      <c r="C417" s="16">
        <v>29135460</v>
      </c>
      <c r="D417" s="16">
        <v>468.38639999999998</v>
      </c>
      <c r="E417" s="16">
        <v>62203.89831984874</v>
      </c>
    </row>
    <row r="418" spans="1:5" x14ac:dyDescent="0.25">
      <c r="A418" s="17" t="s">
        <v>940</v>
      </c>
      <c r="B418" s="13" t="s">
        <v>424</v>
      </c>
      <c r="C418" s="16">
        <v>366634766</v>
      </c>
      <c r="D418" s="16">
        <v>3777.4726000000001</v>
      </c>
      <c r="E418" s="16">
        <v>97058.21982666399</v>
      </c>
    </row>
    <row r="419" spans="1:5" x14ac:dyDescent="0.25">
      <c r="A419" s="17" t="s">
        <v>941</v>
      </c>
      <c r="B419" s="13" t="s">
        <v>425</v>
      </c>
      <c r="C419" s="16">
        <v>174231731</v>
      </c>
      <c r="D419" s="16">
        <v>2738.6918000000001</v>
      </c>
      <c r="E419" s="16">
        <v>63618.597390184608</v>
      </c>
    </row>
    <row r="420" spans="1:5" x14ac:dyDescent="0.25">
      <c r="A420" s="17" t="s">
        <v>942</v>
      </c>
      <c r="B420" s="13" t="s">
        <v>426</v>
      </c>
      <c r="C420" s="16">
        <v>103379328</v>
      </c>
      <c r="D420" s="16">
        <v>2112.6876000000002</v>
      </c>
      <c r="E420" s="16">
        <v>48932.614552194085</v>
      </c>
    </row>
    <row r="421" spans="1:5" x14ac:dyDescent="0.25">
      <c r="A421" s="17" t="s">
        <v>943</v>
      </c>
      <c r="B421" s="13" t="s">
        <v>427</v>
      </c>
      <c r="C421" s="16">
        <v>46741067</v>
      </c>
      <c r="D421" s="13">
        <v>1043.9354000000001</v>
      </c>
      <c r="E421" s="16">
        <v>44773.907465921737</v>
      </c>
    </row>
    <row r="422" spans="1:5" x14ac:dyDescent="0.25">
      <c r="A422" s="17" t="s">
        <v>944</v>
      </c>
      <c r="B422" s="13" t="s">
        <v>428</v>
      </c>
      <c r="C422" s="16">
        <v>377584370</v>
      </c>
      <c r="D422" s="16">
        <v>1691.4636</v>
      </c>
      <c r="E422" s="16">
        <v>223229.37957399734</v>
      </c>
    </row>
    <row r="423" spans="1:5" x14ac:dyDescent="0.25">
      <c r="A423" s="17" t="s">
        <v>945</v>
      </c>
      <c r="B423" s="13" t="s">
        <v>429</v>
      </c>
      <c r="C423" s="16">
        <v>1666792520</v>
      </c>
      <c r="D423" s="16">
        <v>15955.586499999999</v>
      </c>
      <c r="E423" s="16">
        <v>104464.50965622606</v>
      </c>
    </row>
    <row r="424" spans="1:5" x14ac:dyDescent="0.25">
      <c r="A424" s="17" t="s">
        <v>946</v>
      </c>
      <c r="B424" s="13" t="s">
        <v>430</v>
      </c>
      <c r="C424" s="16">
        <v>964089620</v>
      </c>
      <c r="D424" s="13">
        <v>9072.2775000000001</v>
      </c>
      <c r="E424" s="16">
        <v>106267.65109422634</v>
      </c>
    </row>
    <row r="425" spans="1:5" x14ac:dyDescent="0.25">
      <c r="A425" s="17" t="s">
        <v>947</v>
      </c>
      <c r="B425" s="13" t="s">
        <v>431</v>
      </c>
      <c r="C425" s="16">
        <v>1355175340</v>
      </c>
      <c r="D425" s="13">
        <v>5380.5154000000002</v>
      </c>
      <c r="E425" s="16">
        <v>251867.19844719706</v>
      </c>
    </row>
    <row r="426" spans="1:5" x14ac:dyDescent="0.25">
      <c r="A426" s="17" t="s">
        <v>948</v>
      </c>
      <c r="B426" s="13" t="s">
        <v>432</v>
      </c>
      <c r="C426" s="16">
        <v>3729844190</v>
      </c>
      <c r="D426" s="13">
        <v>19758.825400000002</v>
      </c>
      <c r="E426" s="16">
        <v>188768.51809217362</v>
      </c>
    </row>
    <row r="427" spans="1:5" x14ac:dyDescent="0.25">
      <c r="A427" s="17" t="s">
        <v>949</v>
      </c>
      <c r="B427" s="13" t="s">
        <v>433</v>
      </c>
      <c r="C427" s="16">
        <v>1413111040</v>
      </c>
      <c r="D427" s="13">
        <v>5365.9560000000001</v>
      </c>
      <c r="E427" s="16">
        <v>263347.48924515967</v>
      </c>
    </row>
    <row r="428" spans="1:5" x14ac:dyDescent="0.25">
      <c r="A428" s="17" t="s">
        <v>950</v>
      </c>
      <c r="B428" s="13" t="s">
        <v>434</v>
      </c>
      <c r="C428" s="16">
        <v>1386197050</v>
      </c>
      <c r="D428" s="13">
        <v>6253.9808000000003</v>
      </c>
      <c r="E428" s="16">
        <v>221650.35268416558</v>
      </c>
    </row>
    <row r="429" spans="1:5" x14ac:dyDescent="0.25">
      <c r="A429" s="17" t="s">
        <v>951</v>
      </c>
      <c r="B429" s="13" t="s">
        <v>435</v>
      </c>
      <c r="C429" s="16">
        <v>1816398460</v>
      </c>
      <c r="D429" s="16">
        <v>9512.5467000000008</v>
      </c>
      <c r="E429" s="16">
        <v>190947.65232532314</v>
      </c>
    </row>
    <row r="430" spans="1:5" x14ac:dyDescent="0.25">
      <c r="A430" s="17" t="s">
        <v>952</v>
      </c>
      <c r="B430" s="13" t="s">
        <v>436</v>
      </c>
      <c r="C430" s="16">
        <v>4705282070</v>
      </c>
      <c r="D430" s="13">
        <v>16823.625199999999</v>
      </c>
      <c r="E430" s="16">
        <v>279683.00613354135</v>
      </c>
    </row>
    <row r="431" spans="1:5" x14ac:dyDescent="0.25">
      <c r="A431" s="17" t="s">
        <v>953</v>
      </c>
      <c r="B431" s="13" t="s">
        <v>437</v>
      </c>
      <c r="C431" s="16">
        <v>396346140</v>
      </c>
      <c r="D431" s="13">
        <v>2370.1167999999998</v>
      </c>
      <c r="E431" s="16">
        <v>167226.41685844344</v>
      </c>
    </row>
    <row r="432" spans="1:5" x14ac:dyDescent="0.25">
      <c r="A432" s="17" t="s">
        <v>954</v>
      </c>
      <c r="B432" s="13" t="s">
        <v>438</v>
      </c>
      <c r="C432" s="16">
        <v>151793400</v>
      </c>
      <c r="D432" s="13">
        <v>1637.6329000000001</v>
      </c>
      <c r="E432" s="16">
        <v>92690.736733488928</v>
      </c>
    </row>
    <row r="433" spans="1:5" x14ac:dyDescent="0.25">
      <c r="A433" s="17" t="s">
        <v>955</v>
      </c>
      <c r="B433" s="13" t="s">
        <v>439</v>
      </c>
      <c r="C433" s="16">
        <v>313474700</v>
      </c>
      <c r="D433" s="13">
        <v>712.44280000000003</v>
      </c>
      <c r="E433" s="16">
        <v>439999.81472196785</v>
      </c>
    </row>
    <row r="434" spans="1:5" x14ac:dyDescent="0.25">
      <c r="A434" s="17" t="s">
        <v>956</v>
      </c>
      <c r="B434" s="13" t="s">
        <v>440</v>
      </c>
      <c r="C434" s="16">
        <v>1152388120</v>
      </c>
      <c r="D434" s="13">
        <v>2482.6747999999998</v>
      </c>
      <c r="E434" s="16">
        <v>464171.997073479</v>
      </c>
    </row>
    <row r="435" spans="1:5" x14ac:dyDescent="0.25">
      <c r="A435" s="17" t="s">
        <v>957</v>
      </c>
      <c r="B435" s="13" t="s">
        <v>441</v>
      </c>
      <c r="C435" s="16">
        <v>159497670</v>
      </c>
      <c r="D435" s="13">
        <v>1383.4403</v>
      </c>
      <c r="E435" s="16">
        <v>115290.60560112352</v>
      </c>
    </row>
    <row r="436" spans="1:5" x14ac:dyDescent="0.25">
      <c r="A436" s="17" t="s">
        <v>958</v>
      </c>
      <c r="B436" s="13" t="s">
        <v>442</v>
      </c>
      <c r="C436" s="16">
        <v>94457400</v>
      </c>
      <c r="D436" s="13">
        <v>2387.2919999999999</v>
      </c>
      <c r="E436" s="16">
        <v>39566.755972876381</v>
      </c>
    </row>
    <row r="437" spans="1:5" x14ac:dyDescent="0.25">
      <c r="A437" s="17" t="s">
        <v>959</v>
      </c>
      <c r="B437" s="13" t="s">
        <v>443</v>
      </c>
      <c r="C437" s="16">
        <v>1638871770</v>
      </c>
      <c r="D437" s="13">
        <v>3898.1972999999998</v>
      </c>
      <c r="E437" s="16">
        <v>420417.86084044544</v>
      </c>
    </row>
    <row r="438" spans="1:5" x14ac:dyDescent="0.25">
      <c r="A438" s="17" t="s">
        <v>960</v>
      </c>
      <c r="B438" s="13" t="s">
        <v>444</v>
      </c>
      <c r="C438" s="16">
        <v>297707840</v>
      </c>
      <c r="D438" s="16">
        <v>1257.2565999999999</v>
      </c>
      <c r="E438" s="16">
        <v>236791.63028454178</v>
      </c>
    </row>
    <row r="439" spans="1:5" x14ac:dyDescent="0.25">
      <c r="A439" s="17" t="s">
        <v>961</v>
      </c>
      <c r="B439" s="13" t="s">
        <v>521</v>
      </c>
      <c r="C439" s="16">
        <v>267169950</v>
      </c>
      <c r="D439" s="13">
        <v>3313.6990000000001</v>
      </c>
      <c r="E439" s="16">
        <v>80625.895713521357</v>
      </c>
    </row>
    <row r="440" spans="1:5" x14ac:dyDescent="0.25">
      <c r="A440" s="17" t="s">
        <v>962</v>
      </c>
      <c r="B440" s="13" t="s">
        <v>445</v>
      </c>
      <c r="C440" s="16">
        <v>553067720</v>
      </c>
      <c r="D440" s="13">
        <v>5739.4651999999996</v>
      </c>
      <c r="E440" s="16">
        <v>96362.239464401675</v>
      </c>
    </row>
    <row r="441" spans="1:5" x14ac:dyDescent="0.25">
      <c r="A441" s="17" t="s">
        <v>963</v>
      </c>
      <c r="B441" s="13" t="s">
        <v>446</v>
      </c>
      <c r="C441" s="16">
        <v>191244860</v>
      </c>
      <c r="D441" s="13">
        <v>4891.4718999999996</v>
      </c>
      <c r="E441" s="16">
        <v>39097.609862585537</v>
      </c>
    </row>
    <row r="442" spans="1:5" x14ac:dyDescent="0.25">
      <c r="A442" s="17" t="s">
        <v>964</v>
      </c>
      <c r="B442" s="13" t="s">
        <v>447</v>
      </c>
      <c r="C442" s="16">
        <v>655378160</v>
      </c>
      <c r="D442" s="13">
        <v>2411.7347</v>
      </c>
      <c r="E442" s="16">
        <v>271745.54481469293</v>
      </c>
    </row>
    <row r="443" spans="1:5" x14ac:dyDescent="0.25">
      <c r="A443" s="17" t="s">
        <v>965</v>
      </c>
      <c r="B443" s="13" t="s">
        <v>448</v>
      </c>
      <c r="C443" s="16">
        <v>174285350</v>
      </c>
      <c r="D443" s="13">
        <v>792.40020000000004</v>
      </c>
      <c r="E443" s="16">
        <v>219946.12065973732</v>
      </c>
    </row>
    <row r="444" spans="1:5" x14ac:dyDescent="0.25">
      <c r="A444" s="17" t="s">
        <v>966</v>
      </c>
      <c r="B444" s="13" t="s">
        <v>449</v>
      </c>
      <c r="C444" s="16">
        <v>807408120</v>
      </c>
      <c r="D444" s="13">
        <v>4233.1124</v>
      </c>
      <c r="E444" s="16">
        <v>190736.28189036512</v>
      </c>
    </row>
    <row r="445" spans="1:5" x14ac:dyDescent="0.25">
      <c r="A445" s="17" t="s">
        <v>1584</v>
      </c>
      <c r="B445" s="13" t="s">
        <v>1581</v>
      </c>
      <c r="C445" s="16">
        <v>0</v>
      </c>
      <c r="D445" s="13">
        <v>1825.5309999999999</v>
      </c>
      <c r="E445" s="16">
        <v>0</v>
      </c>
    </row>
    <row r="446" spans="1:5" x14ac:dyDescent="0.25">
      <c r="A446" s="17" t="s">
        <v>967</v>
      </c>
      <c r="B446" s="13" t="s">
        <v>30</v>
      </c>
      <c r="C446" s="16">
        <v>11383487</v>
      </c>
      <c r="D446" s="13">
        <v>76.717100000000002</v>
      </c>
      <c r="E446" s="16">
        <v>148382.65523592522</v>
      </c>
    </row>
    <row r="447" spans="1:5" x14ac:dyDescent="0.25">
      <c r="A447" s="17" t="s">
        <v>968</v>
      </c>
      <c r="B447" s="13" t="s">
        <v>450</v>
      </c>
      <c r="C447" s="16">
        <v>7183925</v>
      </c>
      <c r="D447" s="13">
        <v>65.653999999999996</v>
      </c>
      <c r="E447" s="16">
        <v>109420.97968135987</v>
      </c>
    </row>
    <row r="448" spans="1:5" x14ac:dyDescent="0.25">
      <c r="A448" s="17" t="s">
        <v>969</v>
      </c>
      <c r="B448" s="13" t="s">
        <v>451</v>
      </c>
      <c r="C448" s="16">
        <v>12242657</v>
      </c>
      <c r="D448" s="13">
        <v>65.195300000000003</v>
      </c>
      <c r="E448" s="16">
        <v>187784.34948531564</v>
      </c>
    </row>
    <row r="449" spans="1:5" x14ac:dyDescent="0.25">
      <c r="A449" s="17" t="s">
        <v>970</v>
      </c>
      <c r="B449" s="13" t="s">
        <v>452</v>
      </c>
      <c r="C449" s="16">
        <v>8816369</v>
      </c>
      <c r="D449" s="13">
        <v>77.511300000000006</v>
      </c>
      <c r="E449" s="16">
        <v>113743.01553450915</v>
      </c>
    </row>
    <row r="450" spans="1:5" x14ac:dyDescent="0.25">
      <c r="A450" s="17" t="s">
        <v>971</v>
      </c>
      <c r="B450" s="13" t="s">
        <v>453</v>
      </c>
      <c r="C450" s="16">
        <v>3514873</v>
      </c>
      <c r="D450" s="16">
        <v>43.0779</v>
      </c>
      <c r="E450" s="16">
        <v>81593.415649323666</v>
      </c>
    </row>
    <row r="451" spans="1:5" x14ac:dyDescent="0.25">
      <c r="A451" s="17" t="s">
        <v>972</v>
      </c>
      <c r="B451" s="13" t="s">
        <v>454</v>
      </c>
      <c r="C451" s="16">
        <v>166589540</v>
      </c>
      <c r="D451" s="13">
        <v>2296.1617999999999</v>
      </c>
      <c r="E451" s="16">
        <v>72551.307142205755</v>
      </c>
    </row>
    <row r="452" spans="1:5" x14ac:dyDescent="0.25">
      <c r="A452" s="17" t="s">
        <v>973</v>
      </c>
      <c r="B452" s="13" t="s">
        <v>455</v>
      </c>
      <c r="C452" s="16">
        <v>20797210</v>
      </c>
      <c r="D452" s="13">
        <v>295.84399999999999</v>
      </c>
      <c r="E452" s="16">
        <v>70297.893484403947</v>
      </c>
    </row>
    <row r="453" spans="1:5" x14ac:dyDescent="0.25">
      <c r="A453" s="17" t="s">
        <v>974</v>
      </c>
      <c r="B453" s="13" t="s">
        <v>456</v>
      </c>
      <c r="C453" s="16">
        <v>32307022</v>
      </c>
      <c r="D453" s="13">
        <v>400.90440000000001</v>
      </c>
      <c r="E453" s="16">
        <v>80585.351520212804</v>
      </c>
    </row>
    <row r="454" spans="1:5" x14ac:dyDescent="0.25">
      <c r="A454" s="17" t="s">
        <v>975</v>
      </c>
      <c r="B454" s="13" t="s">
        <v>457</v>
      </c>
      <c r="C454" s="16">
        <v>45648294</v>
      </c>
      <c r="D454" s="13">
        <v>523.07799999999997</v>
      </c>
      <c r="E454" s="16">
        <v>87268.617682257711</v>
      </c>
    </row>
    <row r="455" spans="1:5" x14ac:dyDescent="0.25">
      <c r="A455" s="17" t="s">
        <v>976</v>
      </c>
      <c r="B455" s="13" t="s">
        <v>458</v>
      </c>
      <c r="C455" s="16">
        <v>68632250</v>
      </c>
      <c r="D455" s="16">
        <v>556.56799999999998</v>
      </c>
      <c r="E455" s="16">
        <v>123313.32379870923</v>
      </c>
    </row>
    <row r="456" spans="1:5" x14ac:dyDescent="0.25">
      <c r="A456" s="17" t="s">
        <v>977</v>
      </c>
      <c r="B456" s="13" t="s">
        <v>459</v>
      </c>
      <c r="C456" s="16">
        <v>60569270</v>
      </c>
      <c r="D456" s="13">
        <v>810.63900000000001</v>
      </c>
      <c r="E456" s="16">
        <v>74717.932396541495</v>
      </c>
    </row>
    <row r="457" spans="1:5" x14ac:dyDescent="0.25">
      <c r="A457" s="17" t="s">
        <v>978</v>
      </c>
      <c r="B457" s="13" t="s">
        <v>460</v>
      </c>
      <c r="C457" s="16">
        <v>25899240</v>
      </c>
      <c r="D457" s="13">
        <v>620.19169999999997</v>
      </c>
      <c r="E457" s="16">
        <v>41760.055802101189</v>
      </c>
    </row>
    <row r="458" spans="1:5" x14ac:dyDescent="0.25">
      <c r="A458" s="17" t="s">
        <v>979</v>
      </c>
      <c r="B458" s="13" t="s">
        <v>461</v>
      </c>
      <c r="C458" s="16">
        <v>64602370</v>
      </c>
      <c r="D458" s="13">
        <v>869.70619999999997</v>
      </c>
      <c r="E458" s="16">
        <v>74280.682372966869</v>
      </c>
    </row>
    <row r="459" spans="1:5" x14ac:dyDescent="0.25">
      <c r="A459" s="17" t="s">
        <v>980</v>
      </c>
      <c r="B459" s="13" t="s">
        <v>462</v>
      </c>
      <c r="C459" s="16">
        <v>17263260</v>
      </c>
      <c r="D459" s="13">
        <v>260.82010000000002</v>
      </c>
      <c r="E459" s="16">
        <v>66188.380420067318</v>
      </c>
    </row>
    <row r="460" spans="1:5" x14ac:dyDescent="0.25">
      <c r="A460" s="17" t="s">
        <v>981</v>
      </c>
      <c r="B460" s="13" t="s">
        <v>463</v>
      </c>
      <c r="C460" s="16">
        <v>251201753</v>
      </c>
      <c r="D460" s="13">
        <v>3047.5221999999999</v>
      </c>
      <c r="E460" s="16">
        <v>82428.194616597058</v>
      </c>
    </row>
    <row r="461" spans="1:5" x14ac:dyDescent="0.25">
      <c r="A461" s="17" t="s">
        <v>982</v>
      </c>
      <c r="B461" s="13" t="s">
        <v>464</v>
      </c>
      <c r="C461" s="16">
        <v>27996570</v>
      </c>
      <c r="D461" s="13">
        <v>143.30950000000001</v>
      </c>
      <c r="E461" s="16">
        <v>195357.39082196224</v>
      </c>
    </row>
    <row r="462" spans="1:5" x14ac:dyDescent="0.25">
      <c r="A462" s="17" t="s">
        <v>983</v>
      </c>
      <c r="B462" s="13" t="s">
        <v>465</v>
      </c>
      <c r="C462" s="16">
        <v>23035700</v>
      </c>
      <c r="D462" s="16">
        <v>347.07670000000002</v>
      </c>
      <c r="E462" s="16">
        <v>66370.632197436469</v>
      </c>
    </row>
    <row r="463" spans="1:5" x14ac:dyDescent="0.25">
      <c r="A463" s="17" t="s">
        <v>984</v>
      </c>
      <c r="B463" s="13" t="s">
        <v>466</v>
      </c>
      <c r="C463" s="16">
        <v>19073295</v>
      </c>
      <c r="D463" s="16">
        <v>445.77330000000001</v>
      </c>
      <c r="E463" s="16">
        <v>42786.983877230872</v>
      </c>
    </row>
    <row r="464" spans="1:5" x14ac:dyDescent="0.25">
      <c r="A464" s="17" t="s">
        <v>985</v>
      </c>
      <c r="B464" s="13" t="s">
        <v>467</v>
      </c>
      <c r="C464" s="16">
        <v>22913564</v>
      </c>
      <c r="D464" s="16">
        <v>245.3768</v>
      </c>
      <c r="E464" s="16">
        <v>93381.134646796272</v>
      </c>
    </row>
    <row r="465" spans="1:5" x14ac:dyDescent="0.25">
      <c r="A465" s="17" t="s">
        <v>986</v>
      </c>
      <c r="B465" s="13" t="s">
        <v>468</v>
      </c>
      <c r="C465" s="16">
        <v>35754028</v>
      </c>
      <c r="D465" s="13">
        <v>272.25319999999999</v>
      </c>
      <c r="E465" s="16">
        <v>131326.38294058619</v>
      </c>
    </row>
    <row r="466" spans="1:5" x14ac:dyDescent="0.25">
      <c r="A466" s="17" t="s">
        <v>987</v>
      </c>
      <c r="B466" s="13" t="s">
        <v>469</v>
      </c>
      <c r="C466" s="16">
        <v>63038733</v>
      </c>
      <c r="D466" s="13">
        <v>695.47500000000002</v>
      </c>
      <c r="E466" s="16">
        <v>90641.26388439555</v>
      </c>
    </row>
    <row r="467" spans="1:5" x14ac:dyDescent="0.25">
      <c r="A467" s="17" t="s">
        <v>988</v>
      </c>
      <c r="B467" s="13" t="s">
        <v>470</v>
      </c>
      <c r="C467" s="16">
        <v>28817201</v>
      </c>
      <c r="D467" s="13">
        <v>264.41340000000002</v>
      </c>
      <c r="E467" s="16">
        <v>108985.4031603542</v>
      </c>
    </row>
    <row r="468" spans="1:5" x14ac:dyDescent="0.25">
      <c r="A468" s="17" t="s">
        <v>989</v>
      </c>
      <c r="B468" s="13" t="s">
        <v>471</v>
      </c>
      <c r="C468" s="16">
        <v>38934989</v>
      </c>
      <c r="D468" s="13">
        <v>216.63939999999999</v>
      </c>
      <c r="E468" s="16">
        <v>179722.5666245383</v>
      </c>
    </row>
    <row r="469" spans="1:5" x14ac:dyDescent="0.25">
      <c r="A469" s="17" t="s">
        <v>990</v>
      </c>
      <c r="B469" s="13" t="s">
        <v>472</v>
      </c>
      <c r="C469" s="16">
        <v>33663199</v>
      </c>
      <c r="D469" s="13">
        <v>417.69319999999999</v>
      </c>
      <c r="E469" s="16">
        <v>80593.121937345408</v>
      </c>
    </row>
    <row r="470" spans="1:5" x14ac:dyDescent="0.25">
      <c r="A470" s="17" t="s">
        <v>991</v>
      </c>
      <c r="B470" s="13" t="s">
        <v>473</v>
      </c>
      <c r="C470" s="16">
        <v>44895951</v>
      </c>
      <c r="D470" s="13">
        <v>792.66700000000003</v>
      </c>
      <c r="E470" s="16">
        <v>56639.106964210696</v>
      </c>
    </row>
    <row r="471" spans="1:5" x14ac:dyDescent="0.25">
      <c r="A471" s="17" t="s">
        <v>992</v>
      </c>
      <c r="B471" s="13" t="s">
        <v>474</v>
      </c>
      <c r="C471" s="16">
        <v>49664321</v>
      </c>
      <c r="D471" s="13">
        <v>620.51689999999996</v>
      </c>
      <c r="E471" s="16">
        <v>80037.015913668103</v>
      </c>
    </row>
    <row r="472" spans="1:5" x14ac:dyDescent="0.25">
      <c r="A472" s="17" t="s">
        <v>993</v>
      </c>
      <c r="B472" s="13" t="s">
        <v>475</v>
      </c>
      <c r="C472" s="16">
        <v>190328639</v>
      </c>
      <c r="D472" s="13">
        <v>1971.837</v>
      </c>
      <c r="E472" s="16">
        <v>96523.515381849516</v>
      </c>
    </row>
    <row r="473" spans="1:5" x14ac:dyDescent="0.25">
      <c r="A473" s="17" t="s">
        <v>994</v>
      </c>
      <c r="B473" s="13" t="s">
        <v>476</v>
      </c>
      <c r="C473" s="16">
        <v>36891248</v>
      </c>
      <c r="D473" s="13">
        <v>499.04910000000001</v>
      </c>
      <c r="E473" s="16">
        <v>73923.082919095541</v>
      </c>
    </row>
    <row r="474" spans="1:5" x14ac:dyDescent="0.25">
      <c r="A474" s="17" t="s">
        <v>995</v>
      </c>
      <c r="B474" s="13" t="s">
        <v>477</v>
      </c>
      <c r="C474" s="16">
        <v>12411381</v>
      </c>
      <c r="D474" s="16">
        <v>207.11969999999999</v>
      </c>
      <c r="E474" s="16">
        <v>59923.710781736358</v>
      </c>
    </row>
    <row r="475" spans="1:5" x14ac:dyDescent="0.25">
      <c r="A475" s="17" t="s">
        <v>996</v>
      </c>
      <c r="B475" s="13" t="s">
        <v>478</v>
      </c>
      <c r="C475" s="16">
        <v>33155208</v>
      </c>
      <c r="D475" s="13">
        <v>444.38040000000001</v>
      </c>
      <c r="E475" s="16">
        <v>74609.96929657564</v>
      </c>
    </row>
    <row r="476" spans="1:5" x14ac:dyDescent="0.25">
      <c r="A476" s="17" t="s">
        <v>997</v>
      </c>
      <c r="B476" s="13" t="s">
        <v>479</v>
      </c>
      <c r="C476" s="16">
        <v>28593357</v>
      </c>
      <c r="D476" s="13">
        <v>552.827</v>
      </c>
      <c r="E476" s="16">
        <v>51722.070376446878</v>
      </c>
    </row>
    <row r="477" spans="1:5" x14ac:dyDescent="0.25">
      <c r="A477" s="17" t="s">
        <v>998</v>
      </c>
      <c r="B477" s="13" t="s">
        <v>480</v>
      </c>
      <c r="C477" s="16">
        <v>384701834</v>
      </c>
      <c r="D477" s="13">
        <v>1687.0161000000001</v>
      </c>
      <c r="E477" s="16">
        <v>228036.84801822578</v>
      </c>
    </row>
    <row r="478" spans="1:5" x14ac:dyDescent="0.25">
      <c r="A478" s="17" t="s">
        <v>999</v>
      </c>
      <c r="B478" s="13" t="s">
        <v>481</v>
      </c>
      <c r="C478" s="16">
        <v>118175284</v>
      </c>
      <c r="D478" s="16">
        <v>516.91949999999997</v>
      </c>
      <c r="E478" s="16">
        <v>228614.48252580914</v>
      </c>
    </row>
    <row r="479" spans="1:5" x14ac:dyDescent="0.25">
      <c r="A479" s="17" t="s">
        <v>1000</v>
      </c>
      <c r="B479" s="13" t="s">
        <v>482</v>
      </c>
      <c r="C479" s="16">
        <v>24434257</v>
      </c>
      <c r="D479" s="16">
        <v>234.6172</v>
      </c>
      <c r="E479" s="16">
        <v>104145.20759773793</v>
      </c>
    </row>
    <row r="480" spans="1:5" x14ac:dyDescent="0.25">
      <c r="A480" s="17" t="s">
        <v>1001</v>
      </c>
      <c r="B480" s="13" t="s">
        <v>483</v>
      </c>
      <c r="C480" s="16">
        <v>45876696</v>
      </c>
      <c r="D480" s="13">
        <v>656.88499999999999</v>
      </c>
      <c r="E480" s="16">
        <v>69839.767995920134</v>
      </c>
    </row>
    <row r="481" spans="1:5" x14ac:dyDescent="0.25">
      <c r="A481" s="17" t="s">
        <v>1002</v>
      </c>
      <c r="B481" s="13" t="s">
        <v>484</v>
      </c>
      <c r="C481" s="16">
        <v>11971881</v>
      </c>
      <c r="D481" s="16">
        <v>87.012900000000002</v>
      </c>
      <c r="E481" s="16">
        <v>137587.42669190431</v>
      </c>
    </row>
    <row r="482" spans="1:5" x14ac:dyDescent="0.25">
      <c r="A482" s="17" t="s">
        <v>1003</v>
      </c>
      <c r="B482" s="13" t="s">
        <v>485</v>
      </c>
      <c r="C482" s="16">
        <v>8644885</v>
      </c>
      <c r="D482" s="13">
        <v>177.46260000000001</v>
      </c>
      <c r="E482" s="16">
        <v>48713.841677063218</v>
      </c>
    </row>
    <row r="483" spans="1:5" x14ac:dyDescent="0.25">
      <c r="A483" s="17" t="s">
        <v>1004</v>
      </c>
      <c r="B483" s="13" t="s">
        <v>486</v>
      </c>
      <c r="C483" s="16">
        <v>12092618</v>
      </c>
      <c r="D483" s="13">
        <v>219.3357</v>
      </c>
      <c r="E483" s="16">
        <v>55132.921818016854</v>
      </c>
    </row>
    <row r="484" spans="1:5" x14ac:dyDescent="0.25">
      <c r="A484" s="17" t="s">
        <v>1005</v>
      </c>
      <c r="B484" s="13" t="s">
        <v>487</v>
      </c>
      <c r="C484" s="16">
        <v>81174232</v>
      </c>
      <c r="D484" s="13">
        <v>1049.8598</v>
      </c>
      <c r="E484" s="16">
        <v>77319.116323912967</v>
      </c>
    </row>
    <row r="485" spans="1:5" x14ac:dyDescent="0.25">
      <c r="A485" s="17" t="s">
        <v>1006</v>
      </c>
      <c r="B485" s="13" t="s">
        <v>488</v>
      </c>
      <c r="C485" s="16">
        <v>639802305</v>
      </c>
      <c r="D485" s="13">
        <v>4356.9237999999996</v>
      </c>
      <c r="E485" s="16">
        <v>146847.25608467151</v>
      </c>
    </row>
    <row r="486" spans="1:5" x14ac:dyDescent="0.25">
      <c r="A486" s="17" t="s">
        <v>1007</v>
      </c>
      <c r="B486" s="13" t="s">
        <v>489</v>
      </c>
      <c r="C486" s="16">
        <v>201663015</v>
      </c>
      <c r="D486" s="13">
        <v>1265.6116</v>
      </c>
      <c r="E486" s="16">
        <v>159340.36555922843</v>
      </c>
    </row>
    <row r="487" spans="1:5" x14ac:dyDescent="0.25">
      <c r="A487" s="17" t="s">
        <v>1008</v>
      </c>
      <c r="B487" s="13" t="s">
        <v>490</v>
      </c>
      <c r="C487" s="16">
        <v>38848347</v>
      </c>
      <c r="D487" s="13">
        <v>353.94029999999998</v>
      </c>
      <c r="E487" s="16">
        <v>109759.60352635742</v>
      </c>
    </row>
    <row r="488" spans="1:5" x14ac:dyDescent="0.25">
      <c r="A488" s="17" t="s">
        <v>1009</v>
      </c>
      <c r="B488" s="13" t="s">
        <v>491</v>
      </c>
      <c r="C488" s="16">
        <v>7705733</v>
      </c>
      <c r="D488" s="16">
        <v>58.779800000000002</v>
      </c>
      <c r="E488" s="16">
        <v>131094.91696126902</v>
      </c>
    </row>
    <row r="489" spans="1:5" x14ac:dyDescent="0.25">
      <c r="A489" s="17" t="s">
        <v>1010</v>
      </c>
      <c r="B489" s="13" t="s">
        <v>492</v>
      </c>
      <c r="C489" s="16">
        <v>8816922</v>
      </c>
      <c r="D489" s="13">
        <v>119.97069999999999</v>
      </c>
      <c r="E489" s="16">
        <v>73492.294368541654</v>
      </c>
    </row>
    <row r="490" spans="1:5" x14ac:dyDescent="0.25">
      <c r="A490" s="17" t="s">
        <v>1011</v>
      </c>
      <c r="B490" s="13" t="s">
        <v>493</v>
      </c>
      <c r="C490" s="16">
        <v>59860109</v>
      </c>
      <c r="D490" s="13">
        <v>892.9085</v>
      </c>
      <c r="E490" s="16">
        <v>67039.465969917408</v>
      </c>
    </row>
    <row r="491" spans="1:5" x14ac:dyDescent="0.25">
      <c r="A491" s="17" t="s">
        <v>1012</v>
      </c>
      <c r="B491" s="13" t="s">
        <v>494</v>
      </c>
      <c r="C491" s="16">
        <v>29448650</v>
      </c>
      <c r="D491" s="13">
        <v>423.6198</v>
      </c>
      <c r="E491" s="16">
        <v>69516.698700107969</v>
      </c>
    </row>
    <row r="492" spans="1:5" x14ac:dyDescent="0.25">
      <c r="A492" s="17" t="s">
        <v>1013</v>
      </c>
      <c r="B492" s="13" t="s">
        <v>495</v>
      </c>
      <c r="C492" s="16">
        <v>41844075</v>
      </c>
      <c r="D492" s="13">
        <v>732.32399999999996</v>
      </c>
      <c r="E492" s="16">
        <v>57138.745964900787</v>
      </c>
    </row>
    <row r="493" spans="1:5" x14ac:dyDescent="0.25">
      <c r="A493" s="17" t="s">
        <v>1014</v>
      </c>
      <c r="B493" s="13" t="s">
        <v>496</v>
      </c>
      <c r="C493" s="16">
        <v>53382308</v>
      </c>
      <c r="D493" s="16">
        <v>720.03530000000001</v>
      </c>
      <c r="E493" s="16">
        <v>74138.459600522358</v>
      </c>
    </row>
    <row r="494" spans="1:5" x14ac:dyDescent="0.25">
      <c r="A494" s="17" t="s">
        <v>1015</v>
      </c>
      <c r="B494" s="13" t="s">
        <v>497</v>
      </c>
      <c r="C494" s="16">
        <v>34935097</v>
      </c>
      <c r="D494" s="13">
        <v>519.59659999999997</v>
      </c>
      <c r="E494" s="16">
        <v>67235.037719646367</v>
      </c>
    </row>
    <row r="495" spans="1:5" x14ac:dyDescent="0.25">
      <c r="A495" s="17" t="s">
        <v>1016</v>
      </c>
      <c r="B495" s="13" t="s">
        <v>498</v>
      </c>
      <c r="C495" s="16">
        <v>9581955</v>
      </c>
      <c r="D495" s="13">
        <v>163.67089999999999</v>
      </c>
      <c r="E495" s="16">
        <v>58544.035622703857</v>
      </c>
    </row>
    <row r="496" spans="1:5" x14ac:dyDescent="0.25">
      <c r="A496" s="17" t="s">
        <v>1017</v>
      </c>
      <c r="B496" s="13" t="s">
        <v>499</v>
      </c>
      <c r="C496" s="16">
        <v>176392636</v>
      </c>
      <c r="D496" s="16">
        <v>2286.1345000000001</v>
      </c>
      <c r="E496" s="16">
        <v>77157.593308705153</v>
      </c>
    </row>
    <row r="497" spans="1:5" x14ac:dyDescent="0.25">
      <c r="A497" s="15" t="s">
        <v>1018</v>
      </c>
      <c r="B497" s="31" t="s">
        <v>500</v>
      </c>
      <c r="C497" s="31">
        <v>13778391</v>
      </c>
      <c r="D497" s="31">
        <v>153.23859999999999</v>
      </c>
      <c r="E497" s="16">
        <v>89914.623339028156</v>
      </c>
    </row>
    <row r="498" spans="1:5" x14ac:dyDescent="0.25">
      <c r="A498" s="15" t="s">
        <v>1019</v>
      </c>
      <c r="B498" s="13" t="s">
        <v>501</v>
      </c>
      <c r="C498" s="30">
        <v>11397573</v>
      </c>
      <c r="D498" s="14">
        <v>176.53630000000001</v>
      </c>
      <c r="E498" s="16">
        <v>64562.20618648969</v>
      </c>
    </row>
    <row r="499" spans="1:5" x14ac:dyDescent="0.25">
      <c r="A499" s="15" t="s">
        <v>1020</v>
      </c>
      <c r="B499" s="13" t="s">
        <v>502</v>
      </c>
      <c r="C499" s="30">
        <v>19221700</v>
      </c>
      <c r="D499" s="14">
        <v>212.45679999999999</v>
      </c>
      <c r="E499" s="16">
        <v>90473.451544031544</v>
      </c>
    </row>
    <row r="500" spans="1:5" x14ac:dyDescent="0.25">
      <c r="A500" s="15" t="s">
        <v>1021</v>
      </c>
      <c r="B500" s="13" t="s">
        <v>522</v>
      </c>
      <c r="C500" s="30">
        <v>197979005</v>
      </c>
      <c r="D500" s="14">
        <v>1594.7168999999999</v>
      </c>
      <c r="E500" s="16">
        <v>124146.80310969302</v>
      </c>
    </row>
    <row r="501" spans="1:5" x14ac:dyDescent="0.25">
      <c r="A501" s="15" t="s">
        <v>1022</v>
      </c>
      <c r="B501" s="13" t="s">
        <v>503</v>
      </c>
      <c r="C501" s="30">
        <v>276363122</v>
      </c>
      <c r="D501" s="14">
        <v>2915.721</v>
      </c>
      <c r="E501" s="16">
        <v>94783.802016722446</v>
      </c>
    </row>
    <row r="502" spans="1:5" x14ac:dyDescent="0.25">
      <c r="A502" s="15" t="s">
        <v>1023</v>
      </c>
      <c r="B502" s="13" t="s">
        <v>504</v>
      </c>
      <c r="C502" s="30">
        <v>31023101</v>
      </c>
      <c r="D502" s="14">
        <v>780.62699999999995</v>
      </c>
      <c r="E502" s="16">
        <v>39741.26055081364</v>
      </c>
    </row>
    <row r="503" spans="1:5" x14ac:dyDescent="0.25">
      <c r="A503" s="15" t="s">
        <v>1024</v>
      </c>
      <c r="B503" s="13" t="s">
        <v>505</v>
      </c>
      <c r="C503" s="30">
        <v>91664856</v>
      </c>
      <c r="D503" s="14">
        <v>2042.0551</v>
      </c>
      <c r="E503" s="16">
        <v>44888.532145875986</v>
      </c>
    </row>
    <row r="504" spans="1:5" x14ac:dyDescent="0.25">
      <c r="A504" s="15" t="s">
        <v>1025</v>
      </c>
      <c r="B504" s="13" t="s">
        <v>506</v>
      </c>
      <c r="C504" s="30">
        <v>13570246</v>
      </c>
      <c r="D504" s="14">
        <v>233.68440000000001</v>
      </c>
      <c r="E504" s="16">
        <v>58070.825438069463</v>
      </c>
    </row>
    <row r="505" spans="1:5" x14ac:dyDescent="0.25">
      <c r="A505" s="15" t="s">
        <v>1026</v>
      </c>
      <c r="B505" s="13" t="s">
        <v>507</v>
      </c>
      <c r="C505" s="30">
        <v>24501604</v>
      </c>
      <c r="D505" s="14">
        <v>348.93729999999999</v>
      </c>
      <c r="E505" s="16">
        <v>70217.784111930712</v>
      </c>
    </row>
    <row r="506" spans="1:5" x14ac:dyDescent="0.25">
      <c r="A506" s="15" t="s">
        <v>1027</v>
      </c>
      <c r="B506" s="13" t="s">
        <v>508</v>
      </c>
      <c r="C506" s="30">
        <v>47214424</v>
      </c>
      <c r="D506" s="14">
        <v>732.16930000000002</v>
      </c>
      <c r="E506" s="16">
        <v>64485.664722626309</v>
      </c>
    </row>
    <row r="507" spans="1:5" x14ac:dyDescent="0.25">
      <c r="A507" s="15" t="s">
        <v>1028</v>
      </c>
      <c r="B507" s="13" t="s">
        <v>509</v>
      </c>
      <c r="C507" s="30">
        <v>66831350</v>
      </c>
      <c r="D507" s="14">
        <v>927.47059999999999</v>
      </c>
      <c r="E507" s="16">
        <v>72057.64797288453</v>
      </c>
    </row>
    <row r="508" spans="1:5" x14ac:dyDescent="0.25">
      <c r="A508" s="15" t="s">
        <v>1029</v>
      </c>
      <c r="B508" s="13" t="s">
        <v>510</v>
      </c>
      <c r="C508" s="30">
        <v>17051828</v>
      </c>
      <c r="D508" s="14">
        <v>281.4837</v>
      </c>
      <c r="E508" s="16">
        <v>60578.385178253659</v>
      </c>
    </row>
    <row r="509" spans="1:5" x14ac:dyDescent="0.25">
      <c r="A509" s="15" t="s">
        <v>1030</v>
      </c>
      <c r="B509" s="13" t="s">
        <v>511</v>
      </c>
      <c r="C509" s="30">
        <v>35882678</v>
      </c>
      <c r="D509" s="14">
        <v>520.22249999999997</v>
      </c>
      <c r="E509" s="16">
        <v>68975.636386353915</v>
      </c>
    </row>
    <row r="510" spans="1:5" x14ac:dyDescent="0.25">
      <c r="A510" s="15" t="s">
        <v>1031</v>
      </c>
      <c r="B510" s="13" t="s">
        <v>512</v>
      </c>
      <c r="C510" s="30">
        <v>207900734</v>
      </c>
      <c r="D510" s="14">
        <v>2830.0488999999998</v>
      </c>
      <c r="E510" s="16">
        <v>73461.887531342669</v>
      </c>
    </row>
    <row r="511" spans="1:5" x14ac:dyDescent="0.25">
      <c r="A511" s="15" t="s">
        <v>1032</v>
      </c>
      <c r="B511" s="13" t="s">
        <v>513</v>
      </c>
      <c r="C511" s="30">
        <v>54701228</v>
      </c>
      <c r="D511" s="14">
        <v>672.02549999999997</v>
      </c>
      <c r="E511" s="16">
        <v>81397.548158514823</v>
      </c>
    </row>
    <row r="512" spans="1:5" x14ac:dyDescent="0.25">
      <c r="A512" s="15" t="s">
        <v>1033</v>
      </c>
      <c r="B512" s="13" t="s">
        <v>514</v>
      </c>
      <c r="C512" s="30">
        <v>28398780</v>
      </c>
      <c r="D512" s="14">
        <v>302.84969999999998</v>
      </c>
      <c r="E512" s="16">
        <v>93771.861091491926</v>
      </c>
    </row>
    <row r="513" spans="1:5" x14ac:dyDescent="0.25">
      <c r="A513" s="15" t="s">
        <v>1034</v>
      </c>
      <c r="B513" s="13" t="s">
        <v>515</v>
      </c>
      <c r="C513" s="30">
        <v>20449998</v>
      </c>
      <c r="D513" s="14">
        <v>328.37689999999998</v>
      </c>
      <c r="E513" s="16">
        <v>62275.994444188982</v>
      </c>
    </row>
    <row r="514" spans="1:5" x14ac:dyDescent="0.25">
      <c r="A514" s="15" t="s">
        <v>1035</v>
      </c>
      <c r="B514" s="13" t="s">
        <v>516</v>
      </c>
      <c r="C514" s="30">
        <v>38834820</v>
      </c>
      <c r="D514" s="14">
        <v>684.53369999999995</v>
      </c>
      <c r="E514" s="16">
        <v>56731.786908372815</v>
      </c>
    </row>
    <row r="515" spans="1:5" x14ac:dyDescent="0.25">
      <c r="A515" s="15" t="s">
        <v>1036</v>
      </c>
      <c r="B515" s="13" t="s">
        <v>517</v>
      </c>
      <c r="C515" s="30">
        <v>97769781</v>
      </c>
      <c r="D515" s="14">
        <v>1304.5397</v>
      </c>
      <c r="E515" s="16">
        <v>74945.807321923581</v>
      </c>
    </row>
    <row r="516" spans="1:5" x14ac:dyDescent="0.25">
      <c r="A516" s="15" t="s">
        <v>1037</v>
      </c>
      <c r="B516" s="13" t="s">
        <v>518</v>
      </c>
      <c r="C516" s="30">
        <v>39059516</v>
      </c>
      <c r="D516" s="14">
        <v>668.90110000000004</v>
      </c>
      <c r="E516" s="16">
        <v>58393.559227216094</v>
      </c>
    </row>
    <row r="517" spans="1:5" x14ac:dyDescent="0.25">
      <c r="A517" s="15" t="s">
        <v>1038</v>
      </c>
      <c r="B517" s="13" t="s">
        <v>519</v>
      </c>
      <c r="C517" s="30">
        <v>5292385</v>
      </c>
      <c r="D517" s="14">
        <v>70.706000000000003</v>
      </c>
      <c r="E517" s="16">
        <v>74850.578451616544</v>
      </c>
    </row>
    <row r="518" spans="1:5" x14ac:dyDescent="0.25">
      <c r="A518" s="15" t="s">
        <v>1039</v>
      </c>
      <c r="B518" s="13" t="s">
        <v>1586</v>
      </c>
      <c r="C518" s="30">
        <v>4187363318</v>
      </c>
      <c r="D518" s="14">
        <v>31231.6211</v>
      </c>
      <c r="E518" s="16">
        <v>134074.4787019717</v>
      </c>
    </row>
    <row r="519" spans="1:5" x14ac:dyDescent="0.25">
      <c r="E519" s="16"/>
    </row>
    <row r="520" spans="1:5" ht="15.75" thickBot="1" x14ac:dyDescent="0.3">
      <c r="A520" s="11" t="s">
        <v>3</v>
      </c>
      <c r="C520" s="22"/>
      <c r="D520" s="18"/>
      <c r="E520" s="5">
        <f>AVERAGE(E2:E518)</f>
        <v>105074.25677411913</v>
      </c>
    </row>
    <row r="521" spans="1:5" ht="15.75" thickTop="1" x14ac:dyDescent="0.25"/>
    <row r="522" spans="1:5" x14ac:dyDescent="0.25">
      <c r="A522" s="11" t="s">
        <v>4</v>
      </c>
      <c r="C522" s="22"/>
      <c r="E522" s="16"/>
    </row>
    <row r="523" spans="1:5" x14ac:dyDescent="0.25">
      <c r="A523" s="11" t="s">
        <v>5</v>
      </c>
      <c r="C523" s="22"/>
      <c r="E523" s="16"/>
    </row>
    <row r="524" spans="1:5" x14ac:dyDescent="0.25">
      <c r="A524" s="11"/>
      <c r="C524" s="22"/>
      <c r="E524" s="16"/>
    </row>
    <row r="525" spans="1:5" x14ac:dyDescent="0.25">
      <c r="A525" s="11" t="s">
        <v>6</v>
      </c>
      <c r="C525" s="22"/>
      <c r="E525" s="16"/>
    </row>
    <row r="526" spans="1:5" x14ac:dyDescent="0.25">
      <c r="A526" s="11" t="s">
        <v>7</v>
      </c>
      <c r="C526" s="22"/>
      <c r="E526" s="16"/>
    </row>
    <row r="527" spans="1:5" x14ac:dyDescent="0.25">
      <c r="C527" s="22"/>
      <c r="E527" s="16"/>
    </row>
    <row r="528" spans="1:5" x14ac:dyDescent="0.25">
      <c r="A528" s="11" t="s">
        <v>1041</v>
      </c>
      <c r="C528" s="22"/>
      <c r="E528" s="16"/>
    </row>
  </sheetData>
  <pageMargins left="0.7" right="0.7" top="0.95833333333333337" bottom="0.75" header="0.3" footer="0.3"/>
  <pageSetup scale="94" fitToHeight="0" orientation="portrait" horizontalDpi="4294967295" verticalDpi="4294967295" r:id="rId1"/>
  <headerFooter>
    <oddHeader>&amp;C&amp;"-,Bold"Missouri Department of Elementary and Secondary Education
School Finance 
Assessed Valuation per ADA for 2017-2018</oddHeader>
    <oddFooter>&amp;LDecember 11, 2018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60"/>
  <sheetViews>
    <sheetView view="pageLayout" topLeftCell="A516" zoomScaleNormal="100" workbookViewId="0">
      <selection activeCell="A520" sqref="A520:E520"/>
    </sheetView>
  </sheetViews>
  <sheetFormatPr defaultRowHeight="15" x14ac:dyDescent="0.25"/>
  <cols>
    <col min="1" max="1" width="12.28515625" style="15" bestFit="1" customWidth="1"/>
    <col min="2" max="2" width="35.28515625" style="13" bestFit="1" customWidth="1"/>
    <col min="3" max="3" width="25.140625" style="30" bestFit="1" customWidth="1"/>
    <col min="4" max="4" width="11.140625" style="14" bestFit="1" customWidth="1"/>
    <col min="5" max="5" width="11.85546875" style="30" customWidth="1"/>
  </cols>
  <sheetData>
    <row r="1" spans="1:5" ht="45.75" thickBot="1" x14ac:dyDescent="0.3">
      <c r="A1" s="6" t="s">
        <v>0</v>
      </c>
      <c r="B1" s="7" t="s">
        <v>1</v>
      </c>
      <c r="C1" s="21" t="s">
        <v>1582</v>
      </c>
      <c r="D1" s="9" t="s">
        <v>1583</v>
      </c>
      <c r="E1" s="10" t="s">
        <v>2</v>
      </c>
    </row>
    <row r="2" spans="1:5" x14ac:dyDescent="0.25">
      <c r="A2" s="13" t="s">
        <v>524</v>
      </c>
      <c r="B2" s="13" t="s">
        <v>8</v>
      </c>
      <c r="C2" s="16">
        <v>15926979</v>
      </c>
      <c r="D2" s="13">
        <v>221.74170000000001</v>
      </c>
      <c r="E2" s="16">
        <v>71826.720008009317</v>
      </c>
    </row>
    <row r="3" spans="1:5" x14ac:dyDescent="0.25">
      <c r="A3" s="13" t="s">
        <v>525</v>
      </c>
      <c r="B3" s="13" t="s">
        <v>9</v>
      </c>
      <c r="C3" s="16">
        <v>217341014</v>
      </c>
      <c r="D3" s="16">
        <v>2322.0918999999999</v>
      </c>
      <c r="E3" s="16">
        <v>93597.076842652095</v>
      </c>
    </row>
    <row r="4" spans="1:5" x14ac:dyDescent="0.25">
      <c r="A4" s="13" t="s">
        <v>526</v>
      </c>
      <c r="B4" s="13" t="s">
        <v>10</v>
      </c>
      <c r="C4" s="16">
        <v>14638895</v>
      </c>
      <c r="D4" s="13">
        <v>161.50640000000001</v>
      </c>
      <c r="E4" s="16">
        <v>90639.720778866962</v>
      </c>
    </row>
    <row r="5" spans="1:5" x14ac:dyDescent="0.25">
      <c r="A5" s="13" t="s">
        <v>527</v>
      </c>
      <c r="B5" s="13" t="s">
        <v>11</v>
      </c>
      <c r="C5" s="16">
        <v>23117172</v>
      </c>
      <c r="D5" s="13">
        <v>342.8458</v>
      </c>
      <c r="E5" s="16">
        <v>67427.315720361745</v>
      </c>
    </row>
    <row r="6" spans="1:5" x14ac:dyDescent="0.25">
      <c r="A6" s="13" t="s">
        <v>528</v>
      </c>
      <c r="B6" s="13" t="s">
        <v>12</v>
      </c>
      <c r="C6" s="16">
        <v>23722790</v>
      </c>
      <c r="D6" s="13">
        <v>207.60929999999999</v>
      </c>
      <c r="E6" s="16">
        <v>114266.50925560656</v>
      </c>
    </row>
    <row r="7" spans="1:5" x14ac:dyDescent="0.25">
      <c r="A7" s="13" t="s">
        <v>529</v>
      </c>
      <c r="B7" s="13" t="s">
        <v>13</v>
      </c>
      <c r="C7" s="16">
        <v>177088803</v>
      </c>
      <c r="D7" s="16">
        <v>2248.8604999999998</v>
      </c>
      <c r="E7" s="16">
        <v>78746.015148560808</v>
      </c>
    </row>
    <row r="8" spans="1:5" x14ac:dyDescent="0.25">
      <c r="A8" s="13" t="s">
        <v>530</v>
      </c>
      <c r="B8" s="13" t="s">
        <v>14</v>
      </c>
      <c r="C8" s="16">
        <v>44992551</v>
      </c>
      <c r="D8" s="13">
        <v>277.22070000000002</v>
      </c>
      <c r="E8" s="16">
        <v>162298.6703373882</v>
      </c>
    </row>
    <row r="9" spans="1:5" x14ac:dyDescent="0.25">
      <c r="A9" s="13" t="s">
        <v>531</v>
      </c>
      <c r="B9" s="13" t="s">
        <v>15</v>
      </c>
      <c r="C9" s="16">
        <v>48070499</v>
      </c>
      <c r="D9" s="13">
        <v>338.2002</v>
      </c>
      <c r="E9" s="16">
        <v>142136.22286444539</v>
      </c>
    </row>
    <row r="10" spans="1:5" x14ac:dyDescent="0.25">
      <c r="A10" s="13" t="s">
        <v>532</v>
      </c>
      <c r="B10" s="13" t="s">
        <v>16</v>
      </c>
      <c r="C10" s="16">
        <v>19168966</v>
      </c>
      <c r="D10" s="13">
        <v>130.00749999999999</v>
      </c>
      <c r="E10" s="16">
        <v>147445.07816856721</v>
      </c>
    </row>
    <row r="11" spans="1:5" x14ac:dyDescent="0.25">
      <c r="A11" s="13" t="s">
        <v>533</v>
      </c>
      <c r="B11" s="13" t="s">
        <v>17</v>
      </c>
      <c r="C11" s="16">
        <v>32199523</v>
      </c>
      <c r="D11" s="13">
        <v>285.60629999999998</v>
      </c>
      <c r="E11" s="16">
        <v>112740.94093862777</v>
      </c>
    </row>
    <row r="12" spans="1:5" x14ac:dyDescent="0.25">
      <c r="A12" s="13" t="s">
        <v>534</v>
      </c>
      <c r="B12" s="13" t="s">
        <v>18</v>
      </c>
      <c r="C12" s="16">
        <v>43154892</v>
      </c>
      <c r="D12" s="13">
        <v>554.45429999999999</v>
      </c>
      <c r="E12" s="16">
        <v>77833.091023011279</v>
      </c>
    </row>
    <row r="13" spans="1:5" x14ac:dyDescent="0.25">
      <c r="A13" s="13" t="s">
        <v>535</v>
      </c>
      <c r="B13" s="13" t="s">
        <v>19</v>
      </c>
      <c r="C13" s="16">
        <v>191118734</v>
      </c>
      <c r="D13" s="16">
        <v>2246.5299</v>
      </c>
      <c r="E13" s="16">
        <v>85072.864598864224</v>
      </c>
    </row>
    <row r="14" spans="1:5" x14ac:dyDescent="0.25">
      <c r="A14" s="13" t="s">
        <v>536</v>
      </c>
      <c r="B14" s="13" t="s">
        <v>20</v>
      </c>
      <c r="C14" s="16">
        <v>20529118</v>
      </c>
      <c r="D14" s="13">
        <v>383.8707</v>
      </c>
      <c r="E14" s="16">
        <v>53479.252258638131</v>
      </c>
    </row>
    <row r="15" spans="1:5" x14ac:dyDescent="0.25">
      <c r="A15" s="13" t="s">
        <v>537</v>
      </c>
      <c r="B15" s="13" t="s">
        <v>21</v>
      </c>
      <c r="C15" s="16">
        <v>36835824</v>
      </c>
      <c r="D15" s="13">
        <v>760.15170000000001</v>
      </c>
      <c r="E15" s="16">
        <v>48458.516898666414</v>
      </c>
    </row>
    <row r="16" spans="1:5" x14ac:dyDescent="0.25">
      <c r="A16" s="13" t="s">
        <v>538</v>
      </c>
      <c r="B16" s="13" t="s">
        <v>22</v>
      </c>
      <c r="C16" s="16">
        <v>14570485</v>
      </c>
      <c r="D16" s="13">
        <v>306.33749999999998</v>
      </c>
      <c r="E16" s="16">
        <v>47563.504304892485</v>
      </c>
    </row>
    <row r="17" spans="1:5" x14ac:dyDescent="0.25">
      <c r="A17" s="13" t="s">
        <v>539</v>
      </c>
      <c r="B17" s="13" t="s">
        <v>23</v>
      </c>
      <c r="C17" s="16">
        <v>168942368</v>
      </c>
      <c r="D17" s="16">
        <v>1731.3638000000001</v>
      </c>
      <c r="E17" s="16">
        <v>97577.625222382485</v>
      </c>
    </row>
    <row r="18" spans="1:5" x14ac:dyDescent="0.25">
      <c r="A18" s="13" t="s">
        <v>540</v>
      </c>
      <c r="B18" s="13" t="s">
        <v>24</v>
      </c>
      <c r="C18" s="16">
        <v>27982353</v>
      </c>
      <c r="D18" s="13">
        <v>608.75490000000002</v>
      </c>
      <c r="E18" s="16">
        <v>45966.534314549252</v>
      </c>
    </row>
    <row r="19" spans="1:5" x14ac:dyDescent="0.25">
      <c r="A19" s="13" t="s">
        <v>541</v>
      </c>
      <c r="B19" s="13" t="s">
        <v>25</v>
      </c>
      <c r="C19" s="16">
        <v>67168829</v>
      </c>
      <c r="D19" s="13">
        <v>159.37430000000001</v>
      </c>
      <c r="E19" s="16">
        <v>421453.32716755458</v>
      </c>
    </row>
    <row r="20" spans="1:5" x14ac:dyDescent="0.25">
      <c r="A20" s="13" t="s">
        <v>542</v>
      </c>
      <c r="B20" s="13" t="s">
        <v>26</v>
      </c>
      <c r="C20" s="16">
        <v>170258052</v>
      </c>
      <c r="D20" s="16">
        <v>2252.7172</v>
      </c>
      <c r="E20" s="16">
        <v>75578.972806706501</v>
      </c>
    </row>
    <row r="21" spans="1:5" x14ac:dyDescent="0.25">
      <c r="A21" s="13" t="s">
        <v>543</v>
      </c>
      <c r="B21" s="13" t="s">
        <v>27</v>
      </c>
      <c r="C21" s="16">
        <v>34337377</v>
      </c>
      <c r="D21" s="13">
        <v>413.3297</v>
      </c>
      <c r="E21" s="16">
        <v>83075.029449855647</v>
      </c>
    </row>
    <row r="22" spans="1:5" x14ac:dyDescent="0.25">
      <c r="A22" s="13" t="s">
        <v>544</v>
      </c>
      <c r="B22" s="13" t="s">
        <v>28</v>
      </c>
      <c r="C22" s="16">
        <v>18449876</v>
      </c>
      <c r="D22" s="13">
        <v>180.61850000000001</v>
      </c>
      <c r="E22" s="16">
        <v>102148.31814016835</v>
      </c>
    </row>
    <row r="23" spans="1:5" x14ac:dyDescent="0.25">
      <c r="A23" s="13" t="s">
        <v>545</v>
      </c>
      <c r="B23" s="13" t="s">
        <v>29</v>
      </c>
      <c r="C23" s="16">
        <v>100043238</v>
      </c>
      <c r="D23" s="16">
        <v>1180.4019000000001</v>
      </c>
      <c r="E23" s="16">
        <v>84753.53860409747</v>
      </c>
    </row>
    <row r="24" spans="1:5" x14ac:dyDescent="0.25">
      <c r="A24" s="13" t="s">
        <v>546</v>
      </c>
      <c r="B24" s="13" t="s">
        <v>30</v>
      </c>
      <c r="C24" s="16">
        <v>16489287</v>
      </c>
      <c r="D24" s="13">
        <v>166.38040000000001</v>
      </c>
      <c r="E24" s="16">
        <v>99105.946373491097</v>
      </c>
    </row>
    <row r="25" spans="1:5" x14ac:dyDescent="0.25">
      <c r="A25" s="13" t="s">
        <v>547</v>
      </c>
      <c r="B25" s="13" t="s">
        <v>31</v>
      </c>
      <c r="C25" s="16">
        <v>10458421</v>
      </c>
      <c r="D25" s="13">
        <v>121.3082</v>
      </c>
      <c r="E25" s="16">
        <v>86213.636011415554</v>
      </c>
    </row>
    <row r="26" spans="1:5" x14ac:dyDescent="0.25">
      <c r="A26" s="13" t="s">
        <v>548</v>
      </c>
      <c r="B26" s="13" t="s">
        <v>32</v>
      </c>
      <c r="C26" s="16">
        <v>41533247</v>
      </c>
      <c r="D26" s="13">
        <v>649.30039999999997</v>
      </c>
      <c r="E26" s="16">
        <v>63966.150336577652</v>
      </c>
    </row>
    <row r="27" spans="1:5" x14ac:dyDescent="0.25">
      <c r="A27" s="13" t="s">
        <v>549</v>
      </c>
      <c r="B27" s="13" t="s">
        <v>33</v>
      </c>
      <c r="C27" s="16">
        <v>23269995</v>
      </c>
      <c r="D27" s="13">
        <v>311.70299999999997</v>
      </c>
      <c r="E27" s="16">
        <v>74654.382537222933</v>
      </c>
    </row>
    <row r="28" spans="1:5" x14ac:dyDescent="0.25">
      <c r="A28" s="13" t="s">
        <v>550</v>
      </c>
      <c r="B28" s="13" t="s">
        <v>34</v>
      </c>
      <c r="C28" s="16">
        <v>8313588</v>
      </c>
      <c r="D28" s="13">
        <v>138.464</v>
      </c>
      <c r="E28" s="16">
        <v>60041.512595331638</v>
      </c>
    </row>
    <row r="29" spans="1:5" x14ac:dyDescent="0.25">
      <c r="A29" s="13" t="s">
        <v>551</v>
      </c>
      <c r="B29" s="13" t="s">
        <v>35</v>
      </c>
      <c r="C29" s="16">
        <v>7341318</v>
      </c>
      <c r="D29" s="13">
        <v>51.7408</v>
      </c>
      <c r="E29" s="16">
        <v>141886.44164759724</v>
      </c>
    </row>
    <row r="30" spans="1:5" x14ac:dyDescent="0.25">
      <c r="A30" s="13" t="s">
        <v>552</v>
      </c>
      <c r="B30" s="13" t="s">
        <v>36</v>
      </c>
      <c r="C30" s="16">
        <v>73097320</v>
      </c>
      <c r="D30" s="13">
        <v>971.32870000000003</v>
      </c>
      <c r="E30" s="16">
        <v>75254.978052228864</v>
      </c>
    </row>
    <row r="31" spans="1:5" x14ac:dyDescent="0.25">
      <c r="A31" s="13" t="s">
        <v>553</v>
      </c>
      <c r="B31" s="13" t="s">
        <v>37</v>
      </c>
      <c r="C31" s="16">
        <v>44567756</v>
      </c>
      <c r="D31" s="13">
        <v>462.42680000000001</v>
      </c>
      <c r="E31" s="16">
        <v>96377.969442947506</v>
      </c>
    </row>
    <row r="32" spans="1:5" x14ac:dyDescent="0.25">
      <c r="A32" s="13" t="s">
        <v>554</v>
      </c>
      <c r="B32" s="13" t="s">
        <v>38</v>
      </c>
      <c r="C32" s="16">
        <v>149416520</v>
      </c>
      <c r="D32" s="16">
        <v>1110.9897000000001</v>
      </c>
      <c r="E32" s="16">
        <v>134489.56367462271</v>
      </c>
    </row>
    <row r="33" spans="1:5" x14ac:dyDescent="0.25">
      <c r="A33" s="13" t="s">
        <v>555</v>
      </c>
      <c r="B33" s="13" t="s">
        <v>39</v>
      </c>
      <c r="C33" s="16">
        <v>58198585</v>
      </c>
      <c r="D33" s="13">
        <v>668.34969999999998</v>
      </c>
      <c r="E33" s="16">
        <v>87078.044622448404</v>
      </c>
    </row>
    <row r="34" spans="1:5" x14ac:dyDescent="0.25">
      <c r="A34" s="13" t="s">
        <v>556</v>
      </c>
      <c r="B34" s="13" t="s">
        <v>40</v>
      </c>
      <c r="C34" s="16">
        <v>38467547</v>
      </c>
      <c r="D34" s="13">
        <v>511.12130000000002</v>
      </c>
      <c r="E34" s="16">
        <v>75261.091643020933</v>
      </c>
    </row>
    <row r="35" spans="1:5" x14ac:dyDescent="0.25">
      <c r="A35" s="13" t="s">
        <v>557</v>
      </c>
      <c r="B35" s="13" t="s">
        <v>41</v>
      </c>
      <c r="C35" s="16">
        <v>9653982</v>
      </c>
      <c r="D35" s="13">
        <v>200.86799999999999</v>
      </c>
      <c r="E35" s="16">
        <v>48061.323854471593</v>
      </c>
    </row>
    <row r="36" spans="1:5" x14ac:dyDescent="0.25">
      <c r="A36" s="13" t="s">
        <v>558</v>
      </c>
      <c r="B36" s="13" t="s">
        <v>42</v>
      </c>
      <c r="C36" s="16">
        <v>13934985</v>
      </c>
      <c r="D36" s="13">
        <v>250.71459999999999</v>
      </c>
      <c r="E36" s="16">
        <v>55581.067077864631</v>
      </c>
    </row>
    <row r="37" spans="1:5" x14ac:dyDescent="0.25">
      <c r="A37" s="13" t="s">
        <v>559</v>
      </c>
      <c r="B37" s="13" t="s">
        <v>43</v>
      </c>
      <c r="C37" s="16">
        <v>55559224</v>
      </c>
      <c r="D37" s="13">
        <v>858.84659999999997</v>
      </c>
      <c r="E37" s="16">
        <v>64690.509341249068</v>
      </c>
    </row>
    <row r="38" spans="1:5" x14ac:dyDescent="0.25">
      <c r="A38" s="13" t="s">
        <v>560</v>
      </c>
      <c r="B38" s="13" t="s">
        <v>44</v>
      </c>
      <c r="C38" s="16">
        <v>126030575</v>
      </c>
      <c r="D38" s="16">
        <v>1577.4821999999999</v>
      </c>
      <c r="E38" s="16">
        <v>79893.500541559202</v>
      </c>
    </row>
    <row r="39" spans="1:5" x14ac:dyDescent="0.25">
      <c r="A39" s="13" t="s">
        <v>561</v>
      </c>
      <c r="B39" s="13" t="s">
        <v>45</v>
      </c>
      <c r="C39" s="16">
        <v>79794793</v>
      </c>
      <c r="D39" s="16">
        <v>1333.6533999999999</v>
      </c>
      <c r="E39" s="16">
        <v>59831.732142699148</v>
      </c>
    </row>
    <row r="40" spans="1:5" x14ac:dyDescent="0.25">
      <c r="A40" s="13" t="s">
        <v>562</v>
      </c>
      <c r="B40" s="13" t="s">
        <v>46</v>
      </c>
      <c r="C40" s="16">
        <v>36100748</v>
      </c>
      <c r="D40" s="13">
        <v>435.27050000000003</v>
      </c>
      <c r="E40" s="16">
        <v>82938.65079301261</v>
      </c>
    </row>
    <row r="41" spans="1:5" x14ac:dyDescent="0.25">
      <c r="A41" s="13" t="s">
        <v>563</v>
      </c>
      <c r="B41" s="13" t="s">
        <v>47</v>
      </c>
      <c r="C41" s="16">
        <v>101416729</v>
      </c>
      <c r="D41" s="16">
        <v>1356.3214</v>
      </c>
      <c r="E41" s="16">
        <v>74773.375248668934</v>
      </c>
    </row>
    <row r="42" spans="1:5" x14ac:dyDescent="0.25">
      <c r="A42" s="13" t="s">
        <v>564</v>
      </c>
      <c r="B42" s="13" t="s">
        <v>48</v>
      </c>
      <c r="C42" s="16">
        <v>39802261</v>
      </c>
      <c r="D42" s="13">
        <v>540.69359999999995</v>
      </c>
      <c r="E42" s="16">
        <v>73613.338497071178</v>
      </c>
    </row>
    <row r="43" spans="1:5" x14ac:dyDescent="0.25">
      <c r="A43" s="13" t="s">
        <v>565</v>
      </c>
      <c r="B43" s="13" t="s">
        <v>49</v>
      </c>
      <c r="C43" s="16">
        <v>2330621862</v>
      </c>
      <c r="D43" s="16">
        <v>16828.402999999998</v>
      </c>
      <c r="E43" s="16">
        <v>138493.34734852737</v>
      </c>
    </row>
    <row r="44" spans="1:5" x14ac:dyDescent="0.25">
      <c r="A44" s="13" t="s">
        <v>566</v>
      </c>
      <c r="B44" s="13" t="s">
        <v>50</v>
      </c>
      <c r="C44" s="16">
        <v>54997926</v>
      </c>
      <c r="D44" s="13">
        <v>695.38409999999999</v>
      </c>
      <c r="E44" s="16">
        <v>79089.996449444268</v>
      </c>
    </row>
    <row r="45" spans="1:5" x14ac:dyDescent="0.25">
      <c r="A45" s="13" t="s">
        <v>567</v>
      </c>
      <c r="B45" s="13" t="s">
        <v>51</v>
      </c>
      <c r="C45" s="16">
        <v>62747210</v>
      </c>
      <c r="D45" s="13">
        <v>712.09939999999995</v>
      </c>
      <c r="E45" s="16">
        <v>88115.802372533959</v>
      </c>
    </row>
    <row r="46" spans="1:5" x14ac:dyDescent="0.25">
      <c r="A46" s="13" t="s">
        <v>568</v>
      </c>
      <c r="B46" s="13" t="s">
        <v>52</v>
      </c>
      <c r="C46" s="16">
        <v>21544590</v>
      </c>
      <c r="D46" s="13">
        <v>285.93290000000002</v>
      </c>
      <c r="E46" s="16">
        <v>75348.412162433902</v>
      </c>
    </row>
    <row r="47" spans="1:5" x14ac:dyDescent="0.25">
      <c r="A47" s="13" t="s">
        <v>569</v>
      </c>
      <c r="B47" s="13" t="s">
        <v>53</v>
      </c>
      <c r="C47" s="16">
        <v>1048781878</v>
      </c>
      <c r="D47" s="16">
        <v>10768.225899999999</v>
      </c>
      <c r="E47" s="16">
        <v>97395.97662043848</v>
      </c>
    </row>
    <row r="48" spans="1:5" x14ac:dyDescent="0.25">
      <c r="A48" s="13" t="s">
        <v>570</v>
      </c>
      <c r="B48" s="13" t="s">
        <v>54</v>
      </c>
      <c r="C48" s="16">
        <v>39283869</v>
      </c>
      <c r="D48" s="13">
        <v>537.14009999999996</v>
      </c>
      <c r="E48" s="16">
        <v>73135.237901620087</v>
      </c>
    </row>
    <row r="49" spans="1:5" x14ac:dyDescent="0.25">
      <c r="A49" s="13" t="s">
        <v>571</v>
      </c>
      <c r="B49" s="13" t="s">
        <v>55</v>
      </c>
      <c r="C49" s="16">
        <v>457923414</v>
      </c>
      <c r="D49" s="16">
        <v>4822.2448999999997</v>
      </c>
      <c r="E49" s="16">
        <v>94960.630058419483</v>
      </c>
    </row>
    <row r="50" spans="1:5" x14ac:dyDescent="0.25">
      <c r="A50" s="13" t="s">
        <v>572</v>
      </c>
      <c r="B50" s="13" t="s">
        <v>56</v>
      </c>
      <c r="C50" s="16">
        <v>67724482</v>
      </c>
      <c r="D50" s="13">
        <v>915.43550000000005</v>
      </c>
      <c r="E50" s="16">
        <v>73980.615783416739</v>
      </c>
    </row>
    <row r="51" spans="1:5" x14ac:dyDescent="0.25">
      <c r="A51" s="13" t="s">
        <v>573</v>
      </c>
      <c r="B51" s="13" t="s">
        <v>57</v>
      </c>
      <c r="C51" s="16">
        <v>6907304</v>
      </c>
      <c r="D51" s="13">
        <v>60.704599999999999</v>
      </c>
      <c r="E51" s="16">
        <v>113785.51213581837</v>
      </c>
    </row>
    <row r="52" spans="1:5" x14ac:dyDescent="0.25">
      <c r="A52" s="13" t="s">
        <v>574</v>
      </c>
      <c r="B52" s="13" t="s">
        <v>58</v>
      </c>
      <c r="C52" s="16">
        <v>38818247</v>
      </c>
      <c r="D52" s="13">
        <v>607.37710000000004</v>
      </c>
      <c r="E52" s="16">
        <v>63911.278512146731</v>
      </c>
    </row>
    <row r="53" spans="1:5" x14ac:dyDescent="0.25">
      <c r="A53" s="13" t="s">
        <v>575</v>
      </c>
      <c r="B53" s="13" t="s">
        <v>59</v>
      </c>
      <c r="C53" s="16">
        <v>3927570</v>
      </c>
      <c r="D53" s="13">
        <v>30.734000000000002</v>
      </c>
      <c r="E53" s="16">
        <v>127792.34723758703</v>
      </c>
    </row>
    <row r="54" spans="1:5" x14ac:dyDescent="0.25">
      <c r="A54" s="13" t="s">
        <v>576</v>
      </c>
      <c r="B54" s="13" t="s">
        <v>60</v>
      </c>
      <c r="C54" s="16">
        <v>4128150</v>
      </c>
      <c r="D54" s="13">
        <v>51.835000000000001</v>
      </c>
      <c r="E54" s="16">
        <v>79640.204495032318</v>
      </c>
    </row>
    <row r="55" spans="1:5" x14ac:dyDescent="0.25">
      <c r="A55" s="13" t="s">
        <v>577</v>
      </c>
      <c r="B55" s="13" t="s">
        <v>61</v>
      </c>
      <c r="C55" s="16">
        <v>24948838</v>
      </c>
      <c r="D55" s="13">
        <v>371.81990000000002</v>
      </c>
      <c r="E55" s="16">
        <v>67099.254235720029</v>
      </c>
    </row>
    <row r="56" spans="1:5" x14ac:dyDescent="0.25">
      <c r="A56" s="13" t="s">
        <v>578</v>
      </c>
      <c r="B56" s="13" t="s">
        <v>62</v>
      </c>
      <c r="C56" s="16">
        <v>5235731</v>
      </c>
      <c r="D56" s="13">
        <v>65.870599999999996</v>
      </c>
      <c r="E56" s="16">
        <v>79485.096537757359</v>
      </c>
    </row>
    <row r="57" spans="1:5" x14ac:dyDescent="0.25">
      <c r="A57" s="13" t="s">
        <v>579</v>
      </c>
      <c r="B57" s="13" t="s">
        <v>63</v>
      </c>
      <c r="C57" s="16">
        <v>19704500</v>
      </c>
      <c r="D57" s="13">
        <v>286.02629999999999</v>
      </c>
      <c r="E57" s="16">
        <v>68890.5181096983</v>
      </c>
    </row>
    <row r="58" spans="1:5" x14ac:dyDescent="0.25">
      <c r="A58" s="13" t="s">
        <v>580</v>
      </c>
      <c r="B58" s="13" t="s">
        <v>64</v>
      </c>
      <c r="C58" s="16">
        <v>4656954</v>
      </c>
      <c r="D58" s="13">
        <v>46.782200000000003</v>
      </c>
      <c r="E58" s="16">
        <v>99545.425396838968</v>
      </c>
    </row>
    <row r="59" spans="1:5" x14ac:dyDescent="0.25">
      <c r="A59" s="13" t="s">
        <v>581</v>
      </c>
      <c r="B59" s="13" t="s">
        <v>65</v>
      </c>
      <c r="C59" s="16">
        <v>97149204</v>
      </c>
      <c r="D59" s="16">
        <v>1101.6455000000001</v>
      </c>
      <c r="E59" s="16">
        <v>88185.540629903175</v>
      </c>
    </row>
    <row r="60" spans="1:5" x14ac:dyDescent="0.25">
      <c r="A60" s="13" t="s">
        <v>582</v>
      </c>
      <c r="B60" s="13" t="s">
        <v>66</v>
      </c>
      <c r="C60" s="16">
        <v>48254362</v>
      </c>
      <c r="D60" s="13">
        <v>631.35739999999998</v>
      </c>
      <c r="E60" s="16">
        <v>76429.55004566352</v>
      </c>
    </row>
    <row r="61" spans="1:5" x14ac:dyDescent="0.25">
      <c r="A61" s="13" t="s">
        <v>583</v>
      </c>
      <c r="B61" s="13" t="s">
        <v>67</v>
      </c>
      <c r="C61" s="16">
        <v>192622067</v>
      </c>
      <c r="D61" s="16">
        <v>2083.9490000000001</v>
      </c>
      <c r="E61" s="16">
        <v>92431.276869059657</v>
      </c>
    </row>
    <row r="62" spans="1:5" x14ac:dyDescent="0.25">
      <c r="A62" s="13" t="s">
        <v>584</v>
      </c>
      <c r="B62" s="13" t="s">
        <v>68</v>
      </c>
      <c r="C62" s="16">
        <v>316834797</v>
      </c>
      <c r="D62" s="13">
        <v>748.25800000000004</v>
      </c>
      <c r="E62" s="16">
        <v>423429.88247369218</v>
      </c>
    </row>
    <row r="63" spans="1:5" x14ac:dyDescent="0.25">
      <c r="A63" s="13" t="s">
        <v>585</v>
      </c>
      <c r="B63" s="13" t="s">
        <v>69</v>
      </c>
      <c r="C63" s="16">
        <v>25997175</v>
      </c>
      <c r="D63" s="13">
        <v>405.71710000000002</v>
      </c>
      <c r="E63" s="16">
        <v>64077.099535612375</v>
      </c>
    </row>
    <row r="64" spans="1:5" x14ac:dyDescent="0.25">
      <c r="A64" s="13" t="s">
        <v>586</v>
      </c>
      <c r="B64" s="13" t="s">
        <v>70</v>
      </c>
      <c r="C64" s="16">
        <v>1146706625</v>
      </c>
      <c r="D64" s="16">
        <v>3940.2240000000002</v>
      </c>
      <c r="E64" s="16">
        <v>291025.74498302635</v>
      </c>
    </row>
    <row r="65" spans="1:5" x14ac:dyDescent="0.25">
      <c r="A65" s="13" t="s">
        <v>587</v>
      </c>
      <c r="B65" s="13" t="s">
        <v>71</v>
      </c>
      <c r="C65" s="16">
        <v>91000410</v>
      </c>
      <c r="D65" s="13">
        <v>194.92910000000001</v>
      </c>
      <c r="E65" s="16">
        <v>466838.50692379946</v>
      </c>
    </row>
    <row r="66" spans="1:5" x14ac:dyDescent="0.25">
      <c r="A66" s="13" t="s">
        <v>588</v>
      </c>
      <c r="B66" s="13" t="s">
        <v>72</v>
      </c>
      <c r="C66" s="16">
        <v>32353350</v>
      </c>
      <c r="D66" s="13">
        <v>292.74549999999999</v>
      </c>
      <c r="E66" s="16">
        <v>110516.98488960548</v>
      </c>
    </row>
    <row r="67" spans="1:5" x14ac:dyDescent="0.25">
      <c r="A67" s="13" t="s">
        <v>589</v>
      </c>
      <c r="B67" s="13" t="s">
        <v>73</v>
      </c>
      <c r="C67" s="16">
        <v>493945943</v>
      </c>
      <c r="D67" s="16">
        <v>4700.0740999999998</v>
      </c>
      <c r="E67" s="16">
        <v>105093.2245940548</v>
      </c>
    </row>
    <row r="68" spans="1:5" x14ac:dyDescent="0.25">
      <c r="A68" s="13" t="s">
        <v>590</v>
      </c>
      <c r="B68" s="13" t="s">
        <v>74</v>
      </c>
      <c r="C68" s="16">
        <v>24177539</v>
      </c>
      <c r="D68" s="13">
        <v>229.88210000000001</v>
      </c>
      <c r="E68" s="16">
        <v>105173.64770897778</v>
      </c>
    </row>
    <row r="69" spans="1:5" x14ac:dyDescent="0.25">
      <c r="A69" s="13" t="s">
        <v>591</v>
      </c>
      <c r="B69" s="13" t="s">
        <v>75</v>
      </c>
      <c r="C69" s="16">
        <v>26919350</v>
      </c>
      <c r="D69" s="13">
        <v>366.1771</v>
      </c>
      <c r="E69" s="16">
        <v>73514.564400668416</v>
      </c>
    </row>
    <row r="70" spans="1:5" x14ac:dyDescent="0.25">
      <c r="A70" s="13" t="s">
        <v>592</v>
      </c>
      <c r="B70" s="13" t="s">
        <v>76</v>
      </c>
      <c r="C70" s="16">
        <v>638831906</v>
      </c>
      <c r="D70" s="16">
        <v>3677.3233</v>
      </c>
      <c r="E70" s="16">
        <v>173721.98577155292</v>
      </c>
    </row>
    <row r="71" spans="1:5" x14ac:dyDescent="0.25">
      <c r="A71" s="13" t="s">
        <v>593</v>
      </c>
      <c r="B71" s="13" t="s">
        <v>77</v>
      </c>
      <c r="C71" s="16">
        <v>52461837</v>
      </c>
      <c r="D71" s="13">
        <v>347.64769999999999</v>
      </c>
      <c r="E71" s="16">
        <v>150905.17498030333</v>
      </c>
    </row>
    <row r="72" spans="1:5" x14ac:dyDescent="0.25">
      <c r="A72" s="13" t="s">
        <v>594</v>
      </c>
      <c r="B72" s="13" t="s">
        <v>78</v>
      </c>
      <c r="C72" s="16">
        <v>9718515</v>
      </c>
      <c r="D72" s="13">
        <v>140.3091</v>
      </c>
      <c r="E72" s="16">
        <v>69265.036979069788</v>
      </c>
    </row>
    <row r="73" spans="1:5" x14ac:dyDescent="0.25">
      <c r="A73" s="13" t="s">
        <v>595</v>
      </c>
      <c r="B73" s="13" t="s">
        <v>79</v>
      </c>
      <c r="C73" s="16">
        <v>10952673</v>
      </c>
      <c r="D73" s="13">
        <v>146.2139</v>
      </c>
      <c r="E73" s="16">
        <v>74908.562045058643</v>
      </c>
    </row>
    <row r="74" spans="1:5" x14ac:dyDescent="0.25">
      <c r="A74" s="13" t="s">
        <v>596</v>
      </c>
      <c r="B74" s="13" t="s">
        <v>80</v>
      </c>
      <c r="C74" s="16">
        <v>8655402</v>
      </c>
      <c r="D74" s="13">
        <v>56.2834</v>
      </c>
      <c r="E74" s="16">
        <v>153782.50070180552</v>
      </c>
    </row>
    <row r="75" spans="1:5" x14ac:dyDescent="0.25">
      <c r="A75" s="13" t="s">
        <v>597</v>
      </c>
      <c r="B75" s="13" t="s">
        <v>81</v>
      </c>
      <c r="C75" s="16">
        <v>71765165</v>
      </c>
      <c r="D75" s="13">
        <v>827.87660000000005</v>
      </c>
      <c r="E75" s="16">
        <v>86685.823708509211</v>
      </c>
    </row>
    <row r="76" spans="1:5" x14ac:dyDescent="0.25">
      <c r="A76" s="13" t="s">
        <v>598</v>
      </c>
      <c r="B76" s="13" t="s">
        <v>82</v>
      </c>
      <c r="C76" s="16">
        <v>17629189</v>
      </c>
      <c r="D76" s="13">
        <v>168.57210000000001</v>
      </c>
      <c r="E76" s="16">
        <v>104579.51820022412</v>
      </c>
    </row>
    <row r="77" spans="1:5" x14ac:dyDescent="0.25">
      <c r="A77" s="13" t="s">
        <v>599</v>
      </c>
      <c r="B77" s="13" t="s">
        <v>83</v>
      </c>
      <c r="C77" s="16">
        <v>36755462</v>
      </c>
      <c r="D77" s="13">
        <v>665.28689999999995</v>
      </c>
      <c r="E77" s="16">
        <v>55247.53606301282</v>
      </c>
    </row>
    <row r="78" spans="1:5" x14ac:dyDescent="0.25">
      <c r="A78" s="13" t="s">
        <v>600</v>
      </c>
      <c r="B78" s="13" t="s">
        <v>84</v>
      </c>
      <c r="C78" s="16">
        <v>36901117</v>
      </c>
      <c r="D78" s="13">
        <v>490.60840000000002</v>
      </c>
      <c r="E78" s="16">
        <v>75215.012625140531</v>
      </c>
    </row>
    <row r="79" spans="1:5" x14ac:dyDescent="0.25">
      <c r="A79" s="13" t="s">
        <v>601</v>
      </c>
      <c r="B79" s="13" t="s">
        <v>85</v>
      </c>
      <c r="C79" s="16">
        <v>33566330</v>
      </c>
      <c r="D79" s="13">
        <v>514.80460000000005</v>
      </c>
      <c r="E79" s="16">
        <v>65202.078613905156</v>
      </c>
    </row>
    <row r="80" spans="1:5" x14ac:dyDescent="0.25">
      <c r="A80" s="13" t="s">
        <v>602</v>
      </c>
      <c r="B80" s="13" t="s">
        <v>86</v>
      </c>
      <c r="C80" s="16">
        <v>12580913</v>
      </c>
      <c r="D80" s="13">
        <v>154.80719999999999</v>
      </c>
      <c r="E80" s="16">
        <v>81268.267884181099</v>
      </c>
    </row>
    <row r="81" spans="1:5" x14ac:dyDescent="0.25">
      <c r="A81" s="13" t="s">
        <v>603</v>
      </c>
      <c r="B81" s="13" t="s">
        <v>87</v>
      </c>
      <c r="C81" s="16">
        <v>496162093</v>
      </c>
      <c r="D81" s="16">
        <v>5834.0753999999997</v>
      </c>
      <c r="E81" s="16">
        <v>85045.540035358485</v>
      </c>
    </row>
    <row r="82" spans="1:5" x14ac:dyDescent="0.25">
      <c r="A82" s="13" t="s">
        <v>604</v>
      </c>
      <c r="B82" s="13" t="s">
        <v>88</v>
      </c>
      <c r="C82" s="16">
        <v>52747684</v>
      </c>
      <c r="D82" s="13">
        <v>745.31650000000002</v>
      </c>
      <c r="E82" s="16">
        <v>70772.194094723513</v>
      </c>
    </row>
    <row r="83" spans="1:5" x14ac:dyDescent="0.25">
      <c r="A83" s="13" t="s">
        <v>605</v>
      </c>
      <c r="B83" s="13" t="s">
        <v>89</v>
      </c>
      <c r="C83" s="16">
        <v>15980502</v>
      </c>
      <c r="D83" s="13">
        <v>164.84780000000001</v>
      </c>
      <c r="E83" s="16">
        <v>96940.947953202893</v>
      </c>
    </row>
    <row r="84" spans="1:5" x14ac:dyDescent="0.25">
      <c r="A84" s="13" t="s">
        <v>606</v>
      </c>
      <c r="B84" s="13" t="s">
        <v>90</v>
      </c>
      <c r="C84" s="16">
        <v>146117052</v>
      </c>
      <c r="D84" s="16">
        <v>2053.2593000000002</v>
      </c>
      <c r="E84" s="16">
        <v>71163.467760745072</v>
      </c>
    </row>
    <row r="85" spans="1:5" x14ac:dyDescent="0.25">
      <c r="A85" s="13" t="s">
        <v>607</v>
      </c>
      <c r="B85" s="13" t="s">
        <v>91</v>
      </c>
      <c r="C85" s="16">
        <v>185146208</v>
      </c>
      <c r="D85" s="16">
        <v>2191.8379</v>
      </c>
      <c r="E85" s="16">
        <v>84470.757623088823</v>
      </c>
    </row>
    <row r="86" spans="1:5" x14ac:dyDescent="0.25">
      <c r="A86" s="13" t="s">
        <v>608</v>
      </c>
      <c r="B86" s="13" t="s">
        <v>92</v>
      </c>
      <c r="C86" s="16">
        <v>18862624</v>
      </c>
      <c r="D86" s="13">
        <v>292.86739999999998</v>
      </c>
      <c r="E86" s="16">
        <v>64406.704194457976</v>
      </c>
    </row>
    <row r="87" spans="1:5" x14ac:dyDescent="0.25">
      <c r="A87" s="13" t="s">
        <v>609</v>
      </c>
      <c r="B87" s="13" t="s">
        <v>93</v>
      </c>
      <c r="C87" s="16">
        <v>44129604</v>
      </c>
      <c r="D87" s="13">
        <v>403.66759999999999</v>
      </c>
      <c r="E87" s="16">
        <v>109321.63988390449</v>
      </c>
    </row>
    <row r="88" spans="1:5" x14ac:dyDescent="0.25">
      <c r="A88" s="13" t="s">
        <v>610</v>
      </c>
      <c r="B88" s="13" t="s">
        <v>94</v>
      </c>
      <c r="C88" s="16">
        <v>317491915</v>
      </c>
      <c r="D88" s="16">
        <v>4479.7819</v>
      </c>
      <c r="E88" s="16">
        <v>70872.181299719072</v>
      </c>
    </row>
    <row r="89" spans="1:5" x14ac:dyDescent="0.25">
      <c r="A89" s="13" t="s">
        <v>611</v>
      </c>
      <c r="B89" s="13" t="s">
        <v>95</v>
      </c>
      <c r="C89" s="16">
        <v>90914560</v>
      </c>
      <c r="D89" s="13">
        <v>920.7133</v>
      </c>
      <c r="E89" s="16">
        <v>98743.615412094077</v>
      </c>
    </row>
    <row r="90" spans="1:5" x14ac:dyDescent="0.25">
      <c r="A90" s="13" t="s">
        <v>612</v>
      </c>
      <c r="B90" s="13" t="s">
        <v>96</v>
      </c>
      <c r="C90" s="16">
        <v>90511028</v>
      </c>
      <c r="D90" s="16">
        <v>1130.731</v>
      </c>
      <c r="E90" s="16">
        <v>80046.472591624362</v>
      </c>
    </row>
    <row r="91" spans="1:5" x14ac:dyDescent="0.25">
      <c r="A91" s="13" t="s">
        <v>613</v>
      </c>
      <c r="B91" s="13" t="s">
        <v>97</v>
      </c>
      <c r="C91" s="16">
        <v>17201944</v>
      </c>
      <c r="D91" s="13">
        <v>144.22389999999999</v>
      </c>
      <c r="E91" s="16">
        <v>119272.49228456589</v>
      </c>
    </row>
    <row r="92" spans="1:5" x14ac:dyDescent="0.25">
      <c r="A92" s="13" t="s">
        <v>614</v>
      </c>
      <c r="B92" s="13" t="s">
        <v>98</v>
      </c>
      <c r="C92" s="16">
        <v>20365970</v>
      </c>
      <c r="D92" s="13">
        <v>239.18530000000001</v>
      </c>
      <c r="E92" s="16">
        <v>85147.247761463601</v>
      </c>
    </row>
    <row r="93" spans="1:5" x14ac:dyDescent="0.25">
      <c r="A93" s="13" t="s">
        <v>615</v>
      </c>
      <c r="B93" s="13" t="s">
        <v>99</v>
      </c>
      <c r="C93" s="16">
        <v>16537210</v>
      </c>
      <c r="D93" s="13">
        <v>125.2831</v>
      </c>
      <c r="E93" s="16">
        <v>131998.72927793133</v>
      </c>
    </row>
    <row r="94" spans="1:5" x14ac:dyDescent="0.25">
      <c r="A94" s="13" t="s">
        <v>616</v>
      </c>
      <c r="B94" s="13" t="s">
        <v>100</v>
      </c>
      <c r="C94" s="16">
        <v>49428380</v>
      </c>
      <c r="D94" s="13">
        <v>438.17739999999998</v>
      </c>
      <c r="E94" s="16">
        <v>112804.49425278438</v>
      </c>
    </row>
    <row r="95" spans="1:5" x14ac:dyDescent="0.25">
      <c r="A95" s="13" t="s">
        <v>617</v>
      </c>
      <c r="B95" s="13" t="s">
        <v>101</v>
      </c>
      <c r="C95" s="16">
        <v>12765058</v>
      </c>
      <c r="D95" s="13">
        <v>213.65809999999999</v>
      </c>
      <c r="E95" s="16">
        <v>59745.256557088171</v>
      </c>
    </row>
    <row r="96" spans="1:5" x14ac:dyDescent="0.25">
      <c r="A96" s="13" t="s">
        <v>618</v>
      </c>
      <c r="B96" s="13" t="s">
        <v>102</v>
      </c>
      <c r="C96" s="16">
        <v>435509480</v>
      </c>
      <c r="D96" s="16">
        <v>5751.6333000000004</v>
      </c>
      <c r="E96" s="16">
        <v>75719.270906926555</v>
      </c>
    </row>
    <row r="97" spans="1:5" x14ac:dyDescent="0.25">
      <c r="A97" s="13" t="s">
        <v>619</v>
      </c>
      <c r="B97" s="13" t="s">
        <v>103</v>
      </c>
      <c r="C97" s="16">
        <v>39377578</v>
      </c>
      <c r="D97" s="13">
        <v>724.91179999999997</v>
      </c>
      <c r="E97" s="16">
        <v>54320.509060550539</v>
      </c>
    </row>
    <row r="98" spans="1:5" x14ac:dyDescent="0.25">
      <c r="A98" s="13" t="s">
        <v>620</v>
      </c>
      <c r="B98" s="13" t="s">
        <v>104</v>
      </c>
      <c r="C98" s="16">
        <v>34767126</v>
      </c>
      <c r="D98" s="13">
        <v>388.37329999999997</v>
      </c>
      <c r="E98" s="16">
        <v>89519.866581971524</v>
      </c>
    </row>
    <row r="99" spans="1:5" x14ac:dyDescent="0.25">
      <c r="A99" s="13" t="s">
        <v>621</v>
      </c>
      <c r="B99" s="13" t="s">
        <v>105</v>
      </c>
      <c r="C99" s="16">
        <v>68164948</v>
      </c>
      <c r="D99" s="16">
        <v>1164.2038</v>
      </c>
      <c r="E99" s="16">
        <v>58550.700487320173</v>
      </c>
    </row>
    <row r="100" spans="1:5" x14ac:dyDescent="0.25">
      <c r="A100" s="13" t="s">
        <v>622</v>
      </c>
      <c r="B100" s="13" t="s">
        <v>106</v>
      </c>
      <c r="C100" s="16">
        <v>433985335</v>
      </c>
      <c r="D100" s="16">
        <v>5381.8941000000004</v>
      </c>
      <c r="E100" s="16">
        <v>80638.029462526945</v>
      </c>
    </row>
    <row r="101" spans="1:5" x14ac:dyDescent="0.25">
      <c r="A101" s="13" t="s">
        <v>623</v>
      </c>
      <c r="B101" s="13" t="s">
        <v>107</v>
      </c>
      <c r="C101" s="16">
        <v>62580544</v>
      </c>
      <c r="D101" s="13">
        <v>701.68359999999996</v>
      </c>
      <c r="E101" s="16">
        <v>89186.271419198063</v>
      </c>
    </row>
    <row r="102" spans="1:5" x14ac:dyDescent="0.25">
      <c r="A102" s="13" t="s">
        <v>624</v>
      </c>
      <c r="B102" s="13" t="s">
        <v>108</v>
      </c>
      <c r="C102" s="16">
        <v>91238847</v>
      </c>
      <c r="D102" s="13">
        <v>967.50879999999995</v>
      </c>
      <c r="E102" s="16">
        <v>94302.860087680863</v>
      </c>
    </row>
    <row r="103" spans="1:5" x14ac:dyDescent="0.25">
      <c r="A103" s="13" t="s">
        <v>625</v>
      </c>
      <c r="B103" s="13" t="s">
        <v>109</v>
      </c>
      <c r="C103" s="16">
        <v>338894860</v>
      </c>
      <c r="D103" s="16">
        <v>3300.5976999999998</v>
      </c>
      <c r="E103" s="16">
        <v>102676.81517199143</v>
      </c>
    </row>
    <row r="104" spans="1:5" x14ac:dyDescent="0.25">
      <c r="A104" s="13" t="s">
        <v>626</v>
      </c>
      <c r="B104" s="13" t="s">
        <v>110</v>
      </c>
      <c r="C104" s="16">
        <v>228614400</v>
      </c>
      <c r="D104" s="16">
        <v>2520.5277000000001</v>
      </c>
      <c r="E104" s="16">
        <v>90701.006777271279</v>
      </c>
    </row>
    <row r="105" spans="1:5" x14ac:dyDescent="0.25">
      <c r="A105" s="13" t="s">
        <v>627</v>
      </c>
      <c r="B105" s="13" t="s">
        <v>111</v>
      </c>
      <c r="C105" s="16">
        <v>221600395</v>
      </c>
      <c r="D105" s="16">
        <v>2710.2656000000002</v>
      </c>
      <c r="E105" s="16">
        <v>81763.350056909549</v>
      </c>
    </row>
    <row r="106" spans="1:5" x14ac:dyDescent="0.25">
      <c r="A106" s="13" t="s">
        <v>628</v>
      </c>
      <c r="B106" s="13" t="s">
        <v>112</v>
      </c>
      <c r="C106" s="16">
        <v>863808056</v>
      </c>
      <c r="D106" s="16">
        <v>11861.3187</v>
      </c>
      <c r="E106" s="16">
        <v>72825.634134592474</v>
      </c>
    </row>
    <row r="107" spans="1:5" x14ac:dyDescent="0.25">
      <c r="A107" s="13" t="s">
        <v>629</v>
      </c>
      <c r="B107" s="13" t="s">
        <v>113</v>
      </c>
      <c r="C107" s="16">
        <v>7111602</v>
      </c>
      <c r="D107" s="13">
        <v>29.848099999999999</v>
      </c>
      <c r="E107" s="16">
        <v>238259.78873027096</v>
      </c>
    </row>
    <row r="108" spans="1:5" x14ac:dyDescent="0.25">
      <c r="A108" s="13" t="s">
        <v>630</v>
      </c>
      <c r="B108" s="13" t="s">
        <v>114</v>
      </c>
      <c r="C108" s="16">
        <v>2083053528</v>
      </c>
      <c r="D108" s="16">
        <v>18973.143599999999</v>
      </c>
      <c r="E108" s="16">
        <v>109789.58320855169</v>
      </c>
    </row>
    <row r="109" spans="1:5" x14ac:dyDescent="0.25">
      <c r="A109" s="13" t="s">
        <v>631</v>
      </c>
      <c r="B109" s="13" t="s">
        <v>115</v>
      </c>
      <c r="C109" s="16">
        <v>115024813</v>
      </c>
      <c r="D109" s="16">
        <v>1695.5441000000001</v>
      </c>
      <c r="E109" s="16">
        <v>67839.469937703179</v>
      </c>
    </row>
    <row r="110" spans="1:5" x14ac:dyDescent="0.25">
      <c r="A110" s="13" t="s">
        <v>632</v>
      </c>
      <c r="B110" s="13" t="s">
        <v>116</v>
      </c>
      <c r="C110" s="16">
        <v>62512323</v>
      </c>
      <c r="D110" s="13">
        <v>911.82150000000001</v>
      </c>
      <c r="E110" s="16">
        <v>68557.632168138167</v>
      </c>
    </row>
    <row r="111" spans="1:5" x14ac:dyDescent="0.25">
      <c r="A111" s="13" t="s">
        <v>633</v>
      </c>
      <c r="B111" s="13" t="s">
        <v>117</v>
      </c>
      <c r="C111" s="16">
        <v>74997392</v>
      </c>
      <c r="D111" s="13">
        <v>629.23559999999998</v>
      </c>
      <c r="E111" s="16">
        <v>119188.09425277273</v>
      </c>
    </row>
    <row r="112" spans="1:5" x14ac:dyDescent="0.25">
      <c r="A112" s="13" t="s">
        <v>634</v>
      </c>
      <c r="B112" s="13" t="s">
        <v>118</v>
      </c>
      <c r="C112" s="16">
        <v>54321992</v>
      </c>
      <c r="D112" s="13">
        <v>528.29200000000003</v>
      </c>
      <c r="E112" s="16">
        <v>102825.69488086134</v>
      </c>
    </row>
    <row r="113" spans="1:5" x14ac:dyDescent="0.25">
      <c r="A113" s="13" t="s">
        <v>635</v>
      </c>
      <c r="B113" s="13" t="s">
        <v>119</v>
      </c>
      <c r="C113" s="16">
        <v>103552895</v>
      </c>
      <c r="D113" s="16">
        <v>1204.0833</v>
      </c>
      <c r="E113" s="16">
        <v>86001.437774280232</v>
      </c>
    </row>
    <row r="114" spans="1:5" x14ac:dyDescent="0.25">
      <c r="A114" s="13" t="s">
        <v>636</v>
      </c>
      <c r="B114" s="13" t="s">
        <v>120</v>
      </c>
      <c r="C114" s="16">
        <v>66279082</v>
      </c>
      <c r="D114" s="13">
        <v>554.33510000000001</v>
      </c>
      <c r="E114" s="16">
        <v>119565.01040616047</v>
      </c>
    </row>
    <row r="115" spans="1:5" x14ac:dyDescent="0.25">
      <c r="A115" s="13" t="s">
        <v>637</v>
      </c>
      <c r="B115" s="13" t="s">
        <v>121</v>
      </c>
      <c r="C115" s="16">
        <v>1260387400</v>
      </c>
      <c r="D115" s="16">
        <v>8227.7880999999998</v>
      </c>
      <c r="E115" s="16">
        <v>153186.66264630709</v>
      </c>
    </row>
    <row r="116" spans="1:5" x14ac:dyDescent="0.25">
      <c r="A116" s="13" t="s">
        <v>638</v>
      </c>
      <c r="B116" s="13" t="s">
        <v>122</v>
      </c>
      <c r="C116" s="16">
        <v>8949442</v>
      </c>
      <c r="D116" s="13">
        <v>143.88229999999999</v>
      </c>
      <c r="E116" s="16">
        <v>62199.742428359852</v>
      </c>
    </row>
    <row r="117" spans="1:5" x14ac:dyDescent="0.25">
      <c r="A117" s="13" t="s">
        <v>639</v>
      </c>
      <c r="B117" s="13" t="s">
        <v>123</v>
      </c>
      <c r="C117" s="16">
        <v>9527460</v>
      </c>
      <c r="D117" s="13">
        <v>110.48779999999999</v>
      </c>
      <c r="E117" s="16">
        <v>86230.877979288212</v>
      </c>
    </row>
    <row r="118" spans="1:5" x14ac:dyDescent="0.25">
      <c r="A118" s="13" t="s">
        <v>640</v>
      </c>
      <c r="B118" s="13" t="s">
        <v>124</v>
      </c>
      <c r="C118" s="16">
        <v>13510788</v>
      </c>
      <c r="D118" s="13">
        <v>149.79679999999999</v>
      </c>
      <c r="E118" s="16">
        <v>90194.102944789207</v>
      </c>
    </row>
    <row r="119" spans="1:5" x14ac:dyDescent="0.25">
      <c r="A119" s="13" t="s">
        <v>641</v>
      </c>
      <c r="B119" s="13" t="s">
        <v>125</v>
      </c>
      <c r="C119" s="16">
        <v>14498353</v>
      </c>
      <c r="D119" s="13">
        <v>248.94300000000001</v>
      </c>
      <c r="E119" s="16">
        <v>58239.649236973921</v>
      </c>
    </row>
    <row r="120" spans="1:5" x14ac:dyDescent="0.25">
      <c r="A120" s="13" t="s">
        <v>642</v>
      </c>
      <c r="B120" s="13" t="s">
        <v>126</v>
      </c>
      <c r="C120" s="16">
        <v>18813304</v>
      </c>
      <c r="D120" s="13">
        <v>244.4135</v>
      </c>
      <c r="E120" s="16">
        <v>76973.260478656055</v>
      </c>
    </row>
    <row r="121" spans="1:5" x14ac:dyDescent="0.25">
      <c r="A121" s="13" t="s">
        <v>643</v>
      </c>
      <c r="B121" s="13" t="s">
        <v>127</v>
      </c>
      <c r="C121" s="16">
        <v>137883918</v>
      </c>
      <c r="D121" s="16">
        <v>1374.5296000000001</v>
      </c>
      <c r="E121" s="16">
        <v>100313.53126189497</v>
      </c>
    </row>
    <row r="122" spans="1:5" x14ac:dyDescent="0.25">
      <c r="A122" s="13" t="s">
        <v>644</v>
      </c>
      <c r="B122" s="13" t="s">
        <v>128</v>
      </c>
      <c r="C122" s="16">
        <v>65686049</v>
      </c>
      <c r="D122" s="13">
        <v>889.50540000000001</v>
      </c>
      <c r="E122" s="16">
        <v>73845.587671530724</v>
      </c>
    </row>
    <row r="123" spans="1:5" x14ac:dyDescent="0.25">
      <c r="A123" s="13" t="s">
        <v>645</v>
      </c>
      <c r="B123" s="13" t="s">
        <v>129</v>
      </c>
      <c r="C123" s="16">
        <v>118645189</v>
      </c>
      <c r="D123" s="16">
        <v>1395.6641999999999</v>
      </c>
      <c r="E123" s="16">
        <v>85009.839042944572</v>
      </c>
    </row>
    <row r="124" spans="1:5" x14ac:dyDescent="0.25">
      <c r="A124" s="13" t="s">
        <v>646</v>
      </c>
      <c r="B124" s="13" t="s">
        <v>130</v>
      </c>
      <c r="C124" s="16">
        <v>60823118</v>
      </c>
      <c r="D124" s="13">
        <v>931.09619999999995</v>
      </c>
      <c r="E124" s="16">
        <v>65324.203879255445</v>
      </c>
    </row>
    <row r="125" spans="1:5" x14ac:dyDescent="0.25">
      <c r="A125" s="13" t="s">
        <v>647</v>
      </c>
      <c r="B125" s="13" t="s">
        <v>131</v>
      </c>
      <c r="C125" s="16">
        <v>31977912</v>
      </c>
      <c r="D125" s="13">
        <v>322.6105</v>
      </c>
      <c r="E125" s="16">
        <v>99122.353426190399</v>
      </c>
    </row>
    <row r="126" spans="1:5" x14ac:dyDescent="0.25">
      <c r="A126" s="13" t="s">
        <v>648</v>
      </c>
      <c r="B126" s="13" t="s">
        <v>132</v>
      </c>
      <c r="C126" s="16">
        <v>11423251</v>
      </c>
      <c r="D126" s="13">
        <v>133.61869999999999</v>
      </c>
      <c r="E126" s="16">
        <v>85491.409510794532</v>
      </c>
    </row>
    <row r="127" spans="1:5" x14ac:dyDescent="0.25">
      <c r="A127" s="13" t="s">
        <v>649</v>
      </c>
      <c r="B127" s="13" t="s">
        <v>133</v>
      </c>
      <c r="C127" s="16">
        <v>11417913</v>
      </c>
      <c r="D127" s="13">
        <v>148.62559999999999</v>
      </c>
      <c r="E127" s="16">
        <v>76823.326533248648</v>
      </c>
    </row>
    <row r="128" spans="1:5" x14ac:dyDescent="0.25">
      <c r="A128" s="13" t="s">
        <v>650</v>
      </c>
      <c r="B128" s="13" t="s">
        <v>134</v>
      </c>
      <c r="C128" s="16">
        <v>40078506</v>
      </c>
      <c r="D128" s="13">
        <v>420.56279999999998</v>
      </c>
      <c r="E128" s="16">
        <v>95297.315882431838</v>
      </c>
    </row>
    <row r="129" spans="1:5" x14ac:dyDescent="0.25">
      <c r="A129" s="13" t="s">
        <v>651</v>
      </c>
      <c r="B129" s="13" t="s">
        <v>135</v>
      </c>
      <c r="C129" s="16">
        <v>116361633</v>
      </c>
      <c r="D129" s="16">
        <v>1584.703</v>
      </c>
      <c r="E129" s="16">
        <v>73428.038566217147</v>
      </c>
    </row>
    <row r="130" spans="1:5" x14ac:dyDescent="0.25">
      <c r="A130" s="13" t="s">
        <v>652</v>
      </c>
      <c r="B130" s="13" t="s">
        <v>136</v>
      </c>
      <c r="C130" s="16">
        <v>14436788</v>
      </c>
      <c r="D130" s="13">
        <v>184.66499999999999</v>
      </c>
      <c r="E130" s="16">
        <v>78178.25792651558</v>
      </c>
    </row>
    <row r="131" spans="1:5" x14ac:dyDescent="0.25">
      <c r="A131" s="13" t="s">
        <v>653</v>
      </c>
      <c r="B131" s="13" t="s">
        <v>137</v>
      </c>
      <c r="C131" s="16">
        <v>23437698</v>
      </c>
      <c r="D131" s="13">
        <v>169.00450000000001</v>
      </c>
      <c r="E131" s="16">
        <v>138680.9108633202</v>
      </c>
    </row>
    <row r="132" spans="1:5" x14ac:dyDescent="0.25">
      <c r="A132" s="13" t="s">
        <v>654</v>
      </c>
      <c r="B132" s="13" t="s">
        <v>138</v>
      </c>
      <c r="C132" s="16">
        <v>11306336</v>
      </c>
      <c r="D132" s="13">
        <v>73.733900000000006</v>
      </c>
      <c r="E132" s="16">
        <v>153339.72568926911</v>
      </c>
    </row>
    <row r="133" spans="1:5" x14ac:dyDescent="0.25">
      <c r="A133" s="13" t="s">
        <v>655</v>
      </c>
      <c r="B133" s="13" t="s">
        <v>139</v>
      </c>
      <c r="C133" s="16">
        <v>44079378</v>
      </c>
      <c r="D133" s="13">
        <v>586.6377</v>
      </c>
      <c r="E133" s="16">
        <v>75139.013397877425</v>
      </c>
    </row>
    <row r="134" spans="1:5" x14ac:dyDescent="0.25">
      <c r="A134" s="13" t="s">
        <v>656</v>
      </c>
      <c r="B134" s="13" t="s">
        <v>140</v>
      </c>
      <c r="C134" s="16">
        <v>21184586</v>
      </c>
      <c r="D134" s="13">
        <v>163.88650000000001</v>
      </c>
      <c r="E134" s="16">
        <v>129263.7648616573</v>
      </c>
    </row>
    <row r="135" spans="1:5" x14ac:dyDescent="0.25">
      <c r="A135" s="13" t="s">
        <v>657</v>
      </c>
      <c r="B135" s="13" t="s">
        <v>141</v>
      </c>
      <c r="C135" s="16">
        <v>11493787</v>
      </c>
      <c r="D135" s="13">
        <v>104.4342</v>
      </c>
      <c r="E135" s="16">
        <v>110057.69182892193</v>
      </c>
    </row>
    <row r="136" spans="1:5" x14ac:dyDescent="0.25">
      <c r="A136" s="13" t="s">
        <v>658</v>
      </c>
      <c r="B136" s="13" t="s">
        <v>142</v>
      </c>
      <c r="C136" s="16">
        <v>47227470</v>
      </c>
      <c r="D136" s="13">
        <v>544.44449999999995</v>
      </c>
      <c r="E136" s="16">
        <v>86744.323801599618</v>
      </c>
    </row>
    <row r="137" spans="1:5" x14ac:dyDescent="0.25">
      <c r="A137" s="13" t="s">
        <v>659</v>
      </c>
      <c r="B137" s="13" t="s">
        <v>143</v>
      </c>
      <c r="C137" s="16">
        <v>26977773</v>
      </c>
      <c r="D137" s="13">
        <v>134.86279999999999</v>
      </c>
      <c r="E137" s="16">
        <v>200038.65409883231</v>
      </c>
    </row>
    <row r="138" spans="1:5" x14ac:dyDescent="0.25">
      <c r="A138" s="13" t="s">
        <v>660</v>
      </c>
      <c r="B138" s="13" t="s">
        <v>144</v>
      </c>
      <c r="C138" s="16">
        <v>16614050</v>
      </c>
      <c r="D138" s="13">
        <v>207.565</v>
      </c>
      <c r="E138" s="16">
        <v>80042.637246163853</v>
      </c>
    </row>
    <row r="139" spans="1:5" x14ac:dyDescent="0.25">
      <c r="A139" s="13" t="s">
        <v>661</v>
      </c>
      <c r="B139" s="13" t="s">
        <v>145</v>
      </c>
      <c r="C139" s="16">
        <v>66721831</v>
      </c>
      <c r="D139" s="16">
        <v>1019.27</v>
      </c>
      <c r="E139" s="16">
        <v>65460.40892010949</v>
      </c>
    </row>
    <row r="140" spans="1:5" x14ac:dyDescent="0.25">
      <c r="A140" s="13" t="s">
        <v>662</v>
      </c>
      <c r="B140" s="13" t="s">
        <v>146</v>
      </c>
      <c r="C140" s="16">
        <v>14144300</v>
      </c>
      <c r="D140" s="13">
        <v>149.0635</v>
      </c>
      <c r="E140" s="16">
        <v>94887.749180718281</v>
      </c>
    </row>
    <row r="141" spans="1:5" x14ac:dyDescent="0.25">
      <c r="A141" s="13" t="s">
        <v>663</v>
      </c>
      <c r="B141" s="13" t="s">
        <v>147</v>
      </c>
      <c r="C141" s="16">
        <v>19382590</v>
      </c>
      <c r="D141" s="13">
        <v>269.15449999999998</v>
      </c>
      <c r="E141" s="16">
        <v>72012.877362258485</v>
      </c>
    </row>
    <row r="142" spans="1:5" x14ac:dyDescent="0.25">
      <c r="A142" s="13" t="s">
        <v>664</v>
      </c>
      <c r="B142" s="13" t="s">
        <v>148</v>
      </c>
      <c r="C142" s="16">
        <v>31140397</v>
      </c>
      <c r="D142" s="13">
        <v>337.36380000000003</v>
      </c>
      <c r="E142" s="16">
        <v>92305.09319612832</v>
      </c>
    </row>
    <row r="143" spans="1:5" x14ac:dyDescent="0.25">
      <c r="A143" s="13" t="s">
        <v>665</v>
      </c>
      <c r="B143" s="13" t="s">
        <v>149</v>
      </c>
      <c r="C143" s="16">
        <v>18860067</v>
      </c>
      <c r="D143" s="13">
        <v>272.19420000000002</v>
      </c>
      <c r="E143" s="16">
        <v>69289.011301489882</v>
      </c>
    </row>
    <row r="144" spans="1:5" x14ac:dyDescent="0.25">
      <c r="A144" s="13" t="s">
        <v>666</v>
      </c>
      <c r="B144" s="13" t="s">
        <v>150</v>
      </c>
      <c r="C144" s="16">
        <v>9406953</v>
      </c>
      <c r="D144" s="13">
        <v>105.7664</v>
      </c>
      <c r="E144" s="16">
        <v>88940.845107709058</v>
      </c>
    </row>
    <row r="145" spans="1:5" x14ac:dyDescent="0.25">
      <c r="A145" s="13" t="s">
        <v>667</v>
      </c>
      <c r="B145" s="13" t="s">
        <v>151</v>
      </c>
      <c r="C145" s="16">
        <v>6690584</v>
      </c>
      <c r="D145" s="13">
        <v>125.60980000000001</v>
      </c>
      <c r="E145" s="16">
        <v>53264.82487831363</v>
      </c>
    </row>
    <row r="146" spans="1:5" x14ac:dyDescent="0.25">
      <c r="A146" s="13" t="s">
        <v>668</v>
      </c>
      <c r="B146" s="13" t="s">
        <v>152</v>
      </c>
      <c r="C146" s="16">
        <v>95925366</v>
      </c>
      <c r="D146" s="16">
        <v>1207.1551999999999</v>
      </c>
      <c r="E146" s="16">
        <v>79463.987729166896</v>
      </c>
    </row>
    <row r="147" spans="1:5" x14ac:dyDescent="0.25">
      <c r="A147" s="13" t="s">
        <v>669</v>
      </c>
      <c r="B147" s="13" t="s">
        <v>153</v>
      </c>
      <c r="C147" s="16">
        <v>46795834</v>
      </c>
      <c r="D147" s="13">
        <v>931.34760000000006</v>
      </c>
      <c r="E147" s="16">
        <v>50245.294023412949</v>
      </c>
    </row>
    <row r="148" spans="1:5" x14ac:dyDescent="0.25">
      <c r="A148" s="13" t="s">
        <v>670</v>
      </c>
      <c r="B148" s="13" t="s">
        <v>154</v>
      </c>
      <c r="C148" s="16">
        <v>47285658</v>
      </c>
      <c r="D148" s="13">
        <v>539.39970000000005</v>
      </c>
      <c r="E148" s="16">
        <v>87663.485908501607</v>
      </c>
    </row>
    <row r="149" spans="1:5" x14ac:dyDescent="0.25">
      <c r="A149" s="13" t="s">
        <v>671</v>
      </c>
      <c r="B149" s="13" t="s">
        <v>155</v>
      </c>
      <c r="C149" s="16">
        <v>22589801</v>
      </c>
      <c r="D149" s="13">
        <v>496.57229999999998</v>
      </c>
      <c r="E149" s="16">
        <v>45491.464183564007</v>
      </c>
    </row>
    <row r="150" spans="1:5" x14ac:dyDescent="0.25">
      <c r="A150" s="13" t="s">
        <v>672</v>
      </c>
      <c r="B150" s="13" t="s">
        <v>156</v>
      </c>
      <c r="C150" s="16">
        <v>13534437</v>
      </c>
      <c r="D150" s="13">
        <v>303.28129999999999</v>
      </c>
      <c r="E150" s="16">
        <v>44626.678268656855</v>
      </c>
    </row>
    <row r="151" spans="1:5" x14ac:dyDescent="0.25">
      <c r="A151" s="13" t="s">
        <v>673</v>
      </c>
      <c r="B151" s="13" t="s">
        <v>157</v>
      </c>
      <c r="C151" s="16">
        <v>50856829</v>
      </c>
      <c r="D151" s="13">
        <v>733.63840000000005</v>
      </c>
      <c r="E151" s="16">
        <v>69321.383668030452</v>
      </c>
    </row>
    <row r="152" spans="1:5" x14ac:dyDescent="0.25">
      <c r="A152" s="13" t="s">
        <v>674</v>
      </c>
      <c r="B152" s="13" t="s">
        <v>158</v>
      </c>
      <c r="C152" s="16">
        <v>15459914</v>
      </c>
      <c r="D152" s="13">
        <v>234.08170000000001</v>
      </c>
      <c r="E152" s="16">
        <v>66044.949263440925</v>
      </c>
    </row>
    <row r="153" spans="1:5" x14ac:dyDescent="0.25">
      <c r="A153" s="13" t="s">
        <v>675</v>
      </c>
      <c r="B153" s="13" t="s">
        <v>159</v>
      </c>
      <c r="C153" s="16">
        <v>95087376</v>
      </c>
      <c r="D153" s="16">
        <v>1828.0468000000001</v>
      </c>
      <c r="E153" s="16">
        <v>52015.832417419508</v>
      </c>
    </row>
    <row r="154" spans="1:5" x14ac:dyDescent="0.25">
      <c r="A154" s="13" t="s">
        <v>676</v>
      </c>
      <c r="B154" s="13" t="s">
        <v>160</v>
      </c>
      <c r="C154" s="16">
        <v>29891868</v>
      </c>
      <c r="D154" s="13">
        <v>166.66659999999999</v>
      </c>
      <c r="E154" s="16">
        <v>179351.27974051191</v>
      </c>
    </row>
    <row r="155" spans="1:5" x14ac:dyDescent="0.25">
      <c r="A155" s="13" t="s">
        <v>677</v>
      </c>
      <c r="B155" s="13" t="s">
        <v>161</v>
      </c>
      <c r="C155" s="16">
        <v>315005767</v>
      </c>
      <c r="D155" s="16">
        <v>3093.5221000000001</v>
      </c>
      <c r="E155" s="16">
        <v>101827.54698923921</v>
      </c>
    </row>
    <row r="156" spans="1:5" x14ac:dyDescent="0.25">
      <c r="A156" s="13" t="s">
        <v>678</v>
      </c>
      <c r="B156" s="13" t="s">
        <v>162</v>
      </c>
      <c r="C156" s="16">
        <v>300061599</v>
      </c>
      <c r="D156" s="16">
        <v>2979.7305999999999</v>
      </c>
      <c r="E156" s="16">
        <v>100700.91537805465</v>
      </c>
    </row>
    <row r="157" spans="1:5" x14ac:dyDescent="0.25">
      <c r="A157" s="13" t="s">
        <v>679</v>
      </c>
      <c r="B157" s="13" t="s">
        <v>163</v>
      </c>
      <c r="C157" s="16">
        <v>36489332</v>
      </c>
      <c r="D157" s="13">
        <v>443.18790000000001</v>
      </c>
      <c r="E157" s="16">
        <v>82333.773101657323</v>
      </c>
    </row>
    <row r="158" spans="1:5" x14ac:dyDescent="0.25">
      <c r="A158" s="13" t="s">
        <v>680</v>
      </c>
      <c r="B158" s="13" t="s">
        <v>164</v>
      </c>
      <c r="C158" s="16">
        <v>24783997</v>
      </c>
      <c r="D158" s="13">
        <v>311.93529999999998</v>
      </c>
      <c r="E158" s="16">
        <v>79452.363999842273</v>
      </c>
    </row>
    <row r="159" spans="1:5" x14ac:dyDescent="0.25">
      <c r="A159" s="13" t="s">
        <v>681</v>
      </c>
      <c r="B159" s="13" t="s">
        <v>165</v>
      </c>
      <c r="C159" s="16">
        <v>11377368</v>
      </c>
      <c r="D159" s="13">
        <v>104.1542</v>
      </c>
      <c r="E159" s="16">
        <v>109235.80614127898</v>
      </c>
    </row>
    <row r="160" spans="1:5" x14ac:dyDescent="0.25">
      <c r="A160" s="13" t="s">
        <v>682</v>
      </c>
      <c r="B160" s="13" t="s">
        <v>166</v>
      </c>
      <c r="C160" s="16">
        <v>139469555</v>
      </c>
      <c r="D160" s="16">
        <v>2015.5654999999999</v>
      </c>
      <c r="E160" s="16">
        <v>69196.240459563342</v>
      </c>
    </row>
    <row r="161" spans="1:5" x14ac:dyDescent="0.25">
      <c r="A161" s="13" t="s">
        <v>683</v>
      </c>
      <c r="B161" s="13" t="s">
        <v>1577</v>
      </c>
      <c r="C161" s="16">
        <v>158759206</v>
      </c>
      <c r="D161" s="16">
        <v>1899.9646</v>
      </c>
      <c r="E161" s="16">
        <v>83559.033678838008</v>
      </c>
    </row>
    <row r="162" spans="1:5" x14ac:dyDescent="0.25">
      <c r="A162" s="13" t="s">
        <v>684</v>
      </c>
      <c r="B162" s="13" t="s">
        <v>168</v>
      </c>
      <c r="C162" s="16">
        <v>34632801</v>
      </c>
      <c r="D162" s="13">
        <v>476.15559999999999</v>
      </c>
      <c r="E162" s="16">
        <v>72734.209153478398</v>
      </c>
    </row>
    <row r="163" spans="1:5" x14ac:dyDescent="0.25">
      <c r="A163" s="13" t="s">
        <v>685</v>
      </c>
      <c r="B163" s="13" t="s">
        <v>169</v>
      </c>
      <c r="C163" s="16">
        <v>749986943</v>
      </c>
      <c r="D163" s="16">
        <v>3655.6985</v>
      </c>
      <c r="E163" s="16">
        <v>205155.5791594958</v>
      </c>
    </row>
    <row r="164" spans="1:5" x14ac:dyDescent="0.25">
      <c r="A164" s="13" t="s">
        <v>686</v>
      </c>
      <c r="B164" s="13" t="s">
        <v>170</v>
      </c>
      <c r="C164" s="16">
        <v>155586068</v>
      </c>
      <c r="D164" s="16">
        <v>1753.8110999999999</v>
      </c>
      <c r="E164" s="16">
        <v>88713.127656678655</v>
      </c>
    </row>
    <row r="165" spans="1:5" x14ac:dyDescent="0.25">
      <c r="A165" s="13" t="s">
        <v>687</v>
      </c>
      <c r="B165" s="13" t="s">
        <v>171</v>
      </c>
      <c r="C165" s="16">
        <v>118806056</v>
      </c>
      <c r="D165" s="13">
        <v>921.41279999999995</v>
      </c>
      <c r="E165" s="16">
        <v>128939.01191735128</v>
      </c>
    </row>
    <row r="166" spans="1:5" x14ac:dyDescent="0.25">
      <c r="A166" s="13" t="s">
        <v>688</v>
      </c>
      <c r="B166" s="13" t="s">
        <v>172</v>
      </c>
      <c r="C166" s="16">
        <v>46455939</v>
      </c>
      <c r="D166" s="13">
        <v>310.98489999999998</v>
      </c>
      <c r="E166" s="16">
        <v>149383.26266001983</v>
      </c>
    </row>
    <row r="167" spans="1:5" x14ac:dyDescent="0.25">
      <c r="A167" s="13" t="s">
        <v>689</v>
      </c>
      <c r="B167" s="13" t="s">
        <v>173</v>
      </c>
      <c r="C167" s="16">
        <v>25629704</v>
      </c>
      <c r="D167" s="13">
        <v>315.08780000000002</v>
      </c>
      <c r="E167" s="16">
        <v>81341.467362430398</v>
      </c>
    </row>
    <row r="168" spans="1:5" x14ac:dyDescent="0.25">
      <c r="A168" s="13" t="s">
        <v>690</v>
      </c>
      <c r="B168" s="13" t="s">
        <v>174</v>
      </c>
      <c r="C168" s="16">
        <v>36884317</v>
      </c>
      <c r="D168" s="13">
        <v>415.36869999999999</v>
      </c>
      <c r="E168" s="16">
        <v>88798.980279448122</v>
      </c>
    </row>
    <row r="169" spans="1:5" x14ac:dyDescent="0.25">
      <c r="A169" s="13" t="s">
        <v>691</v>
      </c>
      <c r="B169" s="13" t="s">
        <v>175</v>
      </c>
      <c r="C169" s="16">
        <v>363336792</v>
      </c>
      <c r="D169" s="16">
        <v>4327.5200999999997</v>
      </c>
      <c r="E169" s="16">
        <v>83959.585075064126</v>
      </c>
    </row>
    <row r="170" spans="1:5" x14ac:dyDescent="0.25">
      <c r="A170" s="13" t="s">
        <v>692</v>
      </c>
      <c r="B170" s="13" t="s">
        <v>176</v>
      </c>
      <c r="C170" s="16">
        <v>345803142</v>
      </c>
      <c r="D170" s="16">
        <v>4564.1652999999997</v>
      </c>
      <c r="E170" s="16">
        <v>75764.815529358675</v>
      </c>
    </row>
    <row r="171" spans="1:5" x14ac:dyDescent="0.25">
      <c r="A171" s="13" t="s">
        <v>693</v>
      </c>
      <c r="B171" s="13" t="s">
        <v>177</v>
      </c>
      <c r="C171" s="16">
        <v>58478883</v>
      </c>
      <c r="D171" s="13">
        <v>661.60670000000005</v>
      </c>
      <c r="E171" s="16">
        <v>88389.194063482122</v>
      </c>
    </row>
    <row r="172" spans="1:5" x14ac:dyDescent="0.25">
      <c r="A172" s="13" t="s">
        <v>694</v>
      </c>
      <c r="B172" s="13" t="s">
        <v>178</v>
      </c>
      <c r="C172" s="16">
        <v>19407270</v>
      </c>
      <c r="D172" s="13">
        <v>246.6523</v>
      </c>
      <c r="E172" s="16">
        <v>78682.704357510549</v>
      </c>
    </row>
    <row r="173" spans="1:5" x14ac:dyDescent="0.25">
      <c r="A173" s="13" t="s">
        <v>695</v>
      </c>
      <c r="B173" s="13" t="s">
        <v>179</v>
      </c>
      <c r="C173" s="16">
        <v>195113602</v>
      </c>
      <c r="D173" s="16">
        <v>1133.2173</v>
      </c>
      <c r="E173" s="16">
        <v>172176.68844271966</v>
      </c>
    </row>
    <row r="174" spans="1:5" x14ac:dyDescent="0.25">
      <c r="A174" s="13" t="s">
        <v>696</v>
      </c>
      <c r="B174" s="13" t="s">
        <v>180</v>
      </c>
      <c r="C174" s="16">
        <v>238216046</v>
      </c>
      <c r="D174" s="16">
        <v>2169.3265000000001</v>
      </c>
      <c r="E174" s="16">
        <v>109811.06163595014</v>
      </c>
    </row>
    <row r="175" spans="1:5" x14ac:dyDescent="0.25">
      <c r="A175" s="13" t="s">
        <v>697</v>
      </c>
      <c r="B175" s="13" t="s">
        <v>181</v>
      </c>
      <c r="C175" s="16">
        <v>3459217539</v>
      </c>
      <c r="D175" s="16">
        <v>24298.610499999999</v>
      </c>
      <c r="E175" s="16">
        <v>142362.77169017546</v>
      </c>
    </row>
    <row r="176" spans="1:5" x14ac:dyDescent="0.25">
      <c r="A176" s="13" t="s">
        <v>698</v>
      </c>
      <c r="B176" s="13" t="s">
        <v>182</v>
      </c>
      <c r="C176" s="16">
        <v>66412767</v>
      </c>
      <c r="D176" s="16">
        <v>1062.4041999999999</v>
      </c>
      <c r="E176" s="16">
        <v>62511.77000241528</v>
      </c>
    </row>
    <row r="177" spans="1:5" x14ac:dyDescent="0.25">
      <c r="A177" s="13" t="s">
        <v>699</v>
      </c>
      <c r="B177" s="13" t="s">
        <v>1578</v>
      </c>
      <c r="C177" s="16">
        <v>10825324</v>
      </c>
      <c r="D177" s="13">
        <v>109.5498</v>
      </c>
      <c r="E177" s="16">
        <v>98816.465205778557</v>
      </c>
    </row>
    <row r="178" spans="1:5" x14ac:dyDescent="0.25">
      <c r="A178" s="13" t="s">
        <v>700</v>
      </c>
      <c r="B178" s="13" t="s">
        <v>184</v>
      </c>
      <c r="C178" s="16">
        <v>4268653</v>
      </c>
      <c r="D178" s="13">
        <v>50.853999999999999</v>
      </c>
      <c r="E178" s="16">
        <v>83939.375467023245</v>
      </c>
    </row>
    <row r="179" spans="1:5" x14ac:dyDescent="0.25">
      <c r="A179" s="13" t="s">
        <v>701</v>
      </c>
      <c r="B179" s="13" t="s">
        <v>185</v>
      </c>
      <c r="C179" s="16">
        <v>7874823</v>
      </c>
      <c r="D179" s="13">
        <v>61.987400000000001</v>
      </c>
      <c r="E179" s="16">
        <v>127039.09181543345</v>
      </c>
    </row>
    <row r="180" spans="1:5" x14ac:dyDescent="0.25">
      <c r="A180" s="13" t="s">
        <v>702</v>
      </c>
      <c r="B180" s="13" t="s">
        <v>186</v>
      </c>
      <c r="C180" s="16">
        <v>6010830</v>
      </c>
      <c r="D180" s="13">
        <v>54.043799999999997</v>
      </c>
      <c r="E180" s="16">
        <v>111221.45370976874</v>
      </c>
    </row>
    <row r="181" spans="1:5" x14ac:dyDescent="0.25">
      <c r="A181" s="13" t="s">
        <v>703</v>
      </c>
      <c r="B181" s="13" t="s">
        <v>187</v>
      </c>
      <c r="C181" s="16">
        <v>75266730</v>
      </c>
      <c r="D181" s="16">
        <v>1072.5826999999999</v>
      </c>
      <c r="E181" s="16">
        <v>70173.358194197994</v>
      </c>
    </row>
    <row r="182" spans="1:5" x14ac:dyDescent="0.25">
      <c r="A182" s="13" t="s">
        <v>704</v>
      </c>
      <c r="B182" s="13" t="s">
        <v>188</v>
      </c>
      <c r="C182" s="16">
        <v>6023111</v>
      </c>
      <c r="D182" s="13">
        <v>71.697599999999994</v>
      </c>
      <c r="E182" s="16">
        <v>84007.149472227815</v>
      </c>
    </row>
    <row r="183" spans="1:5" x14ac:dyDescent="0.25">
      <c r="A183" s="13" t="s">
        <v>705</v>
      </c>
      <c r="B183" s="13" t="s">
        <v>189</v>
      </c>
      <c r="C183" s="16">
        <v>64493280</v>
      </c>
      <c r="D183" s="13">
        <v>833.97069999999997</v>
      </c>
      <c r="E183" s="16">
        <v>77332.788789821992</v>
      </c>
    </row>
    <row r="184" spans="1:5" x14ac:dyDescent="0.25">
      <c r="A184" s="13" t="s">
        <v>706</v>
      </c>
      <c r="B184" s="13" t="s">
        <v>190</v>
      </c>
      <c r="C184" s="16">
        <v>19867150</v>
      </c>
      <c r="D184" s="13">
        <v>203.87889999999999</v>
      </c>
      <c r="E184" s="16">
        <v>97445.836719739033</v>
      </c>
    </row>
    <row r="185" spans="1:5" x14ac:dyDescent="0.25">
      <c r="A185" s="13" t="s">
        <v>707</v>
      </c>
      <c r="B185" s="13" t="s">
        <v>191</v>
      </c>
      <c r="C185" s="16">
        <v>11796153</v>
      </c>
      <c r="D185" s="13">
        <v>120.03060000000001</v>
      </c>
      <c r="E185" s="16">
        <v>98276.214565285845</v>
      </c>
    </row>
    <row r="186" spans="1:5" x14ac:dyDescent="0.25">
      <c r="A186" s="13" t="s">
        <v>708</v>
      </c>
      <c r="B186" s="13" t="s">
        <v>192</v>
      </c>
      <c r="C186" s="16">
        <v>7982915</v>
      </c>
      <c r="D186" s="13">
        <v>82.5428</v>
      </c>
      <c r="E186" s="16">
        <v>96712.432822729548</v>
      </c>
    </row>
    <row r="187" spans="1:5" x14ac:dyDescent="0.25">
      <c r="A187" s="13" t="s">
        <v>709</v>
      </c>
      <c r="B187" s="13" t="s">
        <v>193</v>
      </c>
      <c r="C187" s="16">
        <v>45699198</v>
      </c>
      <c r="D187" s="13">
        <v>644.61310000000003</v>
      </c>
      <c r="E187" s="16">
        <v>70893.995173228715</v>
      </c>
    </row>
    <row r="188" spans="1:5" x14ac:dyDescent="0.25">
      <c r="A188" s="13" t="s">
        <v>710</v>
      </c>
      <c r="B188" s="13" t="s">
        <v>194</v>
      </c>
      <c r="C188" s="16">
        <v>9822433</v>
      </c>
      <c r="D188" s="13">
        <v>78.772900000000007</v>
      </c>
      <c r="E188" s="16">
        <v>124693.04798985437</v>
      </c>
    </row>
    <row r="189" spans="1:5" x14ac:dyDescent="0.25">
      <c r="A189" s="13" t="s">
        <v>711</v>
      </c>
      <c r="B189" s="13" t="s">
        <v>195</v>
      </c>
      <c r="C189" s="16">
        <v>10568994</v>
      </c>
      <c r="D189" s="13">
        <v>117.2744</v>
      </c>
      <c r="E189" s="16">
        <v>90121.919191230147</v>
      </c>
    </row>
    <row r="190" spans="1:5" x14ac:dyDescent="0.25">
      <c r="A190" s="13" t="s">
        <v>712</v>
      </c>
      <c r="B190" s="13" t="s">
        <v>196</v>
      </c>
      <c r="C190" s="16">
        <v>15817571</v>
      </c>
      <c r="D190" s="13">
        <v>130.8991</v>
      </c>
      <c r="E190" s="16">
        <v>120837.88964171641</v>
      </c>
    </row>
    <row r="191" spans="1:5" x14ac:dyDescent="0.25">
      <c r="A191" s="13" t="s">
        <v>713</v>
      </c>
      <c r="B191" s="13" t="s">
        <v>197</v>
      </c>
      <c r="C191" s="16">
        <v>16642300</v>
      </c>
      <c r="D191" s="13">
        <v>60.594700000000003</v>
      </c>
      <c r="E191" s="16">
        <v>274649.43303622265</v>
      </c>
    </row>
    <row r="192" spans="1:5" x14ac:dyDescent="0.25">
      <c r="A192" s="13" t="s">
        <v>714</v>
      </c>
      <c r="B192" s="13" t="s">
        <v>198</v>
      </c>
      <c r="C192" s="16">
        <v>11021275</v>
      </c>
      <c r="D192" s="13">
        <v>119.2664</v>
      </c>
      <c r="E192" s="16">
        <v>92408.884648149018</v>
      </c>
    </row>
    <row r="193" spans="1:5" x14ac:dyDescent="0.25">
      <c r="A193" s="13" t="s">
        <v>715</v>
      </c>
      <c r="B193" s="13" t="s">
        <v>199</v>
      </c>
      <c r="C193" s="16">
        <v>162894456</v>
      </c>
      <c r="D193" s="16">
        <v>1516.7114999999999</v>
      </c>
      <c r="E193" s="16">
        <v>107399.76323776803</v>
      </c>
    </row>
    <row r="194" spans="1:5" x14ac:dyDescent="0.25">
      <c r="A194" s="13" t="s">
        <v>716</v>
      </c>
      <c r="B194" s="13" t="s">
        <v>200</v>
      </c>
      <c r="C194" s="16">
        <v>44440834</v>
      </c>
      <c r="D194" s="13">
        <v>700.17110000000002</v>
      </c>
      <c r="E194" s="16">
        <v>63471.391492736562</v>
      </c>
    </row>
    <row r="195" spans="1:5" x14ac:dyDescent="0.25">
      <c r="A195" s="13" t="s">
        <v>717</v>
      </c>
      <c r="B195" s="13" t="s">
        <v>201</v>
      </c>
      <c r="C195" s="16">
        <v>38204185</v>
      </c>
      <c r="D195" s="13">
        <v>294.3519</v>
      </c>
      <c r="E195" s="16">
        <v>129790.85577500943</v>
      </c>
    </row>
    <row r="196" spans="1:5" x14ac:dyDescent="0.25">
      <c r="A196" s="13" t="s">
        <v>718</v>
      </c>
      <c r="B196" s="13" t="s">
        <v>202</v>
      </c>
      <c r="C196" s="16">
        <v>24115405</v>
      </c>
      <c r="D196" s="13">
        <v>304.0994</v>
      </c>
      <c r="E196" s="16">
        <v>79301.060771576667</v>
      </c>
    </row>
    <row r="197" spans="1:5" x14ac:dyDescent="0.25">
      <c r="A197" s="13" t="s">
        <v>719</v>
      </c>
      <c r="B197" s="13" t="s">
        <v>203</v>
      </c>
      <c r="C197" s="16">
        <v>42258451</v>
      </c>
      <c r="D197" s="13">
        <v>231.76669999999999</v>
      </c>
      <c r="E197" s="16">
        <v>182331.84922596734</v>
      </c>
    </row>
    <row r="198" spans="1:5" x14ac:dyDescent="0.25">
      <c r="A198" s="13" t="s">
        <v>720</v>
      </c>
      <c r="B198" s="13" t="s">
        <v>204</v>
      </c>
      <c r="C198" s="16">
        <v>28753816</v>
      </c>
      <c r="D198" s="13">
        <v>65.154799999999994</v>
      </c>
      <c r="E198" s="16">
        <v>441315.3904240363</v>
      </c>
    </row>
    <row r="199" spans="1:5" x14ac:dyDescent="0.25">
      <c r="A199" s="13" t="s">
        <v>721</v>
      </c>
      <c r="B199" s="13" t="s">
        <v>205</v>
      </c>
      <c r="C199" s="16">
        <v>34447429</v>
      </c>
      <c r="D199" s="13">
        <v>251.11699999999999</v>
      </c>
      <c r="E199" s="16">
        <v>137176.81001286252</v>
      </c>
    </row>
    <row r="200" spans="1:5" x14ac:dyDescent="0.25">
      <c r="A200" s="13" t="s">
        <v>722</v>
      </c>
      <c r="B200" s="13" t="s">
        <v>206</v>
      </c>
      <c r="C200" s="16">
        <v>35726180</v>
      </c>
      <c r="D200" s="13">
        <v>259.89319999999998</v>
      </c>
      <c r="E200" s="16">
        <v>137464.85094646571</v>
      </c>
    </row>
    <row r="201" spans="1:5" x14ac:dyDescent="0.25">
      <c r="A201" s="13" t="s">
        <v>723</v>
      </c>
      <c r="B201" s="13" t="s">
        <v>207</v>
      </c>
      <c r="C201" s="16">
        <v>27592391</v>
      </c>
      <c r="D201" s="13">
        <v>396.78129999999999</v>
      </c>
      <c r="E201" s="16">
        <v>69540.552944405397</v>
      </c>
    </row>
    <row r="202" spans="1:5" x14ac:dyDescent="0.25">
      <c r="A202" s="13" t="s">
        <v>724</v>
      </c>
      <c r="B202" s="13" t="s">
        <v>208</v>
      </c>
      <c r="C202" s="16">
        <v>51841633</v>
      </c>
      <c r="D202" s="13">
        <v>561.17399999999998</v>
      </c>
      <c r="E202" s="16">
        <v>92380.675156012221</v>
      </c>
    </row>
    <row r="203" spans="1:5" x14ac:dyDescent="0.25">
      <c r="A203" s="13" t="s">
        <v>725</v>
      </c>
      <c r="B203" s="13" t="s">
        <v>209</v>
      </c>
      <c r="C203" s="16">
        <v>25895869</v>
      </c>
      <c r="D203" s="13">
        <v>269.36840000000001</v>
      </c>
      <c r="E203" s="16">
        <v>96135.511812075943</v>
      </c>
    </row>
    <row r="204" spans="1:5" x14ac:dyDescent="0.25">
      <c r="A204" s="13" t="s">
        <v>726</v>
      </c>
      <c r="B204" s="13" t="s">
        <v>210</v>
      </c>
      <c r="C204" s="16">
        <v>24523250</v>
      </c>
      <c r="D204" s="13">
        <v>254.56890000000001</v>
      </c>
      <c r="E204" s="16">
        <v>96332.466377471865</v>
      </c>
    </row>
    <row r="205" spans="1:5" x14ac:dyDescent="0.25">
      <c r="A205" s="13" t="s">
        <v>727</v>
      </c>
      <c r="B205" s="13" t="s">
        <v>211</v>
      </c>
      <c r="C205" s="16">
        <v>70248194</v>
      </c>
      <c r="D205" s="16">
        <v>1120.1452999999999</v>
      </c>
      <c r="E205" s="16">
        <v>62713.465833405724</v>
      </c>
    </row>
    <row r="206" spans="1:5" x14ac:dyDescent="0.25">
      <c r="A206" s="13" t="s">
        <v>728</v>
      </c>
      <c r="B206" s="13" t="s">
        <v>212</v>
      </c>
      <c r="C206" s="16">
        <v>71576654</v>
      </c>
      <c r="D206" s="16">
        <v>1241.3262</v>
      </c>
      <c r="E206" s="16">
        <v>57661.438226309896</v>
      </c>
    </row>
    <row r="207" spans="1:5" x14ac:dyDescent="0.25">
      <c r="A207" s="13" t="s">
        <v>729</v>
      </c>
      <c r="B207" s="13" t="s">
        <v>213</v>
      </c>
      <c r="C207" s="16">
        <v>40596460</v>
      </c>
      <c r="D207" s="13">
        <v>523.79269999999997</v>
      </c>
      <c r="E207" s="16">
        <v>77504.822041238833</v>
      </c>
    </row>
    <row r="208" spans="1:5" x14ac:dyDescent="0.25">
      <c r="A208" s="13" t="s">
        <v>730</v>
      </c>
      <c r="B208" s="13" t="s">
        <v>214</v>
      </c>
      <c r="C208" s="16">
        <v>156823020</v>
      </c>
      <c r="D208" s="16">
        <v>1975.4536000000001</v>
      </c>
      <c r="E208" s="16">
        <v>79385.828146001499</v>
      </c>
    </row>
    <row r="209" spans="1:5" x14ac:dyDescent="0.25">
      <c r="A209" s="13" t="s">
        <v>731</v>
      </c>
      <c r="B209" s="13" t="s">
        <v>215</v>
      </c>
      <c r="C209" s="16">
        <v>28370200</v>
      </c>
      <c r="D209" s="13">
        <v>326.35550000000001</v>
      </c>
      <c r="E209" s="16">
        <v>86930.356620311286</v>
      </c>
    </row>
    <row r="210" spans="1:5" x14ac:dyDescent="0.25">
      <c r="A210" s="13" t="s">
        <v>732</v>
      </c>
      <c r="B210" s="13" t="s">
        <v>216</v>
      </c>
      <c r="C210" s="16">
        <v>17938780</v>
      </c>
      <c r="D210" s="13">
        <v>299.14</v>
      </c>
      <c r="E210" s="16">
        <v>59967.841144614562</v>
      </c>
    </row>
    <row r="211" spans="1:5" x14ac:dyDescent="0.25">
      <c r="A211" s="13" t="s">
        <v>733</v>
      </c>
      <c r="B211" s="13" t="s">
        <v>217</v>
      </c>
      <c r="C211" s="16">
        <v>47357510</v>
      </c>
      <c r="D211" s="13">
        <v>646.46320000000003</v>
      </c>
      <c r="E211" s="16">
        <v>73256.31219224853</v>
      </c>
    </row>
    <row r="212" spans="1:5" x14ac:dyDescent="0.25">
      <c r="A212" s="13" t="s">
        <v>734</v>
      </c>
      <c r="B212" s="13" t="s">
        <v>218</v>
      </c>
      <c r="C212" s="16">
        <v>31120656</v>
      </c>
      <c r="D212" s="13">
        <v>285.1078</v>
      </c>
      <c r="E212" s="16">
        <v>109153.99718983486</v>
      </c>
    </row>
    <row r="213" spans="1:5" x14ac:dyDescent="0.25">
      <c r="A213" s="13" t="s">
        <v>735</v>
      </c>
      <c r="B213" s="13" t="s">
        <v>219</v>
      </c>
      <c r="C213" s="16">
        <v>52469635</v>
      </c>
      <c r="D213" s="13">
        <v>944.86869999999999</v>
      </c>
      <c r="E213" s="16">
        <v>55531.138876756107</v>
      </c>
    </row>
    <row r="214" spans="1:5" x14ac:dyDescent="0.25">
      <c r="A214" s="13" t="s">
        <v>736</v>
      </c>
      <c r="B214" s="13" t="s">
        <v>220</v>
      </c>
      <c r="C214" s="16">
        <v>10705880</v>
      </c>
      <c r="D214" s="13">
        <v>170.298</v>
      </c>
      <c r="E214" s="16">
        <v>62865.565068292053</v>
      </c>
    </row>
    <row r="215" spans="1:5" x14ac:dyDescent="0.25">
      <c r="A215" s="13" t="s">
        <v>737</v>
      </c>
      <c r="B215" s="13" t="s">
        <v>221</v>
      </c>
      <c r="C215" s="16">
        <v>94657224</v>
      </c>
      <c r="D215" s="13">
        <v>366.5086</v>
      </c>
      <c r="E215" s="16">
        <v>258267.40218374139</v>
      </c>
    </row>
    <row r="216" spans="1:5" x14ac:dyDescent="0.25">
      <c r="A216" s="13" t="s">
        <v>738</v>
      </c>
      <c r="B216" s="13" t="s">
        <v>222</v>
      </c>
      <c r="C216" s="16">
        <v>272465129</v>
      </c>
      <c r="D216" s="16">
        <v>4795.5275000000001</v>
      </c>
      <c r="E216" s="16">
        <v>56816.50850714546</v>
      </c>
    </row>
    <row r="217" spans="1:5" x14ac:dyDescent="0.25">
      <c r="A217" s="13" t="s">
        <v>739</v>
      </c>
      <c r="B217" s="13" t="s">
        <v>223</v>
      </c>
      <c r="C217" s="16">
        <v>1326627780</v>
      </c>
      <c r="D217" s="16">
        <v>14004.741</v>
      </c>
      <c r="E217" s="16">
        <v>94727.048504502862</v>
      </c>
    </row>
    <row r="218" spans="1:5" x14ac:dyDescent="0.25">
      <c r="A218" s="13" t="s">
        <v>740</v>
      </c>
      <c r="B218" s="13" t="s">
        <v>224</v>
      </c>
      <c r="C218" s="16">
        <v>278668851</v>
      </c>
      <c r="D218" s="16">
        <v>4056.9326999999998</v>
      </c>
      <c r="E218" s="16">
        <v>68689.542471335546</v>
      </c>
    </row>
    <row r="219" spans="1:5" x14ac:dyDescent="0.25">
      <c r="A219" s="13" t="s">
        <v>741</v>
      </c>
      <c r="B219" s="13" t="s">
        <v>225</v>
      </c>
      <c r="C219" s="16">
        <v>127096760</v>
      </c>
      <c r="D219" s="16">
        <v>1916.8396</v>
      </c>
      <c r="E219" s="16">
        <v>66305.370569347593</v>
      </c>
    </row>
    <row r="220" spans="1:5" x14ac:dyDescent="0.25">
      <c r="A220" s="13" t="s">
        <v>742</v>
      </c>
      <c r="B220" s="13" t="s">
        <v>226</v>
      </c>
      <c r="C220" s="16">
        <v>1828705105</v>
      </c>
      <c r="D220" s="16">
        <v>17212.730100000001</v>
      </c>
      <c r="E220" s="16">
        <v>106241.43261271493</v>
      </c>
    </row>
    <row r="221" spans="1:5" x14ac:dyDescent="0.25">
      <c r="A221" s="13" t="s">
        <v>743</v>
      </c>
      <c r="B221" s="13" t="s">
        <v>227</v>
      </c>
      <c r="C221" s="16">
        <v>371824233</v>
      </c>
      <c r="D221" s="16">
        <v>5594.1387000000004</v>
      </c>
      <c r="E221" s="16">
        <v>66466.752603041459</v>
      </c>
    </row>
    <row r="222" spans="1:5" x14ac:dyDescent="0.25">
      <c r="A222" s="13" t="s">
        <v>744</v>
      </c>
      <c r="B222" s="13" t="s">
        <v>228</v>
      </c>
      <c r="C222" s="16">
        <v>626477314</v>
      </c>
      <c r="D222" s="16">
        <v>8636.7615000000005</v>
      </c>
      <c r="E222" s="16">
        <v>72536.136837864513</v>
      </c>
    </row>
    <row r="223" spans="1:5" x14ac:dyDescent="0.25">
      <c r="A223" s="13" t="s">
        <v>745</v>
      </c>
      <c r="B223" s="13" t="s">
        <v>229</v>
      </c>
      <c r="C223" s="16">
        <v>433324205</v>
      </c>
      <c r="D223" s="16">
        <v>3898.4079000000002</v>
      </c>
      <c r="E223" s="16">
        <v>111154.14705577628</v>
      </c>
    </row>
    <row r="224" spans="1:5" x14ac:dyDescent="0.25">
      <c r="A224" s="13" t="s">
        <v>746</v>
      </c>
      <c r="B224" s="13" t="s">
        <v>230</v>
      </c>
      <c r="C224" s="16">
        <v>53278913</v>
      </c>
      <c r="D224" s="13">
        <v>566.97260000000006</v>
      </c>
      <c r="E224" s="16">
        <v>93970.87795777079</v>
      </c>
    </row>
    <row r="225" spans="1:5" x14ac:dyDescent="0.25">
      <c r="A225" s="13" t="s">
        <v>747</v>
      </c>
      <c r="B225" s="13" t="s">
        <v>231</v>
      </c>
      <c r="C225" s="16">
        <v>944302842</v>
      </c>
      <c r="D225" s="16">
        <v>13590.9689</v>
      </c>
      <c r="E225" s="16">
        <v>69480.170909669294</v>
      </c>
    </row>
    <row r="226" spans="1:5" x14ac:dyDescent="0.25">
      <c r="A226" s="13" t="s">
        <v>748</v>
      </c>
      <c r="B226" s="13" t="s">
        <v>1588</v>
      </c>
      <c r="C226" s="16">
        <v>2898763386</v>
      </c>
      <c r="D226" s="16">
        <v>25846.741699999999</v>
      </c>
      <c r="E226" s="16">
        <v>112151.98494439243</v>
      </c>
    </row>
    <row r="227" spans="1:5" x14ac:dyDescent="0.25">
      <c r="A227" s="13" t="s">
        <v>749</v>
      </c>
      <c r="B227" s="13" t="s">
        <v>233</v>
      </c>
      <c r="C227" s="16">
        <v>402732220</v>
      </c>
      <c r="D227" s="16">
        <v>2337.4998000000001</v>
      </c>
      <c r="E227" s="16">
        <v>172291.87356508008</v>
      </c>
    </row>
    <row r="228" spans="1:5" x14ac:dyDescent="0.25">
      <c r="A228" s="13" t="s">
        <v>750</v>
      </c>
      <c r="B228" s="13" t="s">
        <v>234</v>
      </c>
      <c r="C228" s="16">
        <v>236526301</v>
      </c>
      <c r="D228" s="16">
        <v>3060.2280999999998</v>
      </c>
      <c r="E228" s="16">
        <v>77290.415377860234</v>
      </c>
    </row>
    <row r="229" spans="1:5" x14ac:dyDescent="0.25">
      <c r="A229" s="13" t="s">
        <v>751</v>
      </c>
      <c r="B229" s="13" t="s">
        <v>235</v>
      </c>
      <c r="C229" s="16">
        <v>21462063</v>
      </c>
      <c r="D229" s="13">
        <v>197.17869999999999</v>
      </c>
      <c r="E229" s="16">
        <v>108845.74753763972</v>
      </c>
    </row>
    <row r="230" spans="1:5" x14ac:dyDescent="0.25">
      <c r="A230" s="13" t="s">
        <v>752</v>
      </c>
      <c r="B230" s="13" t="s">
        <v>236</v>
      </c>
      <c r="C230" s="16">
        <v>41008613</v>
      </c>
      <c r="D230" s="13">
        <v>423.44959999999998</v>
      </c>
      <c r="E230" s="16">
        <v>96844.141546006897</v>
      </c>
    </row>
    <row r="231" spans="1:5" x14ac:dyDescent="0.25">
      <c r="A231" s="13" t="s">
        <v>753</v>
      </c>
      <c r="B231" s="13" t="s">
        <v>237</v>
      </c>
      <c r="C231" s="16">
        <v>36533212</v>
      </c>
      <c r="D231" s="13">
        <v>821.46640000000002</v>
      </c>
      <c r="E231" s="16">
        <v>44473.166522696483</v>
      </c>
    </row>
    <row r="232" spans="1:5" x14ac:dyDescent="0.25">
      <c r="A232" s="13" t="s">
        <v>754</v>
      </c>
      <c r="B232" s="13" t="s">
        <v>238</v>
      </c>
      <c r="C232" s="16">
        <v>304524938</v>
      </c>
      <c r="D232" s="16">
        <v>4596.1670999999997</v>
      </c>
      <c r="E232" s="16">
        <v>66256.280804063892</v>
      </c>
    </row>
    <row r="233" spans="1:5" x14ac:dyDescent="0.25">
      <c r="A233" s="13" t="s">
        <v>755</v>
      </c>
      <c r="B233" s="13" t="s">
        <v>239</v>
      </c>
      <c r="C233" s="16">
        <v>239668208</v>
      </c>
      <c r="D233" s="16">
        <v>4182.0653000000002</v>
      </c>
      <c r="E233" s="16">
        <v>57308.576219505703</v>
      </c>
    </row>
    <row r="234" spans="1:5" x14ac:dyDescent="0.25">
      <c r="A234" s="13" t="s">
        <v>756</v>
      </c>
      <c r="B234" s="13" t="s">
        <v>240</v>
      </c>
      <c r="C234" s="16">
        <v>886144038</v>
      </c>
      <c r="D234" s="16">
        <v>7208.5564000000004</v>
      </c>
      <c r="E234" s="16">
        <v>122929.47281372453</v>
      </c>
    </row>
    <row r="235" spans="1:5" x14ac:dyDescent="0.25">
      <c r="A235" s="13" t="s">
        <v>757</v>
      </c>
      <c r="B235" s="13" t="s">
        <v>241</v>
      </c>
      <c r="C235" s="16">
        <v>567030164</v>
      </c>
      <c r="D235" s="16">
        <v>6167.5843999999997</v>
      </c>
      <c r="E235" s="16">
        <v>91937.155168885904</v>
      </c>
    </row>
    <row r="236" spans="1:5" x14ac:dyDescent="0.25">
      <c r="A236" s="13" t="s">
        <v>758</v>
      </c>
      <c r="B236" s="13" t="s">
        <v>242</v>
      </c>
      <c r="C236" s="16">
        <v>52195531</v>
      </c>
      <c r="D236" s="13">
        <v>705.47569999999996</v>
      </c>
      <c r="E236" s="16">
        <v>73986.291802821841</v>
      </c>
    </row>
    <row r="237" spans="1:5" x14ac:dyDescent="0.25">
      <c r="A237" s="13" t="s">
        <v>759</v>
      </c>
      <c r="B237" s="13" t="s">
        <v>243</v>
      </c>
      <c r="C237" s="16">
        <v>255337098</v>
      </c>
      <c r="D237" s="16">
        <v>3303.5769</v>
      </c>
      <c r="E237" s="16">
        <v>77291.10165408894</v>
      </c>
    </row>
    <row r="238" spans="1:5" x14ac:dyDescent="0.25">
      <c r="A238" s="13" t="s">
        <v>760</v>
      </c>
      <c r="B238" s="13" t="s">
        <v>244</v>
      </c>
      <c r="C238" s="16">
        <v>151994055</v>
      </c>
      <c r="D238" s="16">
        <v>1568.1168</v>
      </c>
      <c r="E238" s="16">
        <v>96927.763926768719</v>
      </c>
    </row>
    <row r="239" spans="1:5" x14ac:dyDescent="0.25">
      <c r="A239" s="13" t="s">
        <v>761</v>
      </c>
      <c r="B239" s="13" t="s">
        <v>245</v>
      </c>
      <c r="C239" s="16">
        <v>252546071</v>
      </c>
      <c r="D239" s="16">
        <v>2983.2424000000001</v>
      </c>
      <c r="E239" s="16">
        <v>84654.8946206986</v>
      </c>
    </row>
    <row r="240" spans="1:5" x14ac:dyDescent="0.25">
      <c r="A240" s="13" t="s">
        <v>762</v>
      </c>
      <c r="B240" s="13" t="s">
        <v>246</v>
      </c>
      <c r="C240" s="16">
        <v>186288968</v>
      </c>
      <c r="D240" s="13">
        <v>924.92079999999999</v>
      </c>
      <c r="E240" s="16">
        <v>201410.72403172249</v>
      </c>
    </row>
    <row r="241" spans="1:5" x14ac:dyDescent="0.25">
      <c r="A241" s="13" t="s">
        <v>763</v>
      </c>
      <c r="B241" s="13" t="s">
        <v>247</v>
      </c>
      <c r="C241" s="16">
        <v>35234205</v>
      </c>
      <c r="D241" s="13">
        <v>352.87599999999998</v>
      </c>
      <c r="E241" s="16">
        <v>99848.686224056044</v>
      </c>
    </row>
    <row r="242" spans="1:5" x14ac:dyDescent="0.25">
      <c r="A242" s="13" t="s">
        <v>764</v>
      </c>
      <c r="B242" s="13" t="s">
        <v>248</v>
      </c>
      <c r="C242" s="16">
        <v>213761877</v>
      </c>
      <c r="D242" s="16">
        <v>2914.9866999999999</v>
      </c>
      <c r="E242" s="16">
        <v>73332.024808209244</v>
      </c>
    </row>
    <row r="243" spans="1:5" x14ac:dyDescent="0.25">
      <c r="A243" s="13" t="s">
        <v>765</v>
      </c>
      <c r="B243" s="13" t="s">
        <v>249</v>
      </c>
      <c r="C243" s="16">
        <v>885386957</v>
      </c>
      <c r="D243" s="16">
        <v>11042.300300000001</v>
      </c>
      <c r="E243" s="16">
        <v>80181.387296630564</v>
      </c>
    </row>
    <row r="244" spans="1:5" x14ac:dyDescent="0.25">
      <c r="A244" s="13" t="s">
        <v>766</v>
      </c>
      <c r="B244" s="13" t="s">
        <v>250</v>
      </c>
      <c r="C244" s="16">
        <v>59096136</v>
      </c>
      <c r="D244" s="13">
        <v>539.93759999999997</v>
      </c>
      <c r="E244" s="16">
        <v>109449.9364370994</v>
      </c>
    </row>
    <row r="245" spans="1:5" x14ac:dyDescent="0.25">
      <c r="A245" s="13" t="s">
        <v>767</v>
      </c>
      <c r="B245" s="13" t="s">
        <v>251</v>
      </c>
      <c r="C245" s="16">
        <v>184624693</v>
      </c>
      <c r="D245" s="16">
        <v>2719.3128999999999</v>
      </c>
      <c r="E245" s="16">
        <v>67893.876059647271</v>
      </c>
    </row>
    <row r="246" spans="1:5" x14ac:dyDescent="0.25">
      <c r="A246" s="13" t="s">
        <v>768</v>
      </c>
      <c r="B246" s="13" t="s">
        <v>252</v>
      </c>
      <c r="C246" s="16">
        <v>24142542</v>
      </c>
      <c r="D246" s="13">
        <v>250.5556</v>
      </c>
      <c r="E246" s="16">
        <v>96356.026367001978</v>
      </c>
    </row>
    <row r="247" spans="1:5" x14ac:dyDescent="0.25">
      <c r="A247" s="13" t="s">
        <v>769</v>
      </c>
      <c r="B247" s="13" t="s">
        <v>253</v>
      </c>
      <c r="C247" s="16">
        <v>95707892</v>
      </c>
      <c r="D247" s="16">
        <v>1175.9639</v>
      </c>
      <c r="E247" s="16">
        <v>81386.760256841226</v>
      </c>
    </row>
    <row r="248" spans="1:5" x14ac:dyDescent="0.25">
      <c r="A248" s="13" t="s">
        <v>770</v>
      </c>
      <c r="B248" s="13" t="s">
        <v>254</v>
      </c>
      <c r="C248" s="16">
        <v>10063395</v>
      </c>
      <c r="D248" s="13">
        <v>159.9796</v>
      </c>
      <c r="E248" s="16">
        <v>62904.23904047766</v>
      </c>
    </row>
    <row r="249" spans="1:5" x14ac:dyDescent="0.25">
      <c r="A249" s="13" t="s">
        <v>771</v>
      </c>
      <c r="B249" s="13" t="s">
        <v>255</v>
      </c>
      <c r="C249" s="16">
        <v>40226737</v>
      </c>
      <c r="D249" s="13">
        <v>521.37180000000001</v>
      </c>
      <c r="E249" s="16">
        <v>77155.567293819884</v>
      </c>
    </row>
    <row r="250" spans="1:5" x14ac:dyDescent="0.25">
      <c r="A250" s="13" t="s">
        <v>772</v>
      </c>
      <c r="B250" s="13" t="s">
        <v>256</v>
      </c>
      <c r="C250" s="16">
        <v>62815506</v>
      </c>
      <c r="D250" s="16">
        <v>1492.5534</v>
      </c>
      <c r="E250" s="16">
        <v>42085.935417788067</v>
      </c>
    </row>
    <row r="251" spans="1:5" x14ac:dyDescent="0.25">
      <c r="A251" s="13" t="s">
        <v>773</v>
      </c>
      <c r="B251" s="13" t="s">
        <v>257</v>
      </c>
      <c r="C251" s="16">
        <v>16239595</v>
      </c>
      <c r="D251" s="13">
        <v>270.90870000000001</v>
      </c>
      <c r="E251" s="16">
        <v>59944.900256064124</v>
      </c>
    </row>
    <row r="252" spans="1:5" x14ac:dyDescent="0.25">
      <c r="A252" s="13" t="s">
        <v>774</v>
      </c>
      <c r="B252" s="13" t="s">
        <v>258</v>
      </c>
      <c r="C252" s="16">
        <v>282111380</v>
      </c>
      <c r="D252" s="16">
        <v>3128.1424999999999</v>
      </c>
      <c r="E252" s="16">
        <v>90184.951612658318</v>
      </c>
    </row>
    <row r="253" spans="1:5" x14ac:dyDescent="0.25">
      <c r="A253" s="13" t="s">
        <v>775</v>
      </c>
      <c r="B253" s="13" t="s">
        <v>259</v>
      </c>
      <c r="C253" s="16">
        <v>66522950</v>
      </c>
      <c r="D253" s="13">
        <v>461.4083</v>
      </c>
      <c r="E253" s="16">
        <v>144173.71772462697</v>
      </c>
    </row>
    <row r="254" spans="1:5" x14ac:dyDescent="0.25">
      <c r="A254" s="13" t="s">
        <v>776</v>
      </c>
      <c r="B254" s="13" t="s">
        <v>260</v>
      </c>
      <c r="C254" s="16">
        <v>37028187</v>
      </c>
      <c r="D254" s="13">
        <v>703.61210000000005</v>
      </c>
      <c r="E254" s="16">
        <v>52625.853080127526</v>
      </c>
    </row>
    <row r="255" spans="1:5" x14ac:dyDescent="0.25">
      <c r="A255" s="13" t="s">
        <v>777</v>
      </c>
      <c r="B255" s="13" t="s">
        <v>261</v>
      </c>
      <c r="C255" s="16">
        <v>9166282</v>
      </c>
      <c r="D255" s="13">
        <v>86.67</v>
      </c>
      <c r="E255" s="16">
        <v>105760.72458751587</v>
      </c>
    </row>
    <row r="256" spans="1:5" x14ac:dyDescent="0.25">
      <c r="A256" s="13" t="s">
        <v>778</v>
      </c>
      <c r="B256" s="13" t="s">
        <v>262</v>
      </c>
      <c r="C256" s="16">
        <v>309394121</v>
      </c>
      <c r="D256" s="16">
        <v>3962.3346000000001</v>
      </c>
      <c r="E256" s="16">
        <v>78083.794589179815</v>
      </c>
    </row>
    <row r="257" spans="1:5" x14ac:dyDescent="0.25">
      <c r="A257" s="13" t="s">
        <v>779</v>
      </c>
      <c r="B257" s="13" t="s">
        <v>263</v>
      </c>
      <c r="C257" s="16">
        <v>29892925</v>
      </c>
      <c r="D257" s="13">
        <v>551.30740000000003</v>
      </c>
      <c r="E257" s="16">
        <v>54221.882383584911</v>
      </c>
    </row>
    <row r="258" spans="1:5" x14ac:dyDescent="0.25">
      <c r="A258" s="13" t="s">
        <v>780</v>
      </c>
      <c r="B258" s="13" t="s">
        <v>264</v>
      </c>
      <c r="C258" s="16">
        <v>47033429</v>
      </c>
      <c r="D258" s="13">
        <v>414.35680000000002</v>
      </c>
      <c r="E258" s="16">
        <v>113509.48988890734</v>
      </c>
    </row>
    <row r="259" spans="1:5" x14ac:dyDescent="0.25">
      <c r="A259" s="13" t="s">
        <v>781</v>
      </c>
      <c r="B259" s="13" t="s">
        <v>265</v>
      </c>
      <c r="C259" s="16">
        <v>70681428</v>
      </c>
      <c r="D259" s="13">
        <v>915.11779999999999</v>
      </c>
      <c r="E259" s="16">
        <v>77237.518492154777</v>
      </c>
    </row>
    <row r="260" spans="1:5" x14ac:dyDescent="0.25">
      <c r="A260" s="13" t="s">
        <v>782</v>
      </c>
      <c r="B260" s="13" t="s">
        <v>266</v>
      </c>
      <c r="C260" s="16">
        <v>125598095</v>
      </c>
      <c r="D260" s="16">
        <v>1958.3303000000001</v>
      </c>
      <c r="E260" s="16">
        <v>64135.296788289488</v>
      </c>
    </row>
    <row r="261" spans="1:5" x14ac:dyDescent="0.25">
      <c r="A261" s="13" t="s">
        <v>783</v>
      </c>
      <c r="B261" s="13" t="s">
        <v>267</v>
      </c>
      <c r="C261" s="16">
        <v>32780844</v>
      </c>
      <c r="D261" s="13">
        <v>286.99950000000001</v>
      </c>
      <c r="E261" s="16">
        <v>114219.16762921189</v>
      </c>
    </row>
    <row r="262" spans="1:5" x14ac:dyDescent="0.25">
      <c r="A262" s="13" t="s">
        <v>784</v>
      </c>
      <c r="B262" s="13" t="s">
        <v>268</v>
      </c>
      <c r="C262" s="16">
        <v>26338583</v>
      </c>
      <c r="D262" s="13">
        <v>372.61349999999999</v>
      </c>
      <c r="E262" s="16">
        <v>70686.067466691355</v>
      </c>
    </row>
    <row r="263" spans="1:5" x14ac:dyDescent="0.25">
      <c r="A263" s="13" t="s">
        <v>785</v>
      </c>
      <c r="B263" s="13" t="s">
        <v>269</v>
      </c>
      <c r="C263" s="16">
        <v>53843772</v>
      </c>
      <c r="D263" s="13">
        <v>944.13239999999996</v>
      </c>
      <c r="E263" s="16">
        <v>57029.895383317002</v>
      </c>
    </row>
    <row r="264" spans="1:5" x14ac:dyDescent="0.25">
      <c r="A264" s="13" t="s">
        <v>786</v>
      </c>
      <c r="B264" s="13" t="s">
        <v>270</v>
      </c>
      <c r="C264" s="16">
        <v>47870470</v>
      </c>
      <c r="D264" s="13">
        <v>515.68700000000001</v>
      </c>
      <c r="E264" s="16">
        <v>92828.537465555652</v>
      </c>
    </row>
    <row r="265" spans="1:5" x14ac:dyDescent="0.25">
      <c r="A265" s="13" t="s">
        <v>787</v>
      </c>
      <c r="B265" s="13" t="s">
        <v>271</v>
      </c>
      <c r="C265" s="16">
        <v>39127344</v>
      </c>
      <c r="D265" s="13">
        <v>666.29169999999999</v>
      </c>
      <c r="E265" s="16">
        <v>58724.04533930109</v>
      </c>
    </row>
    <row r="266" spans="1:5" x14ac:dyDescent="0.25">
      <c r="A266" s="13" t="s">
        <v>788</v>
      </c>
      <c r="B266" s="13" t="s">
        <v>272</v>
      </c>
      <c r="C266" s="16">
        <v>37753392</v>
      </c>
      <c r="D266" s="13">
        <v>691.98839999999996</v>
      </c>
      <c r="E266" s="16">
        <v>54557.839408868706</v>
      </c>
    </row>
    <row r="267" spans="1:5" x14ac:dyDescent="0.25">
      <c r="A267" s="13" t="s">
        <v>789</v>
      </c>
      <c r="B267" s="13" t="s">
        <v>273</v>
      </c>
      <c r="C267" s="16">
        <v>108757817</v>
      </c>
      <c r="D267" s="16">
        <v>1382.3117999999999</v>
      </c>
      <c r="E267" s="16">
        <v>78678.209214447852</v>
      </c>
    </row>
    <row r="268" spans="1:5" x14ac:dyDescent="0.25">
      <c r="A268" s="13" t="s">
        <v>790</v>
      </c>
      <c r="B268" s="13" t="s">
        <v>274</v>
      </c>
      <c r="C268" s="16">
        <v>111256874</v>
      </c>
      <c r="D268" s="16">
        <v>1898.4027000000001</v>
      </c>
      <c r="E268" s="16">
        <v>58605.518207490961</v>
      </c>
    </row>
    <row r="269" spans="1:5" x14ac:dyDescent="0.25">
      <c r="A269" s="13" t="s">
        <v>791</v>
      </c>
      <c r="B269" s="13" t="s">
        <v>275</v>
      </c>
      <c r="C269" s="16">
        <v>24873545</v>
      </c>
      <c r="D269" s="13">
        <v>381.18790000000001</v>
      </c>
      <c r="E269" s="16">
        <v>65252.713950259174</v>
      </c>
    </row>
    <row r="270" spans="1:5" x14ac:dyDescent="0.25">
      <c r="A270" s="13" t="s">
        <v>792</v>
      </c>
      <c r="B270" s="13" t="s">
        <v>276</v>
      </c>
      <c r="C270" s="16">
        <v>39636630</v>
      </c>
      <c r="D270" s="13">
        <v>468.84629999999999</v>
      </c>
      <c r="E270" s="16">
        <v>84540.77594299028</v>
      </c>
    </row>
    <row r="271" spans="1:5" x14ac:dyDescent="0.25">
      <c r="A271" s="13" t="s">
        <v>793</v>
      </c>
      <c r="B271" s="13" t="s">
        <v>277</v>
      </c>
      <c r="C271" s="16">
        <v>82068062</v>
      </c>
      <c r="D271" s="13">
        <v>881.07410000000004</v>
      </c>
      <c r="E271" s="16">
        <v>93145.470965495406</v>
      </c>
    </row>
    <row r="272" spans="1:5" x14ac:dyDescent="0.25">
      <c r="A272" s="13" t="s">
        <v>794</v>
      </c>
      <c r="B272" s="13" t="s">
        <v>278</v>
      </c>
      <c r="C272" s="16">
        <v>32081697</v>
      </c>
      <c r="D272" s="13">
        <v>386.49810000000002</v>
      </c>
      <c r="E272" s="16">
        <v>83006.092397349421</v>
      </c>
    </row>
    <row r="273" spans="1:5" x14ac:dyDescent="0.25">
      <c r="A273" s="13" t="s">
        <v>795</v>
      </c>
      <c r="B273" s="13" t="s">
        <v>279</v>
      </c>
      <c r="C273" s="16">
        <v>45519447</v>
      </c>
      <c r="D273" s="13">
        <v>743.67849999999999</v>
      </c>
      <c r="E273" s="16">
        <v>61208.502061038474</v>
      </c>
    </row>
    <row r="274" spans="1:5" x14ac:dyDescent="0.25">
      <c r="A274" s="13" t="s">
        <v>796</v>
      </c>
      <c r="B274" s="13" t="s">
        <v>280</v>
      </c>
      <c r="C274" s="16">
        <v>454923510</v>
      </c>
      <c r="D274" s="16">
        <v>5959.1459000000004</v>
      </c>
      <c r="E274" s="16">
        <v>76340.387974055135</v>
      </c>
    </row>
    <row r="275" spans="1:5" x14ac:dyDescent="0.25">
      <c r="A275" s="13" t="s">
        <v>797</v>
      </c>
      <c r="B275" s="13" t="s">
        <v>281</v>
      </c>
      <c r="C275" s="16">
        <v>96749754</v>
      </c>
      <c r="D275" s="16">
        <v>1386.3081</v>
      </c>
      <c r="E275" s="16">
        <v>69789.503502143576</v>
      </c>
    </row>
    <row r="276" spans="1:5" x14ac:dyDescent="0.25">
      <c r="A276" s="13" t="s">
        <v>798</v>
      </c>
      <c r="B276" s="13" t="s">
        <v>282</v>
      </c>
      <c r="C276" s="16">
        <v>18491665</v>
      </c>
      <c r="D276" s="13">
        <v>208.91200000000001</v>
      </c>
      <c r="E276" s="16">
        <v>88514.135138240017</v>
      </c>
    </row>
    <row r="277" spans="1:5" x14ac:dyDescent="0.25">
      <c r="A277" s="13" t="s">
        <v>799</v>
      </c>
      <c r="B277" s="13" t="s">
        <v>283</v>
      </c>
      <c r="C277" s="16">
        <v>11750714</v>
      </c>
      <c r="D277" s="13">
        <v>113.25620000000001</v>
      </c>
      <c r="E277" s="16">
        <v>103753.38392070367</v>
      </c>
    </row>
    <row r="278" spans="1:5" x14ac:dyDescent="0.25">
      <c r="A278" s="13" t="s">
        <v>800</v>
      </c>
      <c r="B278" s="13" t="s">
        <v>284</v>
      </c>
      <c r="C278" s="16">
        <v>17717375</v>
      </c>
      <c r="D278" s="13">
        <v>222.76650000000001</v>
      </c>
      <c r="E278" s="16">
        <v>79533.390343700681</v>
      </c>
    </row>
    <row r="279" spans="1:5" x14ac:dyDescent="0.25">
      <c r="A279" s="13" t="s">
        <v>801</v>
      </c>
      <c r="B279" s="13" t="s">
        <v>285</v>
      </c>
      <c r="C279" s="16">
        <v>40098274</v>
      </c>
      <c r="D279" s="13">
        <v>609.30830000000003</v>
      </c>
      <c r="E279" s="16">
        <v>65809.499066400371</v>
      </c>
    </row>
    <row r="280" spans="1:5" x14ac:dyDescent="0.25">
      <c r="A280" s="13" t="s">
        <v>802</v>
      </c>
      <c r="B280" s="13" t="s">
        <v>286</v>
      </c>
      <c r="C280" s="16">
        <v>62994648</v>
      </c>
      <c r="D280" s="13">
        <v>932.88170000000002</v>
      </c>
      <c r="E280" s="16">
        <v>67526.94151895144</v>
      </c>
    </row>
    <row r="281" spans="1:5" x14ac:dyDescent="0.25">
      <c r="A281" s="13" t="s">
        <v>803</v>
      </c>
      <c r="B281" s="13" t="s">
        <v>287</v>
      </c>
      <c r="C281" s="16">
        <v>11760688</v>
      </c>
      <c r="D281" s="13">
        <v>152.48779999999999</v>
      </c>
      <c r="E281" s="16">
        <v>77125.435608619184</v>
      </c>
    </row>
    <row r="282" spans="1:5" x14ac:dyDescent="0.25">
      <c r="A282" s="13" t="s">
        <v>804</v>
      </c>
      <c r="B282" s="13" t="s">
        <v>288</v>
      </c>
      <c r="C282" s="16">
        <v>7689698</v>
      </c>
      <c r="D282" s="13">
        <v>78.223699999999994</v>
      </c>
      <c r="E282" s="16">
        <v>98303.941132930311</v>
      </c>
    </row>
    <row r="283" spans="1:5" x14ac:dyDescent="0.25">
      <c r="A283" s="13" t="s">
        <v>805</v>
      </c>
      <c r="B283" s="13" t="s">
        <v>289</v>
      </c>
      <c r="C283" s="16">
        <v>140036609</v>
      </c>
      <c r="D283" s="16">
        <v>1763.3223</v>
      </c>
      <c r="E283" s="16">
        <v>79416.343228915095</v>
      </c>
    </row>
    <row r="284" spans="1:5" x14ac:dyDescent="0.25">
      <c r="A284" s="13" t="s">
        <v>806</v>
      </c>
      <c r="B284" s="13" t="s">
        <v>290</v>
      </c>
      <c r="C284" s="16">
        <v>231781411</v>
      </c>
      <c r="D284" s="16">
        <v>3668.9092999999998</v>
      </c>
      <c r="E284" s="16">
        <v>63174.472860367525</v>
      </c>
    </row>
    <row r="285" spans="1:5" x14ac:dyDescent="0.25">
      <c r="A285" s="13" t="s">
        <v>807</v>
      </c>
      <c r="B285" s="13" t="s">
        <v>291</v>
      </c>
      <c r="C285" s="16">
        <v>15625289</v>
      </c>
      <c r="D285" s="13">
        <v>178.75450000000001</v>
      </c>
      <c r="E285" s="16">
        <v>87412.003613895038</v>
      </c>
    </row>
    <row r="286" spans="1:5" x14ac:dyDescent="0.25">
      <c r="A286" s="13" t="s">
        <v>808</v>
      </c>
      <c r="B286" s="13" t="s">
        <v>292</v>
      </c>
      <c r="C286" s="16">
        <v>14055627</v>
      </c>
      <c r="D286" s="13">
        <v>178.03620000000001</v>
      </c>
      <c r="E286" s="16">
        <v>78948.140883707922</v>
      </c>
    </row>
    <row r="287" spans="1:5" x14ac:dyDescent="0.25">
      <c r="A287" s="13" t="s">
        <v>809</v>
      </c>
      <c r="B287" s="13" t="s">
        <v>293</v>
      </c>
      <c r="C287" s="16">
        <v>25889789</v>
      </c>
      <c r="D287" s="13">
        <v>326.4393</v>
      </c>
      <c r="E287" s="16">
        <v>79309.657262468085</v>
      </c>
    </row>
    <row r="288" spans="1:5" x14ac:dyDescent="0.25">
      <c r="A288" s="13" t="s">
        <v>810</v>
      </c>
      <c r="B288" s="13" t="s">
        <v>294</v>
      </c>
      <c r="C288" s="16">
        <v>107717747</v>
      </c>
      <c r="D288" s="16">
        <v>1274.895</v>
      </c>
      <c r="E288" s="16">
        <v>84491.465571674533</v>
      </c>
    </row>
    <row r="289" spans="1:5" x14ac:dyDescent="0.25">
      <c r="A289" s="13" t="s">
        <v>811</v>
      </c>
      <c r="B289" s="13" t="s">
        <v>295</v>
      </c>
      <c r="C289" s="16">
        <v>6628736</v>
      </c>
      <c r="D289" s="13">
        <v>91.277900000000002</v>
      </c>
      <c r="E289" s="16">
        <v>72621.477926201187</v>
      </c>
    </row>
    <row r="290" spans="1:5" x14ac:dyDescent="0.25">
      <c r="A290" s="13" t="s">
        <v>812</v>
      </c>
      <c r="B290" s="13" t="s">
        <v>296</v>
      </c>
      <c r="C290" s="16">
        <v>12429147</v>
      </c>
      <c r="D290" s="13">
        <v>98.159300000000002</v>
      </c>
      <c r="E290" s="16">
        <v>126622.20492607425</v>
      </c>
    </row>
    <row r="291" spans="1:5" x14ac:dyDescent="0.25">
      <c r="A291" s="13" t="s">
        <v>813</v>
      </c>
      <c r="B291" s="13" t="s">
        <v>297</v>
      </c>
      <c r="C291" s="16">
        <v>10847487</v>
      </c>
      <c r="D291" s="13">
        <v>131.7457</v>
      </c>
      <c r="E291" s="16">
        <v>82336.554437829851</v>
      </c>
    </row>
    <row r="292" spans="1:5" x14ac:dyDescent="0.25">
      <c r="A292" s="13" t="s">
        <v>814</v>
      </c>
      <c r="B292" s="13" t="s">
        <v>298</v>
      </c>
      <c r="C292" s="16">
        <v>97579800</v>
      </c>
      <c r="D292" s="16">
        <v>1826.9603</v>
      </c>
      <c r="E292" s="16">
        <v>53411.012817300958</v>
      </c>
    </row>
    <row r="293" spans="1:5" x14ac:dyDescent="0.25">
      <c r="A293" s="13" t="s">
        <v>815</v>
      </c>
      <c r="B293" s="13" t="s">
        <v>299</v>
      </c>
      <c r="C293" s="16">
        <v>52623485</v>
      </c>
      <c r="D293" s="13">
        <v>456.11680000000001</v>
      </c>
      <c r="E293" s="16">
        <v>115372.82774938349</v>
      </c>
    </row>
    <row r="294" spans="1:5" x14ac:dyDescent="0.25">
      <c r="A294" s="13" t="s">
        <v>816</v>
      </c>
      <c r="B294" s="13" t="s">
        <v>300</v>
      </c>
      <c r="C294" s="16">
        <v>68190546</v>
      </c>
      <c r="D294" s="13">
        <v>697.57219999999995</v>
      </c>
      <c r="E294" s="16">
        <v>97754.104879752951</v>
      </c>
    </row>
    <row r="295" spans="1:5" x14ac:dyDescent="0.25">
      <c r="A295" s="13" t="s">
        <v>817</v>
      </c>
      <c r="B295" s="13" t="s">
        <v>301</v>
      </c>
      <c r="C295" s="16">
        <v>15618973</v>
      </c>
      <c r="D295" s="13">
        <v>197.1764</v>
      </c>
      <c r="E295" s="16">
        <v>79213.196914032305</v>
      </c>
    </row>
    <row r="296" spans="1:5" x14ac:dyDescent="0.25">
      <c r="A296" s="13" t="s">
        <v>818</v>
      </c>
      <c r="B296" s="13" t="s">
        <v>302</v>
      </c>
      <c r="C296" s="16">
        <v>152734638</v>
      </c>
      <c r="D296" s="16">
        <v>1068.1192000000001</v>
      </c>
      <c r="E296" s="16">
        <v>142994.00104407821</v>
      </c>
    </row>
    <row r="297" spans="1:5" x14ac:dyDescent="0.25">
      <c r="A297" s="13" t="s">
        <v>819</v>
      </c>
      <c r="B297" s="13" t="s">
        <v>303</v>
      </c>
      <c r="C297" s="16">
        <v>320848820</v>
      </c>
      <c r="D297" s="16">
        <v>3269.6176</v>
      </c>
      <c r="E297" s="16">
        <v>98130.380751559453</v>
      </c>
    </row>
    <row r="298" spans="1:5" x14ac:dyDescent="0.25">
      <c r="A298" s="13" t="s">
        <v>820</v>
      </c>
      <c r="B298" s="13" t="s">
        <v>304</v>
      </c>
      <c r="C298" s="16">
        <v>17048560</v>
      </c>
      <c r="D298" s="13">
        <v>182.04839999999999</v>
      </c>
      <c r="E298" s="16">
        <v>93648.502266430252</v>
      </c>
    </row>
    <row r="299" spans="1:5" x14ac:dyDescent="0.25">
      <c r="A299" s="13" t="s">
        <v>821</v>
      </c>
      <c r="B299" s="13" t="s">
        <v>305</v>
      </c>
      <c r="C299" s="16">
        <v>46154163</v>
      </c>
      <c r="D299" s="13">
        <v>345.79500000000002</v>
      </c>
      <c r="E299" s="16">
        <v>133472.61527783802</v>
      </c>
    </row>
    <row r="300" spans="1:5" x14ac:dyDescent="0.25">
      <c r="A300" s="13" t="s">
        <v>822</v>
      </c>
      <c r="B300" s="13" t="s">
        <v>306</v>
      </c>
      <c r="C300" s="16">
        <v>180280115</v>
      </c>
      <c r="D300" s="16">
        <v>1712.2887000000001</v>
      </c>
      <c r="E300" s="16">
        <v>105286.05076935916</v>
      </c>
    </row>
    <row r="301" spans="1:5" x14ac:dyDescent="0.25">
      <c r="A301" s="13" t="s">
        <v>823</v>
      </c>
      <c r="B301" s="13" t="s">
        <v>307</v>
      </c>
      <c r="C301" s="16">
        <v>11961085</v>
      </c>
      <c r="D301" s="13">
        <v>168.2561</v>
      </c>
      <c r="E301" s="16">
        <v>71088.566774102102</v>
      </c>
    </row>
    <row r="302" spans="1:5" x14ac:dyDescent="0.25">
      <c r="A302" s="13" t="s">
        <v>824</v>
      </c>
      <c r="B302" s="13" t="s">
        <v>308</v>
      </c>
      <c r="C302" s="16">
        <v>16753595</v>
      </c>
      <c r="D302" s="13">
        <v>240.66329999999999</v>
      </c>
      <c r="E302" s="16">
        <v>69614.24945141199</v>
      </c>
    </row>
    <row r="303" spans="1:5" x14ac:dyDescent="0.25">
      <c r="A303" s="13" t="s">
        <v>825</v>
      </c>
      <c r="B303" s="13" t="s">
        <v>309</v>
      </c>
      <c r="C303" s="16">
        <v>545115057</v>
      </c>
      <c r="D303" s="16">
        <v>1785.3018</v>
      </c>
      <c r="E303" s="16">
        <v>305334.96185350849</v>
      </c>
    </row>
    <row r="304" spans="1:5" x14ac:dyDescent="0.25">
      <c r="A304" s="13" t="s">
        <v>826</v>
      </c>
      <c r="B304" s="13" t="s">
        <v>310</v>
      </c>
      <c r="C304" s="16">
        <v>36301971</v>
      </c>
      <c r="D304" s="13">
        <v>712.43619999999999</v>
      </c>
      <c r="E304" s="16">
        <v>50954.697417116091</v>
      </c>
    </row>
    <row r="305" spans="1:5" x14ac:dyDescent="0.25">
      <c r="A305" s="13" t="s">
        <v>827</v>
      </c>
      <c r="B305" s="13" t="s">
        <v>311</v>
      </c>
      <c r="C305" s="16">
        <v>68118822</v>
      </c>
      <c r="D305" s="16">
        <v>1059.9350999999999</v>
      </c>
      <c r="E305" s="16">
        <v>64266.974459096607</v>
      </c>
    </row>
    <row r="306" spans="1:5" x14ac:dyDescent="0.25">
      <c r="A306" s="13" t="s">
        <v>828</v>
      </c>
      <c r="B306" s="13" t="s">
        <v>312</v>
      </c>
      <c r="C306" s="16">
        <v>86982333</v>
      </c>
      <c r="D306" s="13">
        <v>848.79629999999997</v>
      </c>
      <c r="E306" s="16">
        <v>102477.27635005007</v>
      </c>
    </row>
    <row r="307" spans="1:5" x14ac:dyDescent="0.25">
      <c r="A307" s="13" t="s">
        <v>829</v>
      </c>
      <c r="B307" s="13" t="s">
        <v>313</v>
      </c>
      <c r="C307" s="16">
        <v>86931921</v>
      </c>
      <c r="D307" s="16">
        <v>1288.8179</v>
      </c>
      <c r="E307" s="16">
        <v>67450.895118697532</v>
      </c>
    </row>
    <row r="308" spans="1:5" x14ac:dyDescent="0.25">
      <c r="A308" s="13" t="s">
        <v>830</v>
      </c>
      <c r="B308" s="13" t="s">
        <v>314</v>
      </c>
      <c r="C308" s="16">
        <v>10541703</v>
      </c>
      <c r="D308" s="13">
        <v>101.7062</v>
      </c>
      <c r="E308" s="16">
        <v>103648.57796279874</v>
      </c>
    </row>
    <row r="309" spans="1:5" x14ac:dyDescent="0.25">
      <c r="A309" s="13" t="s">
        <v>831</v>
      </c>
      <c r="B309" s="13" t="s">
        <v>315</v>
      </c>
      <c r="C309" s="16">
        <v>9854909</v>
      </c>
      <c r="D309" s="13">
        <v>69.796599999999998</v>
      </c>
      <c r="E309" s="16">
        <v>141194.68570102268</v>
      </c>
    </row>
    <row r="310" spans="1:5" x14ac:dyDescent="0.25">
      <c r="A310" s="13" t="s">
        <v>832</v>
      </c>
      <c r="B310" s="13" t="s">
        <v>316</v>
      </c>
      <c r="C310" s="16">
        <v>47117541</v>
      </c>
      <c r="D310" s="13">
        <v>585.64149999999995</v>
      </c>
      <c r="E310" s="16">
        <v>80454.580148435532</v>
      </c>
    </row>
    <row r="311" spans="1:5" x14ac:dyDescent="0.25">
      <c r="A311" s="13" t="s">
        <v>833</v>
      </c>
      <c r="B311" s="13" t="s">
        <v>317</v>
      </c>
      <c r="C311" s="16">
        <v>16785627</v>
      </c>
      <c r="D311" s="13">
        <v>206.1568</v>
      </c>
      <c r="E311" s="16">
        <v>81421.650898733395</v>
      </c>
    </row>
    <row r="312" spans="1:5" x14ac:dyDescent="0.25">
      <c r="A312" s="13" t="s">
        <v>834</v>
      </c>
      <c r="B312" s="13" t="s">
        <v>318</v>
      </c>
      <c r="C312" s="16">
        <v>7247774</v>
      </c>
      <c r="D312" s="13">
        <v>72.532499999999999</v>
      </c>
      <c r="E312" s="16">
        <v>99924.502809085578</v>
      </c>
    </row>
    <row r="313" spans="1:5" x14ac:dyDescent="0.25">
      <c r="A313" s="13" t="s">
        <v>835</v>
      </c>
      <c r="B313" s="13" t="s">
        <v>319</v>
      </c>
      <c r="C313" s="16">
        <v>4685675</v>
      </c>
      <c r="D313" s="13">
        <v>46.781199999999998</v>
      </c>
      <c r="E313" s="16">
        <v>100161.49649859345</v>
      </c>
    </row>
    <row r="314" spans="1:5" x14ac:dyDescent="0.25">
      <c r="A314" s="13" t="s">
        <v>836</v>
      </c>
      <c r="B314" s="13" t="s">
        <v>320</v>
      </c>
      <c r="C314" s="16">
        <v>84778282</v>
      </c>
      <c r="D314" s="13">
        <v>676.59379999999999</v>
      </c>
      <c r="E314" s="16">
        <v>125301.5945460925</v>
      </c>
    </row>
    <row r="315" spans="1:5" x14ac:dyDescent="0.25">
      <c r="A315" s="13" t="s">
        <v>837</v>
      </c>
      <c r="B315" s="13" t="s">
        <v>321</v>
      </c>
      <c r="C315" s="16">
        <v>8380576</v>
      </c>
      <c r="D315" s="13">
        <v>77.001599999999996</v>
      </c>
      <c r="E315" s="16">
        <v>108836.38781531813</v>
      </c>
    </row>
    <row r="316" spans="1:5" x14ac:dyDescent="0.25">
      <c r="A316" s="13" t="s">
        <v>838</v>
      </c>
      <c r="B316" s="13" t="s">
        <v>322</v>
      </c>
      <c r="C316" s="16">
        <v>14062741</v>
      </c>
      <c r="D316" s="13">
        <v>180.32810000000001</v>
      </c>
      <c r="E316" s="16">
        <v>77984.191038446035</v>
      </c>
    </row>
    <row r="317" spans="1:5" x14ac:dyDescent="0.25">
      <c r="A317" s="13" t="s">
        <v>839</v>
      </c>
      <c r="B317" s="13" t="s">
        <v>323</v>
      </c>
      <c r="C317" s="16">
        <v>47408461</v>
      </c>
      <c r="D317" s="13">
        <v>343.57839999999999</v>
      </c>
      <c r="E317" s="16">
        <v>137984.4047239291</v>
      </c>
    </row>
    <row r="318" spans="1:5" x14ac:dyDescent="0.25">
      <c r="A318" s="13" t="s">
        <v>840</v>
      </c>
      <c r="B318" s="13" t="s">
        <v>324</v>
      </c>
      <c r="C318" s="16">
        <v>29842498</v>
      </c>
      <c r="D318" s="13">
        <v>337.15069999999997</v>
      </c>
      <c r="E318" s="16">
        <v>88513.824826702126</v>
      </c>
    </row>
    <row r="319" spans="1:5" x14ac:dyDescent="0.25">
      <c r="A319" s="13" t="s">
        <v>841</v>
      </c>
      <c r="B319" s="13" t="s">
        <v>325</v>
      </c>
      <c r="C319" s="16">
        <v>128491872</v>
      </c>
      <c r="D319" s="16">
        <v>1125.7125000000001</v>
      </c>
      <c r="E319" s="16">
        <v>114142.70695226356</v>
      </c>
    </row>
    <row r="320" spans="1:5" x14ac:dyDescent="0.25">
      <c r="A320" s="13" t="s">
        <v>842</v>
      </c>
      <c r="B320" s="13" t="s">
        <v>326</v>
      </c>
      <c r="C320" s="16">
        <v>85524206</v>
      </c>
      <c r="D320" s="13">
        <v>639.53369999999995</v>
      </c>
      <c r="E320" s="16">
        <v>133729.00599296018</v>
      </c>
    </row>
    <row r="321" spans="1:5" x14ac:dyDescent="0.25">
      <c r="A321" s="13" t="s">
        <v>843</v>
      </c>
      <c r="B321" s="13" t="s">
        <v>327</v>
      </c>
      <c r="C321" s="16">
        <v>264289934</v>
      </c>
      <c r="D321" s="16">
        <v>1198.4857</v>
      </c>
      <c r="E321" s="16">
        <v>220519.88939041994</v>
      </c>
    </row>
    <row r="322" spans="1:5" x14ac:dyDescent="0.25">
      <c r="A322" s="13" t="s">
        <v>844</v>
      </c>
      <c r="B322" s="13" t="s">
        <v>328</v>
      </c>
      <c r="C322" s="16">
        <v>11248687</v>
      </c>
      <c r="D322" s="13">
        <v>146.05529999999999</v>
      </c>
      <c r="E322" s="16">
        <v>77016.630002471677</v>
      </c>
    </row>
    <row r="323" spans="1:5" x14ac:dyDescent="0.25">
      <c r="A323" s="13" t="s">
        <v>845</v>
      </c>
      <c r="B323" s="13" t="s">
        <v>329</v>
      </c>
      <c r="C323" s="16">
        <v>49101061</v>
      </c>
      <c r="D323" s="13">
        <v>681.56439999999998</v>
      </c>
      <c r="E323" s="16">
        <v>72041.704349581647</v>
      </c>
    </row>
    <row r="324" spans="1:5" x14ac:dyDescent="0.25">
      <c r="A324" s="13" t="s">
        <v>846</v>
      </c>
      <c r="B324" s="13" t="s">
        <v>330</v>
      </c>
      <c r="C324" s="16">
        <v>14122925</v>
      </c>
      <c r="D324" s="13">
        <v>233.7894</v>
      </c>
      <c r="E324" s="16">
        <v>60408.748215274085</v>
      </c>
    </row>
    <row r="325" spans="1:5" x14ac:dyDescent="0.25">
      <c r="A325" s="13" t="s">
        <v>847</v>
      </c>
      <c r="B325" s="13" t="s">
        <v>331</v>
      </c>
      <c r="C325" s="16">
        <v>283177425</v>
      </c>
      <c r="D325" s="16">
        <v>1276.2591</v>
      </c>
      <c r="E325" s="16">
        <v>221880.827333572</v>
      </c>
    </row>
    <row r="326" spans="1:5" x14ac:dyDescent="0.25">
      <c r="A326" s="13" t="s">
        <v>848</v>
      </c>
      <c r="B326" s="13" t="s">
        <v>332</v>
      </c>
      <c r="C326" s="16">
        <v>71305737</v>
      </c>
      <c r="D326" s="16">
        <v>1309.0106000000001</v>
      </c>
      <c r="E326" s="16">
        <v>54473.001975690648</v>
      </c>
    </row>
    <row r="327" spans="1:5" x14ac:dyDescent="0.25">
      <c r="A327" s="13" t="s">
        <v>849</v>
      </c>
      <c r="B327" s="13" t="s">
        <v>333</v>
      </c>
      <c r="C327" s="16">
        <v>69941430</v>
      </c>
      <c r="D327" s="13">
        <v>793.5607</v>
      </c>
      <c r="E327" s="16">
        <v>88136.20684592874</v>
      </c>
    </row>
    <row r="328" spans="1:5" x14ac:dyDescent="0.25">
      <c r="A328" s="13" t="s">
        <v>850</v>
      </c>
      <c r="B328" s="13" t="s">
        <v>334</v>
      </c>
      <c r="C328" s="16">
        <v>8884760</v>
      </c>
      <c r="D328" s="13">
        <v>161.96860000000001</v>
      </c>
      <c r="E328" s="16">
        <v>54854.829886780521</v>
      </c>
    </row>
    <row r="329" spans="1:5" x14ac:dyDescent="0.25">
      <c r="A329" s="13" t="s">
        <v>851</v>
      </c>
      <c r="B329" s="13" t="s">
        <v>335</v>
      </c>
      <c r="C329" s="16">
        <v>91898484</v>
      </c>
      <c r="D329" s="16">
        <v>1392.3109999999999</v>
      </c>
      <c r="E329" s="16">
        <v>66004.279216353243</v>
      </c>
    </row>
    <row r="330" spans="1:5" x14ac:dyDescent="0.25">
      <c r="A330" s="13" t="s">
        <v>852</v>
      </c>
      <c r="B330" s="13" t="s">
        <v>1579</v>
      </c>
      <c r="C330" s="16">
        <v>300355940</v>
      </c>
      <c r="D330" s="16">
        <v>4397.9377000000004</v>
      </c>
      <c r="E330" s="16">
        <v>68294.723683784789</v>
      </c>
    </row>
    <row r="331" spans="1:5" x14ac:dyDescent="0.25">
      <c r="A331" s="13" t="s">
        <v>853</v>
      </c>
      <c r="B331" s="13" t="s">
        <v>337</v>
      </c>
      <c r="C331" s="16">
        <v>33298228</v>
      </c>
      <c r="D331" s="13">
        <v>204.7021</v>
      </c>
      <c r="E331" s="16">
        <v>162666.7630669153</v>
      </c>
    </row>
    <row r="332" spans="1:5" x14ac:dyDescent="0.25">
      <c r="A332" s="13" t="s">
        <v>854</v>
      </c>
      <c r="B332" s="13" t="s">
        <v>338</v>
      </c>
      <c r="C332" s="16">
        <v>25094263</v>
      </c>
      <c r="D332" s="13">
        <v>239.4366</v>
      </c>
      <c r="E332" s="16">
        <v>104805.45998397906</v>
      </c>
    </row>
    <row r="333" spans="1:5" x14ac:dyDescent="0.25">
      <c r="A333" s="13" t="s">
        <v>855</v>
      </c>
      <c r="B333" s="13" t="s">
        <v>339</v>
      </c>
      <c r="C333" s="16">
        <v>15816991</v>
      </c>
      <c r="D333" s="13">
        <v>203.06649999999999</v>
      </c>
      <c r="E333" s="16">
        <v>77890.695905036046</v>
      </c>
    </row>
    <row r="334" spans="1:5" x14ac:dyDescent="0.25">
      <c r="A334" s="13" t="s">
        <v>856</v>
      </c>
      <c r="B334" s="13" t="s">
        <v>340</v>
      </c>
      <c r="C334" s="16">
        <v>14378343</v>
      </c>
      <c r="D334" s="13">
        <v>129.05459999999999</v>
      </c>
      <c r="E334" s="16">
        <v>111412.86711205955</v>
      </c>
    </row>
    <row r="335" spans="1:5" x14ac:dyDescent="0.25">
      <c r="A335" s="13" t="s">
        <v>857</v>
      </c>
      <c r="B335" s="13" t="s">
        <v>341</v>
      </c>
      <c r="C335" s="16">
        <v>16448663</v>
      </c>
      <c r="D335" s="13">
        <v>189.91309999999999</v>
      </c>
      <c r="E335" s="16">
        <v>86611.523902247936</v>
      </c>
    </row>
    <row r="336" spans="1:5" x14ac:dyDescent="0.25">
      <c r="A336" s="13" t="s">
        <v>858</v>
      </c>
      <c r="B336" s="13" t="s">
        <v>342</v>
      </c>
      <c r="C336" s="16">
        <v>184825579</v>
      </c>
      <c r="D336" s="16">
        <v>1349.6442999999999</v>
      </c>
      <c r="E336" s="16">
        <v>136943.91848281803</v>
      </c>
    </row>
    <row r="337" spans="1:5" x14ac:dyDescent="0.25">
      <c r="A337" s="13" t="s">
        <v>859</v>
      </c>
      <c r="B337" s="13" t="s">
        <v>343</v>
      </c>
      <c r="C337" s="16">
        <v>23804148</v>
      </c>
      <c r="D337" s="13">
        <v>155.98009999999999</v>
      </c>
      <c r="E337" s="16">
        <v>152610.1598857803</v>
      </c>
    </row>
    <row r="338" spans="1:5" x14ac:dyDescent="0.25">
      <c r="A338" s="13" t="s">
        <v>860</v>
      </c>
      <c r="B338" s="13" t="s">
        <v>344</v>
      </c>
      <c r="C338" s="16">
        <v>12169469</v>
      </c>
      <c r="D338" s="13">
        <v>121.92440000000001</v>
      </c>
      <c r="E338" s="16">
        <v>99811.596366272861</v>
      </c>
    </row>
    <row r="339" spans="1:5" x14ac:dyDescent="0.25">
      <c r="A339" s="13" t="s">
        <v>861</v>
      </c>
      <c r="B339" s="13" t="s">
        <v>345</v>
      </c>
      <c r="C339" s="16">
        <v>32064823</v>
      </c>
      <c r="D339" s="13">
        <v>664.58510000000001</v>
      </c>
      <c r="E339" s="16">
        <v>48247.881272089908</v>
      </c>
    </row>
    <row r="340" spans="1:5" x14ac:dyDescent="0.25">
      <c r="A340" s="13" t="s">
        <v>862</v>
      </c>
      <c r="B340" s="13" t="s">
        <v>346</v>
      </c>
      <c r="C340" s="16">
        <v>14346749</v>
      </c>
      <c r="D340" s="13">
        <v>218.1961</v>
      </c>
      <c r="E340" s="16">
        <v>65751.628924623306</v>
      </c>
    </row>
    <row r="341" spans="1:5" x14ac:dyDescent="0.25">
      <c r="A341" s="13" t="s">
        <v>863</v>
      </c>
      <c r="B341" s="13" t="s">
        <v>347</v>
      </c>
      <c r="C341" s="16">
        <v>39587581</v>
      </c>
      <c r="D341" s="13">
        <v>611.43899999999996</v>
      </c>
      <c r="E341" s="16">
        <v>64744.939397061687</v>
      </c>
    </row>
    <row r="342" spans="1:5" x14ac:dyDescent="0.25">
      <c r="A342" s="13" t="s">
        <v>864</v>
      </c>
      <c r="B342" s="13" t="s">
        <v>348</v>
      </c>
      <c r="C342" s="16">
        <v>14497088</v>
      </c>
      <c r="D342" s="13">
        <v>187.77629999999999</v>
      </c>
      <c r="E342" s="16">
        <v>77204.034800983936</v>
      </c>
    </row>
    <row r="343" spans="1:5" x14ac:dyDescent="0.25">
      <c r="A343" s="13" t="s">
        <v>865</v>
      </c>
      <c r="B343" s="13" t="s">
        <v>349</v>
      </c>
      <c r="C343" s="16">
        <v>61783102</v>
      </c>
      <c r="D343" s="13">
        <v>619.80830000000003</v>
      </c>
      <c r="E343" s="16">
        <v>99680.985233660147</v>
      </c>
    </row>
    <row r="344" spans="1:5" x14ac:dyDescent="0.25">
      <c r="A344" s="13" t="s">
        <v>866</v>
      </c>
      <c r="B344" s="13" t="s">
        <v>350</v>
      </c>
      <c r="C344" s="16">
        <v>89339134</v>
      </c>
      <c r="D344" s="13">
        <v>781.81370000000004</v>
      </c>
      <c r="E344" s="16">
        <v>114271.6404176596</v>
      </c>
    </row>
    <row r="345" spans="1:5" x14ac:dyDescent="0.25">
      <c r="A345" s="13" t="s">
        <v>867</v>
      </c>
      <c r="B345" s="13" t="s">
        <v>351</v>
      </c>
      <c r="C345" s="16">
        <v>6590987</v>
      </c>
      <c r="D345" s="13">
        <v>74.720100000000002</v>
      </c>
      <c r="E345" s="16">
        <v>88209.022739530599</v>
      </c>
    </row>
    <row r="346" spans="1:5" x14ac:dyDescent="0.25">
      <c r="A346" s="13" t="s">
        <v>868</v>
      </c>
      <c r="B346" s="13" t="s">
        <v>352</v>
      </c>
      <c r="C346" s="16">
        <v>13291398</v>
      </c>
      <c r="D346" s="13">
        <v>317.03199999999998</v>
      </c>
      <c r="E346" s="16">
        <v>41924.468192485307</v>
      </c>
    </row>
    <row r="347" spans="1:5" x14ac:dyDescent="0.25">
      <c r="A347" s="13" t="s">
        <v>869</v>
      </c>
      <c r="B347" s="13" t="s">
        <v>353</v>
      </c>
      <c r="C347" s="16">
        <v>48661347</v>
      </c>
      <c r="D347" s="13">
        <v>580.28620000000001</v>
      </c>
      <c r="E347" s="16">
        <v>83857.494801703026</v>
      </c>
    </row>
    <row r="348" spans="1:5" x14ac:dyDescent="0.25">
      <c r="A348" s="13" t="s">
        <v>870</v>
      </c>
      <c r="B348" s="13" t="s">
        <v>354</v>
      </c>
      <c r="C348" s="16">
        <v>16646905</v>
      </c>
      <c r="D348" s="13">
        <v>274.21929999999998</v>
      </c>
      <c r="E348" s="16">
        <v>60706.540349275201</v>
      </c>
    </row>
    <row r="349" spans="1:5" x14ac:dyDescent="0.25">
      <c r="A349" s="13" t="s">
        <v>871</v>
      </c>
      <c r="B349" s="13" t="s">
        <v>355</v>
      </c>
      <c r="C349" s="16">
        <v>23147691</v>
      </c>
      <c r="D349" s="13">
        <v>113.76730000000001</v>
      </c>
      <c r="E349" s="16">
        <v>203465.24001184874</v>
      </c>
    </row>
    <row r="350" spans="1:5" x14ac:dyDescent="0.25">
      <c r="A350" s="13" t="s">
        <v>872</v>
      </c>
      <c r="B350" s="13" t="s">
        <v>356</v>
      </c>
      <c r="C350" s="16">
        <v>19919570</v>
      </c>
      <c r="D350" s="13">
        <v>251.02719999999999</v>
      </c>
      <c r="E350" s="16">
        <v>79352.237526451325</v>
      </c>
    </row>
    <row r="351" spans="1:5" x14ac:dyDescent="0.25">
      <c r="A351" s="13" t="s">
        <v>873</v>
      </c>
      <c r="B351" s="13" t="s">
        <v>357</v>
      </c>
      <c r="C351" s="16">
        <v>30128610</v>
      </c>
      <c r="D351" s="13">
        <v>637.58820000000003</v>
      </c>
      <c r="E351" s="16">
        <v>47254.026972268308</v>
      </c>
    </row>
    <row r="352" spans="1:5" x14ac:dyDescent="0.25">
      <c r="A352" s="13" t="s">
        <v>874</v>
      </c>
      <c r="B352" s="13" t="s">
        <v>358</v>
      </c>
      <c r="C352" s="16">
        <v>12298158</v>
      </c>
      <c r="D352" s="13">
        <v>138.2809</v>
      </c>
      <c r="E352" s="16">
        <v>88936.056968098987</v>
      </c>
    </row>
    <row r="353" spans="1:5" x14ac:dyDescent="0.25">
      <c r="A353" s="13" t="s">
        <v>875</v>
      </c>
      <c r="B353" s="13" t="s">
        <v>359</v>
      </c>
      <c r="C353" s="16">
        <v>8361060</v>
      </c>
      <c r="D353" s="13">
        <v>186.00149999999999</v>
      </c>
      <c r="E353" s="16">
        <v>44951.57297118572</v>
      </c>
    </row>
    <row r="354" spans="1:5" x14ac:dyDescent="0.25">
      <c r="A354" s="13" t="s">
        <v>876</v>
      </c>
      <c r="B354" s="13" t="s">
        <v>360</v>
      </c>
      <c r="C354" s="16">
        <v>30125535</v>
      </c>
      <c r="D354" s="13">
        <v>609.34159999999997</v>
      </c>
      <c r="E354" s="16">
        <v>49439.485175474649</v>
      </c>
    </row>
    <row r="355" spans="1:5" x14ac:dyDescent="0.25">
      <c r="A355" s="13" t="s">
        <v>877</v>
      </c>
      <c r="B355" s="13" t="s">
        <v>361</v>
      </c>
      <c r="C355" s="16">
        <v>12204502</v>
      </c>
      <c r="D355" s="13">
        <v>199.2817</v>
      </c>
      <c r="E355" s="16">
        <v>61242.462303362525</v>
      </c>
    </row>
    <row r="356" spans="1:5" x14ac:dyDescent="0.25">
      <c r="A356" s="13" t="s">
        <v>878</v>
      </c>
      <c r="B356" s="13" t="s">
        <v>362</v>
      </c>
      <c r="C356" s="16">
        <v>49844024</v>
      </c>
      <c r="D356" s="16">
        <v>1012.6903</v>
      </c>
      <c r="E356" s="16">
        <v>49219.414859607132</v>
      </c>
    </row>
    <row r="357" spans="1:5" x14ac:dyDescent="0.25">
      <c r="A357" s="13" t="s">
        <v>879</v>
      </c>
      <c r="B357" s="13" t="s">
        <v>363</v>
      </c>
      <c r="C357" s="16">
        <v>299364554</v>
      </c>
      <c r="D357" s="16">
        <v>2109.4789000000001</v>
      </c>
      <c r="E357" s="16">
        <v>141913.9835909238</v>
      </c>
    </row>
    <row r="358" spans="1:5" x14ac:dyDescent="0.25">
      <c r="A358" s="13" t="s">
        <v>880</v>
      </c>
      <c r="B358" s="13" t="s">
        <v>364</v>
      </c>
      <c r="C358" s="16">
        <v>16807686</v>
      </c>
      <c r="D358" s="13">
        <v>96.974599999999995</v>
      </c>
      <c r="E358" s="16">
        <v>173320.49835730181</v>
      </c>
    </row>
    <row r="359" spans="1:5" x14ac:dyDescent="0.25">
      <c r="A359" s="13" t="s">
        <v>881</v>
      </c>
      <c r="B359" s="13" t="s">
        <v>365</v>
      </c>
      <c r="C359" s="16">
        <v>28529254</v>
      </c>
      <c r="D359" s="13">
        <v>332.59120000000001</v>
      </c>
      <c r="E359" s="16">
        <v>85778.739786260121</v>
      </c>
    </row>
    <row r="360" spans="1:5" x14ac:dyDescent="0.25">
      <c r="A360" s="13" t="s">
        <v>882</v>
      </c>
      <c r="B360" s="13" t="s">
        <v>366</v>
      </c>
      <c r="C360" s="16">
        <v>19930215</v>
      </c>
      <c r="D360" s="13">
        <v>314.47129999999999</v>
      </c>
      <c r="E360" s="16">
        <v>63376.896397222896</v>
      </c>
    </row>
    <row r="361" spans="1:5" x14ac:dyDescent="0.25">
      <c r="A361" s="13" t="s">
        <v>883</v>
      </c>
      <c r="B361" s="13" t="s">
        <v>367</v>
      </c>
      <c r="C361" s="16">
        <v>42676968</v>
      </c>
      <c r="D361" s="13">
        <v>517.38890000000004</v>
      </c>
      <c r="E361" s="16">
        <v>82485.279448399451</v>
      </c>
    </row>
    <row r="362" spans="1:5" x14ac:dyDescent="0.25">
      <c r="A362" s="13" t="s">
        <v>884</v>
      </c>
      <c r="B362" s="13" t="s">
        <v>368</v>
      </c>
      <c r="C362" s="16">
        <v>27221219</v>
      </c>
      <c r="D362" s="13">
        <v>354.03399999999999</v>
      </c>
      <c r="E362" s="16">
        <v>76888.714078308869</v>
      </c>
    </row>
    <row r="363" spans="1:5" x14ac:dyDescent="0.25">
      <c r="A363" s="13" t="s">
        <v>885</v>
      </c>
      <c r="B363" s="13" t="s">
        <v>369</v>
      </c>
      <c r="C363" s="16">
        <v>49831952</v>
      </c>
      <c r="D363" s="13">
        <v>162.33920000000001</v>
      </c>
      <c r="E363" s="16">
        <v>306961.91677672428</v>
      </c>
    </row>
    <row r="364" spans="1:5" x14ac:dyDescent="0.25">
      <c r="A364" s="13" t="s">
        <v>886</v>
      </c>
      <c r="B364" s="13" t="s">
        <v>370</v>
      </c>
      <c r="C364" s="16">
        <v>346244271</v>
      </c>
      <c r="D364" s="16">
        <v>4646.4845999999998</v>
      </c>
      <c r="E364" s="16">
        <v>74517.468754765709</v>
      </c>
    </row>
    <row r="365" spans="1:5" x14ac:dyDescent="0.25">
      <c r="A365" s="13" t="s">
        <v>887</v>
      </c>
      <c r="B365" s="13" t="s">
        <v>371</v>
      </c>
      <c r="C365" s="16">
        <v>121428498</v>
      </c>
      <c r="D365" s="16">
        <v>1749.8227999999999</v>
      </c>
      <c r="E365" s="16">
        <v>69394.739855944281</v>
      </c>
    </row>
    <row r="366" spans="1:5" x14ac:dyDescent="0.25">
      <c r="A366" s="13" t="s">
        <v>888</v>
      </c>
      <c r="B366" s="13" t="s">
        <v>372</v>
      </c>
      <c r="C366" s="16">
        <v>27849400</v>
      </c>
      <c r="D366" s="13">
        <v>386.51150000000001</v>
      </c>
      <c r="E366" s="16">
        <v>72053.224807023857</v>
      </c>
    </row>
    <row r="367" spans="1:5" x14ac:dyDescent="0.25">
      <c r="A367" s="13" t="s">
        <v>889</v>
      </c>
      <c r="B367" s="13" t="s">
        <v>373</v>
      </c>
      <c r="C367" s="16">
        <v>401056415</v>
      </c>
      <c r="D367" s="16">
        <v>3794.9047</v>
      </c>
      <c r="E367" s="16">
        <v>105682.86866334219</v>
      </c>
    </row>
    <row r="368" spans="1:5" x14ac:dyDescent="0.25">
      <c r="A368" s="13" t="s">
        <v>890</v>
      </c>
      <c r="B368" s="13" t="s">
        <v>374</v>
      </c>
      <c r="C368" s="16">
        <v>18900544</v>
      </c>
      <c r="D368" s="13">
        <v>241.46870000000001</v>
      </c>
      <c r="E368" s="16">
        <v>78273.266887178339</v>
      </c>
    </row>
    <row r="369" spans="1:5" x14ac:dyDescent="0.25">
      <c r="A369" s="13" t="s">
        <v>891</v>
      </c>
      <c r="B369" s="13" t="s">
        <v>375</v>
      </c>
      <c r="C369" s="16">
        <v>110964286</v>
      </c>
      <c r="D369" s="16">
        <v>1212.1736000000001</v>
      </c>
      <c r="E369" s="16">
        <v>91541.579522933011</v>
      </c>
    </row>
    <row r="370" spans="1:5" x14ac:dyDescent="0.25">
      <c r="A370" s="13" t="s">
        <v>892</v>
      </c>
      <c r="B370" s="13" t="s">
        <v>376</v>
      </c>
      <c r="C370" s="16">
        <v>40720857</v>
      </c>
      <c r="D370" s="13">
        <v>420.2457</v>
      </c>
      <c r="E370" s="16">
        <v>96897.736252863499</v>
      </c>
    </row>
    <row r="371" spans="1:5" x14ac:dyDescent="0.25">
      <c r="A371" s="13" t="s">
        <v>893</v>
      </c>
      <c r="B371" s="13" t="s">
        <v>377</v>
      </c>
      <c r="C371" s="16">
        <v>12176939</v>
      </c>
      <c r="D371" s="13">
        <v>51.616500000000002</v>
      </c>
      <c r="E371" s="16">
        <v>235911.75302471107</v>
      </c>
    </row>
    <row r="372" spans="1:5" x14ac:dyDescent="0.25">
      <c r="A372" s="13" t="s">
        <v>894</v>
      </c>
      <c r="B372" s="13" t="s">
        <v>378</v>
      </c>
      <c r="C372" s="16">
        <v>63630428</v>
      </c>
      <c r="D372" s="13">
        <v>676.78790000000004</v>
      </c>
      <c r="E372" s="16">
        <v>94018.270716719373</v>
      </c>
    </row>
    <row r="373" spans="1:5" x14ac:dyDescent="0.25">
      <c r="A373" s="13" t="s">
        <v>895</v>
      </c>
      <c r="B373" s="13" t="s">
        <v>379</v>
      </c>
      <c r="C373" s="16">
        <v>59069846</v>
      </c>
      <c r="D373" s="13">
        <v>613.61760000000004</v>
      </c>
      <c r="E373" s="16">
        <v>96264.914826432607</v>
      </c>
    </row>
    <row r="374" spans="1:5" x14ac:dyDescent="0.25">
      <c r="A374" s="13" t="s">
        <v>896</v>
      </c>
      <c r="B374" s="13" t="s">
        <v>380</v>
      </c>
      <c r="C374" s="16">
        <v>206802671</v>
      </c>
      <c r="D374" s="13">
        <v>569.71090000000004</v>
      </c>
      <c r="E374" s="16">
        <v>362995.81243750115</v>
      </c>
    </row>
    <row r="375" spans="1:5" x14ac:dyDescent="0.25">
      <c r="A375" s="13" t="s">
        <v>897</v>
      </c>
      <c r="B375" s="13" t="s">
        <v>381</v>
      </c>
      <c r="C375" s="16">
        <v>480208668</v>
      </c>
      <c r="D375" s="16">
        <v>3812.7975999999999</v>
      </c>
      <c r="E375" s="16">
        <v>125946.54067134327</v>
      </c>
    </row>
    <row r="376" spans="1:5" x14ac:dyDescent="0.25">
      <c r="A376" s="13" t="s">
        <v>898</v>
      </c>
      <c r="B376" s="13" t="s">
        <v>382</v>
      </c>
      <c r="C376" s="16">
        <v>1589710997</v>
      </c>
      <c r="D376" s="16">
        <v>11018.0913</v>
      </c>
      <c r="E376" s="16">
        <v>144281.88637355002</v>
      </c>
    </row>
    <row r="377" spans="1:5" x14ac:dyDescent="0.25">
      <c r="A377" s="13" t="s">
        <v>899</v>
      </c>
      <c r="B377" s="13" t="s">
        <v>383</v>
      </c>
      <c r="C377" s="16">
        <v>159248820</v>
      </c>
      <c r="D377" s="16">
        <v>2665.4578999999999</v>
      </c>
      <c r="E377" s="16">
        <v>59745.389338169625</v>
      </c>
    </row>
    <row r="378" spans="1:5" x14ac:dyDescent="0.25">
      <c r="A378" s="13" t="s">
        <v>900</v>
      </c>
      <c r="B378" s="13" t="s">
        <v>384</v>
      </c>
      <c r="C378" s="16">
        <v>18125110</v>
      </c>
      <c r="D378" s="13">
        <v>349.49400000000003</v>
      </c>
      <c r="E378" s="16">
        <v>51861.004766891558</v>
      </c>
    </row>
    <row r="379" spans="1:5" x14ac:dyDescent="0.25">
      <c r="A379" s="13" t="s">
        <v>901</v>
      </c>
      <c r="B379" s="13" t="s">
        <v>385</v>
      </c>
      <c r="C379" s="16">
        <v>19924270</v>
      </c>
      <c r="D379" s="13">
        <v>261.49689999999998</v>
      </c>
      <c r="E379" s="16">
        <v>76193.140339330988</v>
      </c>
    </row>
    <row r="380" spans="1:5" x14ac:dyDescent="0.25">
      <c r="A380" s="13" t="s">
        <v>902</v>
      </c>
      <c r="B380" s="13" t="s">
        <v>386</v>
      </c>
      <c r="C380" s="16">
        <v>20501484</v>
      </c>
      <c r="D380" s="13">
        <v>358.68490000000003</v>
      </c>
      <c r="E380" s="16">
        <v>57157.365698974223</v>
      </c>
    </row>
    <row r="381" spans="1:5" x14ac:dyDescent="0.25">
      <c r="A381" s="13" t="s">
        <v>903</v>
      </c>
      <c r="B381" s="13" t="s">
        <v>387</v>
      </c>
      <c r="C381" s="16">
        <v>35156490</v>
      </c>
      <c r="D381" s="13">
        <v>542.7758</v>
      </c>
      <c r="E381" s="16">
        <v>64771.660785171334</v>
      </c>
    </row>
    <row r="382" spans="1:5" x14ac:dyDescent="0.25">
      <c r="A382" s="13" t="s">
        <v>904</v>
      </c>
      <c r="B382" s="13" t="s">
        <v>388</v>
      </c>
      <c r="C382" s="16">
        <v>40657460</v>
      </c>
      <c r="D382" s="13">
        <v>759.86530000000005</v>
      </c>
      <c r="E382" s="16">
        <v>53506.141154228251</v>
      </c>
    </row>
    <row r="383" spans="1:5" x14ac:dyDescent="0.25">
      <c r="A383" s="13" t="s">
        <v>905</v>
      </c>
      <c r="B383" s="13" t="s">
        <v>389</v>
      </c>
      <c r="C383" s="16">
        <v>5874593</v>
      </c>
      <c r="D383" s="13">
        <v>81.787300000000002</v>
      </c>
      <c r="E383" s="16">
        <v>71827.692074441875</v>
      </c>
    </row>
    <row r="384" spans="1:5" x14ac:dyDescent="0.25">
      <c r="A384" s="13" t="s">
        <v>906</v>
      </c>
      <c r="B384" s="13" t="s">
        <v>390</v>
      </c>
      <c r="C384" s="16">
        <v>34597168</v>
      </c>
      <c r="D384" s="13">
        <v>524.38599999999997</v>
      </c>
      <c r="E384" s="16">
        <v>65976.528740279115</v>
      </c>
    </row>
    <row r="385" spans="1:5" x14ac:dyDescent="0.25">
      <c r="A385" s="13" t="s">
        <v>907</v>
      </c>
      <c r="B385" s="13" t="s">
        <v>391</v>
      </c>
      <c r="C385" s="16">
        <v>36035397</v>
      </c>
      <c r="D385" s="13">
        <v>588.19920000000002</v>
      </c>
      <c r="E385" s="16">
        <v>61263.93405499361</v>
      </c>
    </row>
    <row r="386" spans="1:5" x14ac:dyDescent="0.25">
      <c r="A386" s="13" t="s">
        <v>908</v>
      </c>
      <c r="B386" s="13" t="s">
        <v>392</v>
      </c>
      <c r="C386" s="16">
        <v>306157770</v>
      </c>
      <c r="D386" s="16">
        <v>5570.5302000000001</v>
      </c>
      <c r="E386" s="16">
        <v>54960.256745399209</v>
      </c>
    </row>
    <row r="387" spans="1:5" x14ac:dyDescent="0.25">
      <c r="A387" s="13" t="s">
        <v>909</v>
      </c>
      <c r="B387" s="13" t="s">
        <v>393</v>
      </c>
      <c r="C387" s="16">
        <v>64588809</v>
      </c>
      <c r="D387" s="13">
        <v>897.36590000000001</v>
      </c>
      <c r="E387" s="16">
        <v>71976.001093868181</v>
      </c>
    </row>
    <row r="388" spans="1:5" x14ac:dyDescent="0.25">
      <c r="A388" s="13" t="s">
        <v>910</v>
      </c>
      <c r="B388" s="13" t="s">
        <v>394</v>
      </c>
      <c r="C388" s="16">
        <v>31114881</v>
      </c>
      <c r="D388" s="13">
        <v>516.45680000000004</v>
      </c>
      <c r="E388" s="16">
        <v>60246.822193066291</v>
      </c>
    </row>
    <row r="389" spans="1:5" x14ac:dyDescent="0.25">
      <c r="A389" s="13" t="s">
        <v>911</v>
      </c>
      <c r="B389" s="13" t="s">
        <v>395</v>
      </c>
      <c r="C389" s="16">
        <v>80183613</v>
      </c>
      <c r="D389" s="13">
        <v>669.88679999999999</v>
      </c>
      <c r="E389" s="16">
        <v>119697.25780534861</v>
      </c>
    </row>
    <row r="390" spans="1:5" x14ac:dyDescent="0.25">
      <c r="A390" s="13" t="s">
        <v>912</v>
      </c>
      <c r="B390" s="13" t="s">
        <v>396</v>
      </c>
      <c r="C390" s="16">
        <v>82544174</v>
      </c>
      <c r="D390" s="13">
        <v>711.85410000000002</v>
      </c>
      <c r="E390" s="16">
        <v>115956.58998100874</v>
      </c>
    </row>
    <row r="391" spans="1:5" x14ac:dyDescent="0.25">
      <c r="A391" s="13" t="s">
        <v>913</v>
      </c>
      <c r="B391" s="13" t="s">
        <v>397</v>
      </c>
      <c r="C391" s="16">
        <v>25796938</v>
      </c>
      <c r="D391" s="13">
        <v>370.66079999999999</v>
      </c>
      <c r="E391" s="16">
        <v>69597.157293137017</v>
      </c>
    </row>
    <row r="392" spans="1:5" x14ac:dyDescent="0.25">
      <c r="A392" s="13" t="s">
        <v>914</v>
      </c>
      <c r="B392" s="13" t="s">
        <v>398</v>
      </c>
      <c r="C392" s="16">
        <v>14901543</v>
      </c>
      <c r="D392" s="13">
        <v>132.79740000000001</v>
      </c>
      <c r="E392" s="16">
        <v>112212.61109027737</v>
      </c>
    </row>
    <row r="393" spans="1:5" x14ac:dyDescent="0.25">
      <c r="A393" s="13" t="s">
        <v>915</v>
      </c>
      <c r="B393" s="13" t="s">
        <v>399</v>
      </c>
      <c r="C393" s="16">
        <v>12218407</v>
      </c>
      <c r="D393" s="13">
        <v>183.54990000000001</v>
      </c>
      <c r="E393" s="16">
        <v>66567.222319380176</v>
      </c>
    </row>
    <row r="394" spans="1:5" x14ac:dyDescent="0.25">
      <c r="A394" s="13" t="s">
        <v>916</v>
      </c>
      <c r="B394" s="13" t="s">
        <v>400</v>
      </c>
      <c r="C394" s="16">
        <v>162758691</v>
      </c>
      <c r="D394" s="13">
        <v>567.70399999999995</v>
      </c>
      <c r="E394" s="16">
        <v>286696.39636148419</v>
      </c>
    </row>
    <row r="395" spans="1:5" x14ac:dyDescent="0.25">
      <c r="A395" s="13" t="s">
        <v>917</v>
      </c>
      <c r="B395" s="13" t="s">
        <v>401</v>
      </c>
      <c r="C395" s="16">
        <v>173551744</v>
      </c>
      <c r="D395" s="16">
        <v>2123.4322000000002</v>
      </c>
      <c r="E395" s="16">
        <v>81731.709634995641</v>
      </c>
    </row>
    <row r="396" spans="1:5" x14ac:dyDescent="0.25">
      <c r="A396" s="13" t="s">
        <v>918</v>
      </c>
      <c r="B396" s="13" t="s">
        <v>402</v>
      </c>
      <c r="C396" s="16">
        <v>69703134</v>
      </c>
      <c r="D396" s="16">
        <v>1124.8368</v>
      </c>
      <c r="E396" s="16">
        <v>61967.33072744419</v>
      </c>
    </row>
    <row r="397" spans="1:5" x14ac:dyDescent="0.25">
      <c r="A397" s="13" t="s">
        <v>919</v>
      </c>
      <c r="B397" s="13" t="s">
        <v>403</v>
      </c>
      <c r="C397" s="16">
        <v>23536148</v>
      </c>
      <c r="D397" s="13">
        <v>272.4171</v>
      </c>
      <c r="E397" s="16">
        <v>86397.469175026083</v>
      </c>
    </row>
    <row r="398" spans="1:5" x14ac:dyDescent="0.25">
      <c r="A398" s="13" t="s">
        <v>920</v>
      </c>
      <c r="B398" s="13" t="s">
        <v>404</v>
      </c>
      <c r="C398" s="16">
        <v>18086214</v>
      </c>
      <c r="D398" s="13">
        <v>211.8184</v>
      </c>
      <c r="E398" s="16">
        <v>85385.471705951888</v>
      </c>
    </row>
    <row r="399" spans="1:5" x14ac:dyDescent="0.25">
      <c r="A399" s="13" t="s">
        <v>921</v>
      </c>
      <c r="B399" s="13" t="s">
        <v>405</v>
      </c>
      <c r="C399" s="16">
        <v>115867706</v>
      </c>
      <c r="D399" s="16">
        <v>1453.9967999999999</v>
      </c>
      <c r="E399" s="16">
        <v>79689.106606011788</v>
      </c>
    </row>
    <row r="400" spans="1:5" x14ac:dyDescent="0.25">
      <c r="A400" s="13" t="s">
        <v>922</v>
      </c>
      <c r="B400" s="13" t="s">
        <v>406</v>
      </c>
      <c r="C400" s="16">
        <v>6282438</v>
      </c>
      <c r="D400" s="13">
        <v>79.884299999999996</v>
      </c>
      <c r="E400" s="16">
        <v>78644.214194779197</v>
      </c>
    </row>
    <row r="401" spans="1:5" x14ac:dyDescent="0.25">
      <c r="A401" s="13" t="s">
        <v>923</v>
      </c>
      <c r="B401" s="13" t="s">
        <v>407</v>
      </c>
      <c r="C401" s="16">
        <v>37456069</v>
      </c>
      <c r="D401" s="13">
        <v>450.7319</v>
      </c>
      <c r="E401" s="16">
        <v>83100.550460262515</v>
      </c>
    </row>
    <row r="402" spans="1:5" x14ac:dyDescent="0.25">
      <c r="A402" s="13" t="s">
        <v>924</v>
      </c>
      <c r="B402" s="13" t="s">
        <v>408</v>
      </c>
      <c r="C402" s="16">
        <v>74470341</v>
      </c>
      <c r="D402" s="13">
        <v>215.2362</v>
      </c>
      <c r="E402" s="16">
        <v>345993.56892567332</v>
      </c>
    </row>
    <row r="403" spans="1:5" x14ac:dyDescent="0.25">
      <c r="A403" s="13" t="s">
        <v>925</v>
      </c>
      <c r="B403" s="13" t="s">
        <v>409</v>
      </c>
      <c r="C403" s="16">
        <v>57510003</v>
      </c>
      <c r="D403" s="13">
        <v>224.56100000000001</v>
      </c>
      <c r="E403" s="16">
        <v>256099.69228850957</v>
      </c>
    </row>
    <row r="404" spans="1:5" x14ac:dyDescent="0.25">
      <c r="A404" s="13" t="s">
        <v>926</v>
      </c>
      <c r="B404" s="13" t="s">
        <v>410</v>
      </c>
      <c r="C404" s="16">
        <v>10838248</v>
      </c>
      <c r="D404" s="13">
        <v>371.67020000000002</v>
      </c>
      <c r="E404" s="16">
        <v>29160.928156198694</v>
      </c>
    </row>
    <row r="405" spans="1:5" x14ac:dyDescent="0.25">
      <c r="A405" s="13" t="s">
        <v>927</v>
      </c>
      <c r="B405" s="13" t="s">
        <v>411</v>
      </c>
      <c r="C405" s="16">
        <v>74664709</v>
      </c>
      <c r="D405" s="16">
        <v>1382.3288</v>
      </c>
      <c r="E405" s="16">
        <v>54013.711499029756</v>
      </c>
    </row>
    <row r="406" spans="1:5" x14ac:dyDescent="0.25">
      <c r="A406" s="13" t="s">
        <v>928</v>
      </c>
      <c r="B406" s="13" t="s">
        <v>412</v>
      </c>
      <c r="C406" s="16">
        <v>6389047</v>
      </c>
      <c r="D406" s="13">
        <v>150.3614</v>
      </c>
      <c r="E406" s="16">
        <v>42491.271030995988</v>
      </c>
    </row>
    <row r="407" spans="1:5" x14ac:dyDescent="0.25">
      <c r="A407" s="13" t="s">
        <v>929</v>
      </c>
      <c r="B407" s="13" t="s">
        <v>413</v>
      </c>
      <c r="C407" s="16">
        <v>6254546</v>
      </c>
      <c r="D407" s="13">
        <v>115.9323</v>
      </c>
      <c r="E407" s="16">
        <v>53949.986328227766</v>
      </c>
    </row>
    <row r="408" spans="1:5" x14ac:dyDescent="0.25">
      <c r="A408" s="13" t="s">
        <v>930</v>
      </c>
      <c r="B408" s="13" t="s">
        <v>414</v>
      </c>
      <c r="C408" s="16">
        <v>2230759592</v>
      </c>
      <c r="D408" s="16">
        <v>17161.1682</v>
      </c>
      <c r="E408" s="16">
        <v>129988.79598418015</v>
      </c>
    </row>
    <row r="409" spans="1:5" x14ac:dyDescent="0.25">
      <c r="A409" s="13" t="s">
        <v>931</v>
      </c>
      <c r="B409" s="13" t="s">
        <v>415</v>
      </c>
      <c r="C409" s="16">
        <v>2371839820</v>
      </c>
      <c r="D409" s="16">
        <v>15989.447099999999</v>
      </c>
      <c r="E409" s="16">
        <v>148337.82589017728</v>
      </c>
    </row>
    <row r="410" spans="1:5" x14ac:dyDescent="0.25">
      <c r="A410" s="13" t="s">
        <v>932</v>
      </c>
      <c r="B410" s="13" t="s">
        <v>416</v>
      </c>
      <c r="C410" s="16">
        <v>1727114927</v>
      </c>
      <c r="D410" s="16">
        <v>15063.181500000001</v>
      </c>
      <c r="E410" s="16">
        <v>114658.04398625881</v>
      </c>
    </row>
    <row r="411" spans="1:5" x14ac:dyDescent="0.25">
      <c r="A411" s="13" t="s">
        <v>933</v>
      </c>
      <c r="B411" s="13" t="s">
        <v>417</v>
      </c>
      <c r="C411" s="16">
        <v>924341460</v>
      </c>
      <c r="D411" s="16">
        <v>4560.7145</v>
      </c>
      <c r="E411" s="16">
        <v>202674.70371144696</v>
      </c>
    </row>
    <row r="412" spans="1:5" x14ac:dyDescent="0.25">
      <c r="A412" s="13" t="s">
        <v>934</v>
      </c>
      <c r="B412" s="13" t="s">
        <v>418</v>
      </c>
      <c r="C412" s="16">
        <v>301727890</v>
      </c>
      <c r="D412" s="16">
        <v>1741.0047</v>
      </c>
      <c r="E412" s="16">
        <v>173306.76361758242</v>
      </c>
    </row>
    <row r="413" spans="1:5" x14ac:dyDescent="0.25">
      <c r="A413" s="13" t="s">
        <v>935</v>
      </c>
      <c r="B413" s="13" t="s">
        <v>419</v>
      </c>
      <c r="C413" s="16">
        <v>26645101</v>
      </c>
      <c r="D413" s="13">
        <v>309.29109999999997</v>
      </c>
      <c r="E413" s="16">
        <v>86148.941886785629</v>
      </c>
    </row>
    <row r="414" spans="1:5" x14ac:dyDescent="0.25">
      <c r="A414" s="13" t="s">
        <v>936</v>
      </c>
      <c r="B414" s="13" t="s">
        <v>420</v>
      </c>
      <c r="C414" s="16">
        <v>6880788</v>
      </c>
      <c r="D414" s="13">
        <v>76.642399999999995</v>
      </c>
      <c r="E414" s="16">
        <v>89777.825329060681</v>
      </c>
    </row>
    <row r="415" spans="1:5" x14ac:dyDescent="0.25">
      <c r="A415" s="13" t="s">
        <v>937</v>
      </c>
      <c r="B415" s="13" t="s">
        <v>421</v>
      </c>
      <c r="C415" s="16">
        <v>32163110</v>
      </c>
      <c r="D415" s="13">
        <v>382.51440000000002</v>
      </c>
      <c r="E415" s="16">
        <v>84083.396598925421</v>
      </c>
    </row>
    <row r="416" spans="1:5" x14ac:dyDescent="0.25">
      <c r="A416" s="13" t="s">
        <v>938</v>
      </c>
      <c r="B416" s="13" t="s">
        <v>422</v>
      </c>
      <c r="C416" s="16">
        <v>31144432</v>
      </c>
      <c r="D416" s="13">
        <v>428.0376</v>
      </c>
      <c r="E416" s="16">
        <v>72760.97240055546</v>
      </c>
    </row>
    <row r="417" spans="1:5" x14ac:dyDescent="0.25">
      <c r="A417" s="13" t="s">
        <v>939</v>
      </c>
      <c r="B417" s="13" t="s">
        <v>423</v>
      </c>
      <c r="C417" s="16">
        <v>28099212</v>
      </c>
      <c r="D417" s="13">
        <v>503.74200000000002</v>
      </c>
      <c r="E417" s="16">
        <v>55780.959300594353</v>
      </c>
    </row>
    <row r="418" spans="1:5" x14ac:dyDescent="0.25">
      <c r="A418" s="13" t="s">
        <v>940</v>
      </c>
      <c r="B418" s="13" t="s">
        <v>424</v>
      </c>
      <c r="C418" s="16">
        <v>353102210</v>
      </c>
      <c r="D418" s="16">
        <v>3733.4393</v>
      </c>
      <c r="E418" s="16">
        <v>94578.264604435913</v>
      </c>
    </row>
    <row r="419" spans="1:5" x14ac:dyDescent="0.25">
      <c r="A419" s="13" t="s">
        <v>941</v>
      </c>
      <c r="B419" s="13" t="s">
        <v>425</v>
      </c>
      <c r="C419" s="16">
        <v>167963657</v>
      </c>
      <c r="D419" s="16">
        <v>2758.8782999999999</v>
      </c>
      <c r="E419" s="16">
        <v>60881.140353309536</v>
      </c>
    </row>
    <row r="420" spans="1:5" x14ac:dyDescent="0.25">
      <c r="A420" s="13" t="s">
        <v>942</v>
      </c>
      <c r="B420" s="13" t="s">
        <v>426</v>
      </c>
      <c r="C420" s="16">
        <v>99954715</v>
      </c>
      <c r="D420" s="16">
        <v>2169.0126</v>
      </c>
      <c r="E420" s="16">
        <v>46083.049494502702</v>
      </c>
    </row>
    <row r="421" spans="1:5" x14ac:dyDescent="0.25">
      <c r="A421" s="13" t="s">
        <v>943</v>
      </c>
      <c r="B421" s="13" t="s">
        <v>427</v>
      </c>
      <c r="C421" s="16">
        <v>46013166</v>
      </c>
      <c r="D421" s="16">
        <v>1027.7336</v>
      </c>
      <c r="E421" s="16">
        <v>44771.491367023518</v>
      </c>
    </row>
    <row r="422" spans="1:5" x14ac:dyDescent="0.25">
      <c r="A422" s="13" t="s">
        <v>944</v>
      </c>
      <c r="B422" s="13" t="s">
        <v>428</v>
      </c>
      <c r="C422" s="16">
        <v>363408570</v>
      </c>
      <c r="D422" s="16">
        <v>1694.3284000000001</v>
      </c>
      <c r="E422" s="16">
        <v>214485.32055533034</v>
      </c>
    </row>
    <row r="423" spans="1:5" x14ac:dyDescent="0.25">
      <c r="A423" s="13" t="s">
        <v>945</v>
      </c>
      <c r="B423" s="13" t="s">
        <v>429</v>
      </c>
      <c r="C423" s="16">
        <v>1596403200</v>
      </c>
      <c r="D423" s="16">
        <v>16508.040300000001</v>
      </c>
      <c r="E423" s="16">
        <v>96704.58582536898</v>
      </c>
    </row>
    <row r="424" spans="1:5" x14ac:dyDescent="0.25">
      <c r="A424" s="13" t="s">
        <v>946</v>
      </c>
      <c r="B424" s="13" t="s">
        <v>430</v>
      </c>
      <c r="C424" s="16">
        <v>891117690</v>
      </c>
      <c r="D424" s="16">
        <v>9026.7504000000008</v>
      </c>
      <c r="E424" s="16">
        <v>98719.655525204274</v>
      </c>
    </row>
    <row r="425" spans="1:5" x14ac:dyDescent="0.25">
      <c r="A425" s="13" t="s">
        <v>947</v>
      </c>
      <c r="B425" s="13" t="s">
        <v>431</v>
      </c>
      <c r="C425" s="16">
        <v>1293132570</v>
      </c>
      <c r="D425" s="16">
        <v>5287.2066999999997</v>
      </c>
      <c r="E425" s="16">
        <v>244577.64626451998</v>
      </c>
    </row>
    <row r="426" spans="1:5" x14ac:dyDescent="0.25">
      <c r="A426" s="13" t="s">
        <v>948</v>
      </c>
      <c r="B426" s="13" t="s">
        <v>432</v>
      </c>
      <c r="C426" s="16">
        <v>3425378078</v>
      </c>
      <c r="D426" s="16">
        <v>19851.7111</v>
      </c>
      <c r="E426" s="16">
        <v>172548.25343493943</v>
      </c>
    </row>
    <row r="427" spans="1:5" x14ac:dyDescent="0.25">
      <c r="A427" s="13" t="s">
        <v>949</v>
      </c>
      <c r="B427" s="13" t="s">
        <v>433</v>
      </c>
      <c r="C427" s="16">
        <v>1303616780</v>
      </c>
      <c r="D427" s="16">
        <v>5263.1234999999997</v>
      </c>
      <c r="E427" s="16">
        <v>247688.80684635276</v>
      </c>
    </row>
    <row r="428" spans="1:5" x14ac:dyDescent="0.25">
      <c r="A428" s="13" t="s">
        <v>950</v>
      </c>
      <c r="B428" s="13" t="s">
        <v>434</v>
      </c>
      <c r="C428" s="16">
        <v>1267181520</v>
      </c>
      <c r="D428" s="16">
        <v>6116.3338000000003</v>
      </c>
      <c r="E428" s="16">
        <v>207179.9155239042</v>
      </c>
    </row>
    <row r="429" spans="1:5" x14ac:dyDescent="0.25">
      <c r="A429" s="13" t="s">
        <v>951</v>
      </c>
      <c r="B429" s="13" t="s">
        <v>435</v>
      </c>
      <c r="C429" s="16">
        <v>1712065600</v>
      </c>
      <c r="D429" s="16">
        <v>9557.5702999999994</v>
      </c>
      <c r="E429" s="16">
        <v>179131.88668881674</v>
      </c>
    </row>
    <row r="430" spans="1:5" x14ac:dyDescent="0.25">
      <c r="A430" s="13" t="s">
        <v>952</v>
      </c>
      <c r="B430" s="13" t="s">
        <v>436</v>
      </c>
      <c r="C430" s="16">
        <v>4370660330</v>
      </c>
      <c r="D430" s="16">
        <v>16752.139500000001</v>
      </c>
      <c r="E430" s="16">
        <v>260901.61976027</v>
      </c>
    </row>
    <row r="431" spans="1:5" x14ac:dyDescent="0.25">
      <c r="A431" s="13" t="s">
        <v>953</v>
      </c>
      <c r="B431" s="13" t="s">
        <v>437</v>
      </c>
      <c r="C431" s="16">
        <v>371163090</v>
      </c>
      <c r="D431" s="16">
        <v>2409.0373</v>
      </c>
      <c r="E431" s="16">
        <v>154071.12625445859</v>
      </c>
    </row>
    <row r="432" spans="1:5" x14ac:dyDescent="0.25">
      <c r="A432" s="13" t="s">
        <v>954</v>
      </c>
      <c r="B432" s="13" t="s">
        <v>438</v>
      </c>
      <c r="C432" s="16">
        <v>141045950</v>
      </c>
      <c r="D432" s="16">
        <v>1640.0363</v>
      </c>
      <c r="E432" s="16">
        <v>86001.724474025366</v>
      </c>
    </row>
    <row r="433" spans="1:5" x14ac:dyDescent="0.25">
      <c r="A433" s="13" t="s">
        <v>955</v>
      </c>
      <c r="B433" s="13" t="s">
        <v>439</v>
      </c>
      <c r="C433" s="16">
        <v>286333430</v>
      </c>
      <c r="D433" s="13">
        <v>728.4896</v>
      </c>
      <c r="E433" s="16">
        <v>393050.81362863659</v>
      </c>
    </row>
    <row r="434" spans="1:5" x14ac:dyDescent="0.25">
      <c r="A434" s="13" t="s">
        <v>956</v>
      </c>
      <c r="B434" s="13" t="s">
        <v>440</v>
      </c>
      <c r="C434" s="16">
        <v>1036106710</v>
      </c>
      <c r="D434" s="16">
        <v>2455.3407999999999</v>
      </c>
      <c r="E434" s="16">
        <v>421980.81423157227</v>
      </c>
    </row>
    <row r="435" spans="1:5" x14ac:dyDescent="0.25">
      <c r="A435" s="13" t="s">
        <v>957</v>
      </c>
      <c r="B435" s="13" t="s">
        <v>441</v>
      </c>
      <c r="C435" s="16">
        <v>152051310</v>
      </c>
      <c r="D435" s="16">
        <v>1413.3214</v>
      </c>
      <c r="E435" s="16">
        <v>107584.38243417244</v>
      </c>
    </row>
    <row r="436" spans="1:5" x14ac:dyDescent="0.25">
      <c r="A436" s="13" t="s">
        <v>958</v>
      </c>
      <c r="B436" s="13" t="s">
        <v>442</v>
      </c>
      <c r="C436" s="16">
        <v>92043070</v>
      </c>
      <c r="D436" s="16">
        <v>2369.2188000000001</v>
      </c>
      <c r="E436" s="16">
        <v>38849.543993150823</v>
      </c>
    </row>
    <row r="437" spans="1:5" x14ac:dyDescent="0.25">
      <c r="A437" s="13" t="s">
        <v>959</v>
      </c>
      <c r="B437" s="13" t="s">
        <v>443</v>
      </c>
      <c r="C437" s="16">
        <v>1527739010</v>
      </c>
      <c r="D437" s="16">
        <v>3832.2636000000002</v>
      </c>
      <c r="E437" s="16">
        <v>398651.85943889659</v>
      </c>
    </row>
    <row r="438" spans="1:5" x14ac:dyDescent="0.25">
      <c r="A438" s="13" t="s">
        <v>960</v>
      </c>
      <c r="B438" s="13" t="s">
        <v>444</v>
      </c>
      <c r="C438" s="16">
        <v>274723090</v>
      </c>
      <c r="D438" s="16">
        <v>1194.165</v>
      </c>
      <c r="E438" s="16">
        <v>230054.54857578309</v>
      </c>
    </row>
    <row r="439" spans="1:5" x14ac:dyDescent="0.25">
      <c r="A439" s="13" t="s">
        <v>961</v>
      </c>
      <c r="B439" s="13" t="s">
        <v>521</v>
      </c>
      <c r="C439" s="16">
        <v>241645260</v>
      </c>
      <c r="D439" s="16">
        <v>3389.6451999999999</v>
      </c>
      <c r="E439" s="16">
        <v>71289.248798074797</v>
      </c>
    </row>
    <row r="440" spans="1:5" x14ac:dyDescent="0.25">
      <c r="A440" s="13" t="s">
        <v>962</v>
      </c>
      <c r="B440" s="13" t="s">
        <v>445</v>
      </c>
      <c r="C440" s="16">
        <v>516770900</v>
      </c>
      <c r="D440" s="16">
        <v>5687.1993000000002</v>
      </c>
      <c r="E440" s="16">
        <v>90865.62167779138</v>
      </c>
    </row>
    <row r="441" spans="1:5" x14ac:dyDescent="0.25">
      <c r="A441" s="13" t="s">
        <v>963</v>
      </c>
      <c r="B441" s="13" t="s">
        <v>446</v>
      </c>
      <c r="C441" s="16">
        <v>182774690</v>
      </c>
      <c r="D441" s="16">
        <v>5234.6707999999999</v>
      </c>
      <c r="E441" s="16">
        <v>34916.176581725063</v>
      </c>
    </row>
    <row r="442" spans="1:5" x14ac:dyDescent="0.25">
      <c r="A442" s="13" t="s">
        <v>964</v>
      </c>
      <c r="B442" s="13" t="s">
        <v>447</v>
      </c>
      <c r="C442" s="16">
        <v>604066340</v>
      </c>
      <c r="D442" s="16">
        <v>2442.5007999999998</v>
      </c>
      <c r="E442" s="16">
        <v>247314.6948406322</v>
      </c>
    </row>
    <row r="443" spans="1:5" x14ac:dyDescent="0.25">
      <c r="A443" s="13" t="s">
        <v>965</v>
      </c>
      <c r="B443" s="13" t="s">
        <v>448</v>
      </c>
      <c r="C443" s="16">
        <v>161804870</v>
      </c>
      <c r="D443" s="13">
        <v>824.44659999999999</v>
      </c>
      <c r="E443" s="16">
        <v>196258.76315094272</v>
      </c>
    </row>
    <row r="444" spans="1:5" x14ac:dyDescent="0.25">
      <c r="A444" s="13" t="s">
        <v>966</v>
      </c>
      <c r="B444" s="13" t="s">
        <v>449</v>
      </c>
      <c r="C444" s="16">
        <v>740899120</v>
      </c>
      <c r="D444" s="16">
        <v>4197.9399000000003</v>
      </c>
      <c r="E444" s="16">
        <v>176491.1212759382</v>
      </c>
    </row>
    <row r="445" spans="1:5" x14ac:dyDescent="0.25">
      <c r="A445" s="13" t="s">
        <v>1580</v>
      </c>
      <c r="B445" s="13" t="s">
        <v>1581</v>
      </c>
      <c r="C445" s="16">
        <v>0</v>
      </c>
      <c r="D445" s="16">
        <v>1853.5725</v>
      </c>
      <c r="E445" s="16">
        <v>0</v>
      </c>
    </row>
    <row r="446" spans="1:5" x14ac:dyDescent="0.25">
      <c r="A446" s="13" t="s">
        <v>967</v>
      </c>
      <c r="B446" s="13" t="s">
        <v>30</v>
      </c>
      <c r="C446" s="16">
        <v>11115439</v>
      </c>
      <c r="D446" s="13">
        <v>74.962599999999995</v>
      </c>
      <c r="E446" s="16">
        <v>148279.79552470165</v>
      </c>
    </row>
    <row r="447" spans="1:5" x14ac:dyDescent="0.25">
      <c r="A447" s="13" t="s">
        <v>968</v>
      </c>
      <c r="B447" s="13" t="s">
        <v>450</v>
      </c>
      <c r="C447" s="16">
        <v>6968016</v>
      </c>
      <c r="D447" s="13">
        <v>68.164100000000005</v>
      </c>
      <c r="E447" s="16">
        <v>102224.13264460323</v>
      </c>
    </row>
    <row r="448" spans="1:5" x14ac:dyDescent="0.25">
      <c r="A448" s="13" t="s">
        <v>969</v>
      </c>
      <c r="B448" s="13" t="s">
        <v>451</v>
      </c>
      <c r="C448" s="16">
        <v>12774171</v>
      </c>
      <c r="D448" s="13">
        <v>65.596900000000005</v>
      </c>
      <c r="E448" s="16">
        <v>194737.41899388537</v>
      </c>
    </row>
    <row r="449" spans="1:5" x14ac:dyDescent="0.25">
      <c r="A449" s="13" t="s">
        <v>970</v>
      </c>
      <c r="B449" s="13" t="s">
        <v>452</v>
      </c>
      <c r="C449" s="16">
        <v>8557537</v>
      </c>
      <c r="D449" s="13">
        <v>80.0749</v>
      </c>
      <c r="E449" s="16">
        <v>106869.15625245863</v>
      </c>
    </row>
    <row r="450" spans="1:5" x14ac:dyDescent="0.25">
      <c r="A450" s="13" t="s">
        <v>971</v>
      </c>
      <c r="B450" s="13" t="s">
        <v>453</v>
      </c>
      <c r="C450" s="16">
        <v>3458243</v>
      </c>
      <c r="D450" s="13">
        <v>37.191400000000002</v>
      </c>
      <c r="E450" s="16">
        <v>92985.018041805364</v>
      </c>
    </row>
    <row r="451" spans="1:5" x14ac:dyDescent="0.25">
      <c r="A451" s="13" t="s">
        <v>972</v>
      </c>
      <c r="B451" s="13" t="s">
        <v>454</v>
      </c>
      <c r="C451" s="16">
        <v>165766374</v>
      </c>
      <c r="D451" s="16">
        <v>2319.58</v>
      </c>
      <c r="E451" s="16">
        <v>71463.960717026363</v>
      </c>
    </row>
    <row r="452" spans="1:5" x14ac:dyDescent="0.25">
      <c r="A452" s="13" t="s">
        <v>973</v>
      </c>
      <c r="B452" s="13" t="s">
        <v>455</v>
      </c>
      <c r="C452" s="16">
        <v>20179145</v>
      </c>
      <c r="D452" s="13">
        <v>297.00080000000003</v>
      </c>
      <c r="E452" s="16">
        <v>67943.066146623169</v>
      </c>
    </row>
    <row r="453" spans="1:5" x14ac:dyDescent="0.25">
      <c r="A453" s="13" t="s">
        <v>974</v>
      </c>
      <c r="B453" s="13" t="s">
        <v>456</v>
      </c>
      <c r="C453" s="16">
        <v>31696432</v>
      </c>
      <c r="D453" s="13">
        <v>408.99520000000001</v>
      </c>
      <c r="E453" s="16">
        <v>77498.298268537139</v>
      </c>
    </row>
    <row r="454" spans="1:5" x14ac:dyDescent="0.25">
      <c r="A454" s="13" t="s">
        <v>975</v>
      </c>
      <c r="B454" s="13" t="s">
        <v>457</v>
      </c>
      <c r="C454" s="16">
        <v>43895314</v>
      </c>
      <c r="D454" s="13">
        <v>564.2482</v>
      </c>
      <c r="E454" s="16">
        <v>77794.335896862409</v>
      </c>
    </row>
    <row r="455" spans="1:5" x14ac:dyDescent="0.25">
      <c r="A455" s="13" t="s">
        <v>976</v>
      </c>
      <c r="B455" s="13" t="s">
        <v>458</v>
      </c>
      <c r="C455" s="16">
        <v>65635456</v>
      </c>
      <c r="D455" s="13">
        <v>565.13620000000003</v>
      </c>
      <c r="E455" s="16">
        <v>116140.95150868056</v>
      </c>
    </row>
    <row r="456" spans="1:5" x14ac:dyDescent="0.25">
      <c r="A456" s="13" t="s">
        <v>977</v>
      </c>
      <c r="B456" s="13" t="s">
        <v>459</v>
      </c>
      <c r="C456" s="16">
        <v>59269540</v>
      </c>
      <c r="D456" s="13">
        <v>785.93449999999996</v>
      </c>
      <c r="E456" s="16">
        <v>75412.82384219041</v>
      </c>
    </row>
    <row r="457" spans="1:5" x14ac:dyDescent="0.25">
      <c r="A457" s="13" t="s">
        <v>978</v>
      </c>
      <c r="B457" s="13" t="s">
        <v>460</v>
      </c>
      <c r="C457" s="16">
        <v>25249630</v>
      </c>
      <c r="D457" s="13">
        <v>641.98810000000003</v>
      </c>
      <c r="E457" s="16">
        <v>39330.370765439417</v>
      </c>
    </row>
    <row r="458" spans="1:5" x14ac:dyDescent="0.25">
      <c r="A458" s="13" t="s">
        <v>979</v>
      </c>
      <c r="B458" s="13" t="s">
        <v>461</v>
      </c>
      <c r="C458" s="16">
        <v>62988750</v>
      </c>
      <c r="D458" s="13">
        <v>933.22119999999995</v>
      </c>
      <c r="E458" s="16">
        <v>67496.05559753679</v>
      </c>
    </row>
    <row r="459" spans="1:5" x14ac:dyDescent="0.25">
      <c r="A459" s="13" t="s">
        <v>980</v>
      </c>
      <c r="B459" s="13" t="s">
        <v>462</v>
      </c>
      <c r="C459" s="16">
        <v>17255120</v>
      </c>
      <c r="D459" s="13">
        <v>284.87290000000002</v>
      </c>
      <c r="E459" s="16">
        <v>60571.293373290333</v>
      </c>
    </row>
    <row r="460" spans="1:5" x14ac:dyDescent="0.25">
      <c r="A460" s="13" t="s">
        <v>981</v>
      </c>
      <c r="B460" s="13" t="s">
        <v>463</v>
      </c>
      <c r="C460" s="16">
        <v>246920679</v>
      </c>
      <c r="D460" s="16">
        <v>3088.5583000000001</v>
      </c>
      <c r="E460" s="16">
        <v>79946.905648502725</v>
      </c>
    </row>
    <row r="461" spans="1:5" x14ac:dyDescent="0.25">
      <c r="A461" s="13" t="s">
        <v>982</v>
      </c>
      <c r="B461" s="13" t="s">
        <v>464</v>
      </c>
      <c r="C461" s="16">
        <v>27402340</v>
      </c>
      <c r="D461" s="13">
        <v>133.21260000000001</v>
      </c>
      <c r="E461" s="16">
        <v>205703.81480430529</v>
      </c>
    </row>
    <row r="462" spans="1:5" x14ac:dyDescent="0.25">
      <c r="A462" s="13" t="s">
        <v>983</v>
      </c>
      <c r="B462" s="13" t="s">
        <v>465</v>
      </c>
      <c r="C462" s="16">
        <v>22187240</v>
      </c>
      <c r="D462" s="13">
        <v>339.4941</v>
      </c>
      <c r="E462" s="16">
        <v>65353.830891317404</v>
      </c>
    </row>
    <row r="463" spans="1:5" x14ac:dyDescent="0.25">
      <c r="A463" s="13" t="s">
        <v>984</v>
      </c>
      <c r="B463" s="13" t="s">
        <v>466</v>
      </c>
      <c r="C463" s="16">
        <v>18373449</v>
      </c>
      <c r="D463" s="13">
        <v>459.88619999999997</v>
      </c>
      <c r="E463" s="16">
        <v>39952.16425280863</v>
      </c>
    </row>
    <row r="464" spans="1:5" x14ac:dyDescent="0.25">
      <c r="A464" s="13" t="s">
        <v>985</v>
      </c>
      <c r="B464" s="13" t="s">
        <v>467</v>
      </c>
      <c r="C464" s="16">
        <v>22041776</v>
      </c>
      <c r="D464" s="13">
        <v>254.4367</v>
      </c>
      <c r="E464" s="16">
        <v>86629.703969592432</v>
      </c>
    </row>
    <row r="465" spans="1:5" x14ac:dyDescent="0.25">
      <c r="A465" s="13" t="s">
        <v>986</v>
      </c>
      <c r="B465" s="13" t="s">
        <v>468</v>
      </c>
      <c r="C465" s="16">
        <v>35379713</v>
      </c>
      <c r="D465" s="13">
        <v>277.34699999999998</v>
      </c>
      <c r="E465" s="16">
        <v>127564.79428297405</v>
      </c>
    </row>
    <row r="466" spans="1:5" x14ac:dyDescent="0.25">
      <c r="A466" s="13" t="s">
        <v>987</v>
      </c>
      <c r="B466" s="13" t="s">
        <v>469</v>
      </c>
      <c r="C466" s="16">
        <v>62148227</v>
      </c>
      <c r="D466" s="13">
        <v>693.98180000000002</v>
      </c>
      <c r="E466" s="16">
        <v>89553.107876892449</v>
      </c>
    </row>
    <row r="467" spans="1:5" x14ac:dyDescent="0.25">
      <c r="A467" s="13" t="s">
        <v>988</v>
      </c>
      <c r="B467" s="13" t="s">
        <v>470</v>
      </c>
      <c r="C467" s="16">
        <v>28324911</v>
      </c>
      <c r="D467" s="13">
        <v>263.91699999999997</v>
      </c>
      <c r="E467" s="16">
        <v>107325.07189760418</v>
      </c>
    </row>
    <row r="468" spans="1:5" x14ac:dyDescent="0.25">
      <c r="A468" s="13" t="s">
        <v>989</v>
      </c>
      <c r="B468" s="13" t="s">
        <v>471</v>
      </c>
      <c r="C468" s="16">
        <v>39981551</v>
      </c>
      <c r="D468" s="13">
        <v>219.63200000000001</v>
      </c>
      <c r="E468" s="16">
        <v>182038.82403292781</v>
      </c>
    </row>
    <row r="469" spans="1:5" x14ac:dyDescent="0.25">
      <c r="A469" s="13" t="s">
        <v>990</v>
      </c>
      <c r="B469" s="13" t="s">
        <v>472</v>
      </c>
      <c r="C469" s="16">
        <v>32628548</v>
      </c>
      <c r="D469" s="13">
        <v>416.52629999999999</v>
      </c>
      <c r="E469" s="16">
        <v>78334.904662682762</v>
      </c>
    </row>
    <row r="470" spans="1:5" x14ac:dyDescent="0.25">
      <c r="A470" s="13" t="s">
        <v>991</v>
      </c>
      <c r="B470" s="13" t="s">
        <v>473</v>
      </c>
      <c r="C470" s="16">
        <v>44584617</v>
      </c>
      <c r="D470" s="13">
        <v>814.17719999999997</v>
      </c>
      <c r="E470" s="16">
        <v>54760.335956349554</v>
      </c>
    </row>
    <row r="471" spans="1:5" x14ac:dyDescent="0.25">
      <c r="A471" s="13" t="s">
        <v>992</v>
      </c>
      <c r="B471" s="13" t="s">
        <v>474</v>
      </c>
      <c r="C471" s="16">
        <v>49481099</v>
      </c>
      <c r="D471" s="13">
        <v>633.69929999999999</v>
      </c>
      <c r="E471" s="16">
        <v>78082.931447139039</v>
      </c>
    </row>
    <row r="472" spans="1:5" x14ac:dyDescent="0.25">
      <c r="A472" s="13" t="s">
        <v>993</v>
      </c>
      <c r="B472" s="13" t="s">
        <v>475</v>
      </c>
      <c r="C472" s="16">
        <v>182165254</v>
      </c>
      <c r="D472" s="16">
        <v>1995.2963</v>
      </c>
      <c r="E472" s="16">
        <v>91297.344660038711</v>
      </c>
    </row>
    <row r="473" spans="1:5" x14ac:dyDescent="0.25">
      <c r="A473" s="13" t="s">
        <v>994</v>
      </c>
      <c r="B473" s="13" t="s">
        <v>476</v>
      </c>
      <c r="C473" s="16">
        <v>35622854</v>
      </c>
      <c r="D473" s="13">
        <v>474.9391</v>
      </c>
      <c r="E473" s="16">
        <v>75005.098548424416</v>
      </c>
    </row>
    <row r="474" spans="1:5" x14ac:dyDescent="0.25">
      <c r="A474" s="13" t="s">
        <v>995</v>
      </c>
      <c r="B474" s="13" t="s">
        <v>477</v>
      </c>
      <c r="C474" s="16">
        <v>12196133</v>
      </c>
      <c r="D474" s="13">
        <v>218.7415</v>
      </c>
      <c r="E474" s="16">
        <v>55755.917372789343</v>
      </c>
    </row>
    <row r="475" spans="1:5" x14ac:dyDescent="0.25">
      <c r="A475" s="13" t="s">
        <v>996</v>
      </c>
      <c r="B475" s="13" t="s">
        <v>478</v>
      </c>
      <c r="C475" s="16">
        <v>32256905</v>
      </c>
      <c r="D475" s="13">
        <v>442.97820000000002</v>
      </c>
      <c r="E475" s="16">
        <v>72818.267354917232</v>
      </c>
    </row>
    <row r="476" spans="1:5" x14ac:dyDescent="0.25">
      <c r="A476" s="13" t="s">
        <v>997</v>
      </c>
      <c r="B476" s="13" t="s">
        <v>479</v>
      </c>
      <c r="C476" s="16">
        <v>27671634</v>
      </c>
      <c r="D476" s="13">
        <v>582.7894</v>
      </c>
      <c r="E476" s="16">
        <v>47481.36119153849</v>
      </c>
    </row>
    <row r="477" spans="1:5" x14ac:dyDescent="0.25">
      <c r="A477" s="13" t="s">
        <v>998</v>
      </c>
      <c r="B477" s="13" t="s">
        <v>480</v>
      </c>
      <c r="C477" s="16">
        <v>371659375</v>
      </c>
      <c r="D477" s="16">
        <v>1725.8273999999999</v>
      </c>
      <c r="E477" s="16">
        <v>215351.41636991047</v>
      </c>
    </row>
    <row r="478" spans="1:5" x14ac:dyDescent="0.25">
      <c r="A478" s="13" t="s">
        <v>999</v>
      </c>
      <c r="B478" s="13" t="s">
        <v>481</v>
      </c>
      <c r="C478" s="16">
        <v>114851409</v>
      </c>
      <c r="D478" s="13">
        <v>513.94100000000003</v>
      </c>
      <c r="E478" s="16">
        <v>223471.97246376527</v>
      </c>
    </row>
    <row r="479" spans="1:5" x14ac:dyDescent="0.25">
      <c r="A479" s="13" t="s">
        <v>1000</v>
      </c>
      <c r="B479" s="13" t="s">
        <v>482</v>
      </c>
      <c r="C479" s="16">
        <v>23687329</v>
      </c>
      <c r="D479" s="13">
        <v>237.08799999999999</v>
      </c>
      <c r="E479" s="16">
        <v>99909.438689431772</v>
      </c>
    </row>
    <row r="480" spans="1:5" x14ac:dyDescent="0.25">
      <c r="A480" s="13" t="s">
        <v>1001</v>
      </c>
      <c r="B480" s="13" t="s">
        <v>483</v>
      </c>
      <c r="C480" s="16">
        <v>44922144</v>
      </c>
      <c r="D480" s="13">
        <v>655.22810000000004</v>
      </c>
      <c r="E480" s="16">
        <v>68559.550483259183</v>
      </c>
    </row>
    <row r="481" spans="1:5" x14ac:dyDescent="0.25">
      <c r="A481" s="13" t="s">
        <v>1002</v>
      </c>
      <c r="B481" s="13" t="s">
        <v>484</v>
      </c>
      <c r="C481" s="16">
        <v>11127959</v>
      </c>
      <c r="D481" s="13">
        <v>79.533799999999999</v>
      </c>
      <c r="E481" s="16">
        <v>139914.84123731044</v>
      </c>
    </row>
    <row r="482" spans="1:5" x14ac:dyDescent="0.25">
      <c r="A482" s="13" t="s">
        <v>1003</v>
      </c>
      <c r="B482" s="13" t="s">
        <v>485</v>
      </c>
      <c r="C482" s="16">
        <v>8720614</v>
      </c>
      <c r="D482" s="13">
        <v>185.86799999999999</v>
      </c>
      <c r="E482" s="16">
        <v>46918.318376482239</v>
      </c>
    </row>
    <row r="483" spans="1:5" x14ac:dyDescent="0.25">
      <c r="A483" s="13" t="s">
        <v>1004</v>
      </c>
      <c r="B483" s="13" t="s">
        <v>486</v>
      </c>
      <c r="C483" s="16">
        <v>11822807</v>
      </c>
      <c r="D483" s="13">
        <v>235.6473</v>
      </c>
      <c r="E483" s="16">
        <v>50171.620892749459</v>
      </c>
    </row>
    <row r="484" spans="1:5" x14ac:dyDescent="0.25">
      <c r="A484" s="13" t="s">
        <v>1005</v>
      </c>
      <c r="B484" s="13" t="s">
        <v>487</v>
      </c>
      <c r="C484" s="16">
        <v>78341688</v>
      </c>
      <c r="D484" s="16">
        <v>1060.9954</v>
      </c>
      <c r="E484" s="16">
        <v>73837.914848641187</v>
      </c>
    </row>
    <row r="485" spans="1:5" x14ac:dyDescent="0.25">
      <c r="A485" s="13" t="s">
        <v>1006</v>
      </c>
      <c r="B485" s="13" t="s">
        <v>488</v>
      </c>
      <c r="C485" s="16">
        <v>632460472</v>
      </c>
      <c r="D485" s="16">
        <v>4356.1238999999996</v>
      </c>
      <c r="E485" s="16">
        <v>145188.81613996334</v>
      </c>
    </row>
    <row r="486" spans="1:5" x14ac:dyDescent="0.25">
      <c r="A486" s="13" t="s">
        <v>1007</v>
      </c>
      <c r="B486" s="13" t="s">
        <v>489</v>
      </c>
      <c r="C486" s="16">
        <v>199190703</v>
      </c>
      <c r="D486" s="16">
        <v>1235.3398</v>
      </c>
      <c r="E486" s="16">
        <v>161243.65377040391</v>
      </c>
    </row>
    <row r="487" spans="1:5" x14ac:dyDescent="0.25">
      <c r="A487" s="13" t="s">
        <v>1008</v>
      </c>
      <c r="B487" s="13" t="s">
        <v>490</v>
      </c>
      <c r="C487" s="16">
        <v>37565309</v>
      </c>
      <c r="D487" s="13">
        <v>364.11500000000001</v>
      </c>
      <c r="E487" s="16">
        <v>103168.80381198248</v>
      </c>
    </row>
    <row r="488" spans="1:5" x14ac:dyDescent="0.25">
      <c r="A488" s="13" t="s">
        <v>1009</v>
      </c>
      <c r="B488" s="13" t="s">
        <v>491</v>
      </c>
      <c r="C488" s="16">
        <v>7220604</v>
      </c>
      <c r="D488" s="13">
        <v>55.380800000000001</v>
      </c>
      <c r="E488" s="16">
        <v>130380.99846878341</v>
      </c>
    </row>
    <row r="489" spans="1:5" x14ac:dyDescent="0.25">
      <c r="A489" s="13" t="s">
        <v>1010</v>
      </c>
      <c r="B489" s="13" t="s">
        <v>492</v>
      </c>
      <c r="C489" s="16">
        <v>8579808</v>
      </c>
      <c r="D489" s="13">
        <v>119.9318</v>
      </c>
      <c r="E489" s="16">
        <v>71539.05803131446</v>
      </c>
    </row>
    <row r="490" spans="1:5" x14ac:dyDescent="0.25">
      <c r="A490" s="13" t="s">
        <v>1011</v>
      </c>
      <c r="B490" s="13" t="s">
        <v>493</v>
      </c>
      <c r="C490" s="16">
        <v>58808964</v>
      </c>
      <c r="D490" s="13">
        <v>873.54060000000004</v>
      </c>
      <c r="E490" s="16">
        <v>67322.530858897677</v>
      </c>
    </row>
    <row r="491" spans="1:5" x14ac:dyDescent="0.25">
      <c r="A491" s="13" t="s">
        <v>1012</v>
      </c>
      <c r="B491" s="13" t="s">
        <v>494</v>
      </c>
      <c r="C491" s="16">
        <v>28744872</v>
      </c>
      <c r="D491" s="13">
        <v>421.96879999999999</v>
      </c>
      <c r="E491" s="16">
        <v>68120.846849340523</v>
      </c>
    </row>
    <row r="492" spans="1:5" x14ac:dyDescent="0.25">
      <c r="A492" s="13" t="s">
        <v>1013</v>
      </c>
      <c r="B492" s="13" t="s">
        <v>495</v>
      </c>
      <c r="C492" s="16">
        <v>40136322</v>
      </c>
      <c r="D492" s="13">
        <v>760.43110000000001</v>
      </c>
      <c r="E492" s="16">
        <v>52781.010666186587</v>
      </c>
    </row>
    <row r="493" spans="1:5" x14ac:dyDescent="0.25">
      <c r="A493" s="13" t="s">
        <v>1014</v>
      </c>
      <c r="B493" s="13" t="s">
        <v>496</v>
      </c>
      <c r="C493" s="16">
        <v>46959634</v>
      </c>
      <c r="D493" s="13">
        <v>736.43700000000001</v>
      </c>
      <c r="E493" s="16">
        <v>63765.98948722022</v>
      </c>
    </row>
    <row r="494" spans="1:5" x14ac:dyDescent="0.25">
      <c r="A494" s="13" t="s">
        <v>1015</v>
      </c>
      <c r="B494" s="13" t="s">
        <v>497</v>
      </c>
      <c r="C494" s="16">
        <v>33906355</v>
      </c>
      <c r="D494" s="13">
        <v>525.04859999999996</v>
      </c>
      <c r="E494" s="16">
        <v>64577.55529678586</v>
      </c>
    </row>
    <row r="495" spans="1:5" x14ac:dyDescent="0.25">
      <c r="A495" s="13" t="s">
        <v>1016</v>
      </c>
      <c r="B495" s="13" t="s">
        <v>498</v>
      </c>
      <c r="C495" s="16">
        <v>9394486</v>
      </c>
      <c r="D495" s="13">
        <v>176.76609999999999</v>
      </c>
      <c r="E495" s="16">
        <v>53146.423437525635</v>
      </c>
    </row>
    <row r="496" spans="1:5" x14ac:dyDescent="0.25">
      <c r="A496" s="13" t="s">
        <v>1017</v>
      </c>
      <c r="B496" s="13" t="s">
        <v>499</v>
      </c>
      <c r="C496" s="16">
        <v>173747626</v>
      </c>
      <c r="D496" s="16">
        <v>2301.8245999999999</v>
      </c>
      <c r="E496" s="16">
        <v>75482.56543960821</v>
      </c>
    </row>
    <row r="497" spans="1:5" x14ac:dyDescent="0.25">
      <c r="A497" s="13" t="s">
        <v>1018</v>
      </c>
      <c r="B497" s="13" t="s">
        <v>500</v>
      </c>
      <c r="C497" s="16">
        <v>13528459</v>
      </c>
      <c r="D497" s="13">
        <v>154.55940000000001</v>
      </c>
      <c r="E497" s="16">
        <v>87529.189424907177</v>
      </c>
    </row>
    <row r="498" spans="1:5" x14ac:dyDescent="0.25">
      <c r="A498" s="13" t="s">
        <v>1019</v>
      </c>
      <c r="B498" s="13" t="s">
        <v>501</v>
      </c>
      <c r="C498" s="16">
        <v>11867045</v>
      </c>
      <c r="D498" s="13">
        <v>172.8451</v>
      </c>
      <c r="E498" s="16">
        <v>68657.109747398106</v>
      </c>
    </row>
    <row r="499" spans="1:5" x14ac:dyDescent="0.25">
      <c r="A499" s="13" t="s">
        <v>1020</v>
      </c>
      <c r="B499" s="13" t="s">
        <v>502</v>
      </c>
      <c r="C499" s="16">
        <v>18656354</v>
      </c>
      <c r="D499" s="13">
        <v>385.54079999999999</v>
      </c>
      <c r="E499" s="16">
        <v>48390.089972319402</v>
      </c>
    </row>
    <row r="500" spans="1:5" x14ac:dyDescent="0.25">
      <c r="A500" s="13" t="s">
        <v>1021</v>
      </c>
      <c r="B500" s="13" t="s">
        <v>522</v>
      </c>
      <c r="C500" s="16">
        <v>189622385</v>
      </c>
      <c r="D500" s="16">
        <v>1546.1049</v>
      </c>
      <c r="E500" s="16">
        <v>122645.22607748026</v>
      </c>
    </row>
    <row r="501" spans="1:5" x14ac:dyDescent="0.25">
      <c r="A501" s="13" t="s">
        <v>1022</v>
      </c>
      <c r="B501" s="13" t="s">
        <v>503</v>
      </c>
      <c r="C501" s="16">
        <v>274816035</v>
      </c>
      <c r="D501" s="16">
        <v>3011.8265000000001</v>
      </c>
      <c r="E501" s="16">
        <v>91245.639481557111</v>
      </c>
    </row>
    <row r="502" spans="1:5" x14ac:dyDescent="0.25">
      <c r="A502" s="13" t="s">
        <v>1023</v>
      </c>
      <c r="B502" s="13" t="s">
        <v>504</v>
      </c>
      <c r="C502" s="16">
        <v>29706656</v>
      </c>
      <c r="D502" s="13">
        <v>759.17759999999998</v>
      </c>
      <c r="E502" s="16">
        <v>39130.048094148195</v>
      </c>
    </row>
    <row r="503" spans="1:5" x14ac:dyDescent="0.25">
      <c r="A503" s="13" t="s">
        <v>1024</v>
      </c>
      <c r="B503" s="13" t="s">
        <v>505</v>
      </c>
      <c r="C503" s="16">
        <v>86184330</v>
      </c>
      <c r="D503" s="16">
        <v>2083.2015999999999</v>
      </c>
      <c r="E503" s="16">
        <v>41371.094377039648</v>
      </c>
    </row>
    <row r="504" spans="1:5" x14ac:dyDescent="0.25">
      <c r="A504" s="13" t="s">
        <v>1025</v>
      </c>
      <c r="B504" s="13" t="s">
        <v>506</v>
      </c>
      <c r="C504" s="16">
        <v>12926014</v>
      </c>
      <c r="D504" s="13">
        <v>231.60489999999999</v>
      </c>
      <c r="E504" s="16">
        <v>55810.624041201205</v>
      </c>
    </row>
    <row r="505" spans="1:5" x14ac:dyDescent="0.25">
      <c r="A505" s="13" t="s">
        <v>1026</v>
      </c>
      <c r="B505" s="13" t="s">
        <v>507</v>
      </c>
      <c r="C505" s="16">
        <v>23821273</v>
      </c>
      <c r="D505" s="13">
        <v>365.68110000000001</v>
      </c>
      <c r="E505" s="16">
        <v>65142.204505510403</v>
      </c>
    </row>
    <row r="506" spans="1:5" x14ac:dyDescent="0.25">
      <c r="A506" s="13" t="s">
        <v>1027</v>
      </c>
      <c r="B506" s="13" t="s">
        <v>508</v>
      </c>
      <c r="C506" s="16">
        <v>43548953</v>
      </c>
      <c r="D506" s="13">
        <v>739.59270000000004</v>
      </c>
      <c r="E506" s="16">
        <v>58882.345647813992</v>
      </c>
    </row>
    <row r="507" spans="1:5" x14ac:dyDescent="0.25">
      <c r="A507" s="13" t="s">
        <v>1028</v>
      </c>
      <c r="B507" s="13" t="s">
        <v>509</v>
      </c>
      <c r="C507" s="16">
        <v>66190241</v>
      </c>
      <c r="D507" s="13">
        <v>930.76110000000006</v>
      </c>
      <c r="E507" s="16">
        <v>71114.103286009689</v>
      </c>
    </row>
    <row r="508" spans="1:5" x14ac:dyDescent="0.25">
      <c r="A508" s="13" t="s">
        <v>1029</v>
      </c>
      <c r="B508" s="13" t="s">
        <v>510</v>
      </c>
      <c r="C508" s="16">
        <v>15672605</v>
      </c>
      <c r="D508" s="13">
        <v>263.13959999999997</v>
      </c>
      <c r="E508" s="16">
        <v>59560.039613953966</v>
      </c>
    </row>
    <row r="509" spans="1:5" x14ac:dyDescent="0.25">
      <c r="A509" s="13" t="s">
        <v>1030</v>
      </c>
      <c r="B509" s="13" t="s">
        <v>511</v>
      </c>
      <c r="C509" s="16">
        <v>33248628</v>
      </c>
      <c r="D509" s="13">
        <v>526.38229999999999</v>
      </c>
      <c r="E509" s="16">
        <v>63164.411113367605</v>
      </c>
    </row>
    <row r="510" spans="1:5" x14ac:dyDescent="0.25">
      <c r="A510" s="13" t="s">
        <v>1031</v>
      </c>
      <c r="B510" s="13" t="s">
        <v>512</v>
      </c>
      <c r="C510" s="16">
        <v>190645100</v>
      </c>
      <c r="D510" s="16">
        <v>2798.4115999999999</v>
      </c>
      <c r="E510" s="16">
        <v>68126.182724514147</v>
      </c>
    </row>
    <row r="511" spans="1:5" x14ac:dyDescent="0.25">
      <c r="A511" s="13" t="s">
        <v>1032</v>
      </c>
      <c r="B511" s="13" t="s">
        <v>513</v>
      </c>
      <c r="C511" s="16">
        <v>48329708</v>
      </c>
      <c r="D511" s="13">
        <v>710.75959999999998</v>
      </c>
      <c r="E511" s="16">
        <v>67997.263772448525</v>
      </c>
    </row>
    <row r="512" spans="1:5" x14ac:dyDescent="0.25">
      <c r="A512" s="13" t="s">
        <v>1033</v>
      </c>
      <c r="B512" s="13" t="s">
        <v>514</v>
      </c>
      <c r="C512" s="16">
        <v>28171430</v>
      </c>
      <c r="D512" s="13">
        <v>300.83080000000001</v>
      </c>
      <c r="E512" s="16">
        <v>93645.431252385053</v>
      </c>
    </row>
    <row r="513" spans="1:5" x14ac:dyDescent="0.25">
      <c r="A513" s="13" t="s">
        <v>1034</v>
      </c>
      <c r="B513" s="13" t="s">
        <v>515</v>
      </c>
      <c r="C513" s="16">
        <v>20088393</v>
      </c>
      <c r="D513" s="13">
        <v>343.17500000000001</v>
      </c>
      <c r="E513" s="16">
        <v>58536.877686311644</v>
      </c>
    </row>
    <row r="514" spans="1:5" x14ac:dyDescent="0.25">
      <c r="A514" s="13" t="s">
        <v>1035</v>
      </c>
      <c r="B514" s="13" t="s">
        <v>516</v>
      </c>
      <c r="C514" s="16">
        <v>39091923</v>
      </c>
      <c r="D514" s="13">
        <v>663.00239999999997</v>
      </c>
      <c r="E514" s="16">
        <v>58961.963033617983</v>
      </c>
    </row>
    <row r="515" spans="1:5" x14ac:dyDescent="0.25">
      <c r="A515" s="13" t="s">
        <v>1036</v>
      </c>
      <c r="B515" s="13" t="s">
        <v>517</v>
      </c>
      <c r="C515" s="16">
        <v>95302805</v>
      </c>
      <c r="D515" s="16">
        <v>1358.4215999999999</v>
      </c>
      <c r="E515" s="16">
        <v>70157.015318366553</v>
      </c>
    </row>
    <row r="516" spans="1:5" x14ac:dyDescent="0.25">
      <c r="A516" s="13" t="s">
        <v>1037</v>
      </c>
      <c r="B516" s="13" t="s">
        <v>518</v>
      </c>
      <c r="C516" s="16">
        <v>37600335</v>
      </c>
      <c r="D516" s="13">
        <v>677.00559999999996</v>
      </c>
      <c r="E516" s="16">
        <v>55539.178701032906</v>
      </c>
    </row>
    <row r="517" spans="1:5" x14ac:dyDescent="0.25">
      <c r="A517" s="13" t="s">
        <v>1038</v>
      </c>
      <c r="B517" s="13" t="s">
        <v>519</v>
      </c>
      <c r="C517" s="16">
        <v>5206552</v>
      </c>
      <c r="D517" s="13">
        <v>68.794200000000004</v>
      </c>
      <c r="E517" s="16">
        <v>75683.00816057167</v>
      </c>
    </row>
    <row r="518" spans="1:5" x14ac:dyDescent="0.25">
      <c r="A518" s="13" t="s">
        <v>1039</v>
      </c>
      <c r="B518" s="13" t="s">
        <v>1589</v>
      </c>
      <c r="C518" s="16">
        <v>4224304398</v>
      </c>
      <c r="D518" s="16">
        <v>31972.916099999999</v>
      </c>
      <c r="E518" s="16">
        <v>132121.33622056452</v>
      </c>
    </row>
    <row r="519" spans="1:5" s="13" customFormat="1" x14ac:dyDescent="0.25">
      <c r="C519" s="16"/>
      <c r="D519" s="16"/>
      <c r="E519" s="16"/>
    </row>
    <row r="520" spans="1:5" s="13" customFormat="1" ht="15.75" thickBot="1" x14ac:dyDescent="0.3">
      <c r="A520" s="11" t="s">
        <v>3</v>
      </c>
      <c r="C520" s="22"/>
      <c r="D520" s="18"/>
      <c r="E520" s="5">
        <f>AVERAGE(E2:E518)</f>
        <v>100194.71718614265</v>
      </c>
    </row>
    <row r="521" spans="1:5" ht="15.75" thickTop="1" x14ac:dyDescent="0.25">
      <c r="A521" s="32"/>
      <c r="B521" s="31"/>
      <c r="C521" s="31"/>
      <c r="D521" s="31"/>
      <c r="E521" s="31"/>
    </row>
    <row r="522" spans="1:5" x14ac:dyDescent="0.25">
      <c r="A522" s="11" t="s">
        <v>4</v>
      </c>
      <c r="C522" s="22"/>
      <c r="E522" s="16"/>
    </row>
    <row r="523" spans="1:5" x14ac:dyDescent="0.25">
      <c r="A523" s="11" t="s">
        <v>5</v>
      </c>
      <c r="C523" s="22"/>
      <c r="E523" s="16"/>
    </row>
    <row r="524" spans="1:5" x14ac:dyDescent="0.25">
      <c r="A524" s="11"/>
      <c r="C524" s="22"/>
      <c r="E524" s="16"/>
    </row>
    <row r="525" spans="1:5" x14ac:dyDescent="0.25">
      <c r="A525" s="11" t="s">
        <v>6</v>
      </c>
      <c r="C525" s="22"/>
      <c r="E525" s="16"/>
    </row>
    <row r="526" spans="1:5" x14ac:dyDescent="0.25">
      <c r="A526" s="11" t="s">
        <v>7</v>
      </c>
      <c r="C526" s="22"/>
      <c r="E526" s="16"/>
    </row>
    <row r="527" spans="1:5" x14ac:dyDescent="0.25">
      <c r="A527" s="11"/>
      <c r="C527" s="22"/>
      <c r="E527" s="16"/>
    </row>
    <row r="528" spans="1:5" x14ac:dyDescent="0.25">
      <c r="A528" s="11" t="s">
        <v>1041</v>
      </c>
      <c r="C528" s="22"/>
      <c r="E528" s="16"/>
    </row>
    <row r="560" ht="14.45" customHeight="1" x14ac:dyDescent="0.25"/>
  </sheetData>
  <pageMargins left="0.7" right="0.7" top="0.95833333333333337" bottom="0.75" header="0.3" footer="0.3"/>
  <pageSetup scale="94" fitToHeight="0" orientation="portrait" horizontalDpi="4294967295" verticalDpi="4294967295" r:id="rId1"/>
  <headerFooter>
    <oddHeader>&amp;C&amp;"-,Bold"Missouri Department of Elementary and Secondary Education
School Finance 
Assessed Valuation per ADA for 2016-2017</oddHeader>
    <oddFooter>&amp;LDecember 11, 2018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528"/>
  <sheetViews>
    <sheetView view="pageLayout" zoomScaleNormal="100" workbookViewId="0">
      <selection activeCell="E519" sqref="E519"/>
    </sheetView>
  </sheetViews>
  <sheetFormatPr defaultRowHeight="15" x14ac:dyDescent="0.25"/>
  <cols>
    <col min="1" max="1" width="9.140625" style="15" customWidth="1"/>
    <col min="2" max="2" width="28.85546875" bestFit="1" customWidth="1"/>
    <col min="3" max="3" width="16.28515625" style="22" bestFit="1" customWidth="1"/>
    <col min="4" max="4" width="12.140625" style="2" bestFit="1" customWidth="1"/>
    <col min="5" max="5" width="15.42578125" style="3" customWidth="1"/>
  </cols>
  <sheetData>
    <row r="1" spans="1:5" s="1" customFormat="1" ht="45.75" thickBot="1" x14ac:dyDescent="0.3">
      <c r="A1" s="6" t="s">
        <v>0</v>
      </c>
      <c r="B1" s="7" t="s">
        <v>1</v>
      </c>
      <c r="C1" s="21" t="s">
        <v>523</v>
      </c>
      <c r="D1" s="9" t="s">
        <v>1040</v>
      </c>
      <c r="E1" s="10" t="s">
        <v>2</v>
      </c>
    </row>
    <row r="2" spans="1:5" x14ac:dyDescent="0.25">
      <c r="A2" s="20" t="s">
        <v>524</v>
      </c>
      <c r="B2" s="13" t="s">
        <v>8</v>
      </c>
      <c r="C2" s="19">
        <v>15573952</v>
      </c>
      <c r="D2" s="16">
        <v>228.68350000000001</v>
      </c>
      <c r="E2" s="16">
        <f>C2/D2</f>
        <v>68102.648420196463</v>
      </c>
    </row>
    <row r="3" spans="1:5" x14ac:dyDescent="0.25">
      <c r="A3" s="20" t="s">
        <v>525</v>
      </c>
      <c r="B3" s="13" t="s">
        <v>9</v>
      </c>
      <c r="C3" s="19">
        <v>214190837</v>
      </c>
      <c r="D3" s="16">
        <v>2283.5390000000002</v>
      </c>
      <c r="E3" s="16">
        <f t="shared" ref="E3:E66" si="0">C3/D3</f>
        <v>93797.757340689161</v>
      </c>
    </row>
    <row r="4" spans="1:5" x14ac:dyDescent="0.25">
      <c r="A4" s="20" t="s">
        <v>526</v>
      </c>
      <c r="B4" s="13" t="s">
        <v>10</v>
      </c>
      <c r="C4" s="19">
        <v>14465225</v>
      </c>
      <c r="D4" s="16">
        <v>169.66540000000001</v>
      </c>
      <c r="E4" s="16">
        <f t="shared" si="0"/>
        <v>85257.365379152136</v>
      </c>
    </row>
    <row r="5" spans="1:5" x14ac:dyDescent="0.25">
      <c r="A5" s="20" t="s">
        <v>527</v>
      </c>
      <c r="B5" s="13" t="s">
        <v>11</v>
      </c>
      <c r="C5" s="19">
        <v>21968075</v>
      </c>
      <c r="D5" s="16">
        <v>338.58069999999998</v>
      </c>
      <c r="E5" s="16">
        <f t="shared" si="0"/>
        <v>64882.832955333841</v>
      </c>
    </row>
    <row r="6" spans="1:5" x14ac:dyDescent="0.25">
      <c r="A6" s="20" t="s">
        <v>528</v>
      </c>
      <c r="B6" s="13" t="s">
        <v>12</v>
      </c>
      <c r="C6" s="19">
        <v>22082255</v>
      </c>
      <c r="D6" s="16">
        <v>199.76650000000001</v>
      </c>
      <c r="E6" s="16">
        <f t="shared" si="0"/>
        <v>110540.33083625132</v>
      </c>
    </row>
    <row r="7" spans="1:5" x14ac:dyDescent="0.25">
      <c r="A7" s="20" t="s">
        <v>529</v>
      </c>
      <c r="B7" s="13" t="s">
        <v>13</v>
      </c>
      <c r="C7" s="19">
        <v>171248288</v>
      </c>
      <c r="D7" s="16">
        <v>2302.482</v>
      </c>
      <c r="E7" s="16">
        <f t="shared" si="0"/>
        <v>74375.516507838067</v>
      </c>
    </row>
    <row r="8" spans="1:5" x14ac:dyDescent="0.25">
      <c r="A8" s="20" t="s">
        <v>530</v>
      </c>
      <c r="B8" s="13" t="s">
        <v>14</v>
      </c>
      <c r="C8" s="19">
        <v>43513306</v>
      </c>
      <c r="D8" s="16">
        <v>279.9624</v>
      </c>
      <c r="E8" s="16">
        <f t="shared" si="0"/>
        <v>155425.53571479599</v>
      </c>
    </row>
    <row r="9" spans="1:5" x14ac:dyDescent="0.25">
      <c r="A9" s="20" t="s">
        <v>531</v>
      </c>
      <c r="B9" s="13" t="s">
        <v>15</v>
      </c>
      <c r="C9" s="19">
        <v>47613355</v>
      </c>
      <c r="D9" s="16">
        <v>325.03030000000001</v>
      </c>
      <c r="E9" s="16">
        <f t="shared" si="0"/>
        <v>146488.97348954852</v>
      </c>
    </row>
    <row r="10" spans="1:5" x14ac:dyDescent="0.25">
      <c r="A10" s="20" t="s">
        <v>532</v>
      </c>
      <c r="B10" s="13" t="s">
        <v>16</v>
      </c>
      <c r="C10" s="19">
        <v>18559238</v>
      </c>
      <c r="D10" s="16">
        <v>130.4967</v>
      </c>
      <c r="E10" s="16">
        <f t="shared" si="0"/>
        <v>142219.97950906039</v>
      </c>
    </row>
    <row r="11" spans="1:5" x14ac:dyDescent="0.25">
      <c r="A11" s="20" t="s">
        <v>533</v>
      </c>
      <c r="B11" s="13" t="s">
        <v>17</v>
      </c>
      <c r="C11" s="19">
        <v>31252691</v>
      </c>
      <c r="D11" s="16">
        <v>272.66340000000002</v>
      </c>
      <c r="E11" s="16">
        <f t="shared" si="0"/>
        <v>114620.04434771957</v>
      </c>
    </row>
    <row r="12" spans="1:5" x14ac:dyDescent="0.25">
      <c r="A12" s="20" t="s">
        <v>534</v>
      </c>
      <c r="B12" s="13" t="s">
        <v>18</v>
      </c>
      <c r="C12" s="19">
        <v>42199675</v>
      </c>
      <c r="D12" s="16">
        <v>585.55619999999999</v>
      </c>
      <c r="E12" s="16">
        <f t="shared" si="0"/>
        <v>72067.676851513141</v>
      </c>
    </row>
    <row r="13" spans="1:5" x14ac:dyDescent="0.25">
      <c r="A13" s="20" t="s">
        <v>535</v>
      </c>
      <c r="B13" s="13" t="s">
        <v>19</v>
      </c>
      <c r="C13" s="19">
        <v>184439867</v>
      </c>
      <c r="D13" s="16">
        <v>2259.2541999999999</v>
      </c>
      <c r="E13" s="16">
        <f t="shared" si="0"/>
        <v>81637.500994797316</v>
      </c>
    </row>
    <row r="14" spans="1:5" x14ac:dyDescent="0.25">
      <c r="A14" s="20" t="s">
        <v>536</v>
      </c>
      <c r="B14" s="13" t="s">
        <v>20</v>
      </c>
      <c r="C14" s="19">
        <v>19901228</v>
      </c>
      <c r="D14" s="16">
        <v>372.49</v>
      </c>
      <c r="E14" s="16">
        <f t="shared" si="0"/>
        <v>53427.549732878731</v>
      </c>
    </row>
    <row r="15" spans="1:5" x14ac:dyDescent="0.25">
      <c r="A15" s="20" t="s">
        <v>537</v>
      </c>
      <c r="B15" s="13" t="s">
        <v>21</v>
      </c>
      <c r="C15" s="19">
        <v>36111750</v>
      </c>
      <c r="D15" s="16">
        <v>738.35699999999997</v>
      </c>
      <c r="E15" s="16">
        <f t="shared" si="0"/>
        <v>48908.251699381195</v>
      </c>
    </row>
    <row r="16" spans="1:5" x14ac:dyDescent="0.25">
      <c r="A16" s="20" t="s">
        <v>538</v>
      </c>
      <c r="B16" s="13" t="s">
        <v>22</v>
      </c>
      <c r="C16" s="19">
        <v>14271671</v>
      </c>
      <c r="D16" s="16">
        <v>308.21879999999999</v>
      </c>
      <c r="E16" s="16">
        <f t="shared" si="0"/>
        <v>46303.700488094823</v>
      </c>
    </row>
    <row r="17" spans="1:5" x14ac:dyDescent="0.25">
      <c r="A17" s="20" t="s">
        <v>539</v>
      </c>
      <c r="B17" s="13" t="s">
        <v>23</v>
      </c>
      <c r="C17" s="19">
        <v>166441656</v>
      </c>
      <c r="D17" s="16">
        <v>1755.4728</v>
      </c>
      <c r="E17" s="16">
        <f t="shared" si="0"/>
        <v>94813.007641018427</v>
      </c>
    </row>
    <row r="18" spans="1:5" x14ac:dyDescent="0.25">
      <c r="A18" s="20" t="s">
        <v>540</v>
      </c>
      <c r="B18" s="13" t="s">
        <v>24</v>
      </c>
      <c r="C18" s="19">
        <v>27418397</v>
      </c>
      <c r="D18" s="16">
        <v>642.22760000000005</v>
      </c>
      <c r="E18" s="16">
        <f t="shared" si="0"/>
        <v>42692.648213810804</v>
      </c>
    </row>
    <row r="19" spans="1:5" x14ac:dyDescent="0.25">
      <c r="A19" s="20" t="s">
        <v>541</v>
      </c>
      <c r="B19" s="13" t="s">
        <v>25</v>
      </c>
      <c r="C19" s="19">
        <v>65207957</v>
      </c>
      <c r="D19" s="16">
        <v>156.22559999999999</v>
      </c>
      <c r="E19" s="16">
        <f t="shared" si="0"/>
        <v>417396.10537581553</v>
      </c>
    </row>
    <row r="20" spans="1:5" x14ac:dyDescent="0.25">
      <c r="A20" s="20" t="s">
        <v>542</v>
      </c>
      <c r="B20" s="13" t="s">
        <v>26</v>
      </c>
      <c r="C20" s="19">
        <v>166803817</v>
      </c>
      <c r="D20" s="16">
        <v>2229.1844999999998</v>
      </c>
      <c r="E20" s="16">
        <f t="shared" si="0"/>
        <v>74827.281905109252</v>
      </c>
    </row>
    <row r="21" spans="1:5" x14ac:dyDescent="0.25">
      <c r="A21" s="20" t="s">
        <v>543</v>
      </c>
      <c r="B21" s="13" t="s">
        <v>27</v>
      </c>
      <c r="C21" s="19">
        <v>33228344</v>
      </c>
      <c r="D21" s="16">
        <v>421.0804</v>
      </c>
      <c r="E21" s="16">
        <f t="shared" si="0"/>
        <v>78912.112746164392</v>
      </c>
    </row>
    <row r="22" spans="1:5" x14ac:dyDescent="0.25">
      <c r="A22" s="20" t="s">
        <v>544</v>
      </c>
      <c r="B22" s="13" t="s">
        <v>28</v>
      </c>
      <c r="C22" s="19">
        <v>18787925</v>
      </c>
      <c r="D22" s="16">
        <v>196.09</v>
      </c>
      <c r="E22" s="16">
        <f t="shared" si="0"/>
        <v>95812.764546891733</v>
      </c>
    </row>
    <row r="23" spans="1:5" x14ac:dyDescent="0.25">
      <c r="A23" s="20" t="s">
        <v>545</v>
      </c>
      <c r="B23" s="13" t="s">
        <v>29</v>
      </c>
      <c r="C23" s="19">
        <v>99633476</v>
      </c>
      <c r="D23" s="16">
        <v>1207.2891999999999</v>
      </c>
      <c r="E23" s="16">
        <f t="shared" si="0"/>
        <v>82526.602573766097</v>
      </c>
    </row>
    <row r="24" spans="1:5" x14ac:dyDescent="0.25">
      <c r="A24" s="20" t="s">
        <v>546</v>
      </c>
      <c r="B24" s="13" t="s">
        <v>30</v>
      </c>
      <c r="C24" s="19">
        <v>15746025</v>
      </c>
      <c r="D24" s="16">
        <v>165.37029999999999</v>
      </c>
      <c r="E24" s="16">
        <f t="shared" si="0"/>
        <v>95216.765041848514</v>
      </c>
    </row>
    <row r="25" spans="1:5" x14ac:dyDescent="0.25">
      <c r="A25" s="20" t="s">
        <v>547</v>
      </c>
      <c r="B25" s="13" t="s">
        <v>31</v>
      </c>
      <c r="C25" s="19">
        <v>10171111</v>
      </c>
      <c r="D25" s="16">
        <v>125.467</v>
      </c>
      <c r="E25" s="16">
        <f t="shared" si="0"/>
        <v>81066.02532936947</v>
      </c>
    </row>
    <row r="26" spans="1:5" x14ac:dyDescent="0.25">
      <c r="A26" s="20" t="s">
        <v>548</v>
      </c>
      <c r="B26" s="13" t="s">
        <v>32</v>
      </c>
      <c r="C26" s="19">
        <v>40501828</v>
      </c>
      <c r="D26" s="16">
        <v>658.82039999999995</v>
      </c>
      <c r="E26" s="16">
        <f t="shared" si="0"/>
        <v>61476.280940905905</v>
      </c>
    </row>
    <row r="27" spans="1:5" x14ac:dyDescent="0.25">
      <c r="A27" s="20" t="s">
        <v>549</v>
      </c>
      <c r="B27" s="13" t="s">
        <v>33</v>
      </c>
      <c r="C27" s="19">
        <v>22755589</v>
      </c>
      <c r="D27" s="16">
        <v>341.62790000000001</v>
      </c>
      <c r="E27" s="16">
        <f t="shared" si="0"/>
        <v>66609.281618977839</v>
      </c>
    </row>
    <row r="28" spans="1:5" x14ac:dyDescent="0.25">
      <c r="A28" s="20" t="s">
        <v>550</v>
      </c>
      <c r="B28" s="13" t="s">
        <v>34</v>
      </c>
      <c r="C28" s="19">
        <v>8320429</v>
      </c>
      <c r="D28" s="16">
        <v>145.68809999999999</v>
      </c>
      <c r="E28" s="16">
        <f t="shared" si="0"/>
        <v>57111.246560288731</v>
      </c>
    </row>
    <row r="29" spans="1:5" x14ac:dyDescent="0.25">
      <c r="A29" s="20" t="s">
        <v>551</v>
      </c>
      <c r="B29" s="13" t="s">
        <v>35</v>
      </c>
      <c r="C29" s="19">
        <v>7258468</v>
      </c>
      <c r="D29" s="16">
        <v>64.644000000000005</v>
      </c>
      <c r="E29" s="16">
        <f t="shared" si="0"/>
        <v>112283.70769135572</v>
      </c>
    </row>
    <row r="30" spans="1:5" x14ac:dyDescent="0.25">
      <c r="A30" s="20" t="s">
        <v>552</v>
      </c>
      <c r="B30" s="13" t="s">
        <v>36</v>
      </c>
      <c r="C30" s="19">
        <v>72663733</v>
      </c>
      <c r="D30" s="16">
        <v>962.08130000000006</v>
      </c>
      <c r="E30" s="16">
        <f t="shared" si="0"/>
        <v>75527.643038067574</v>
      </c>
    </row>
    <row r="31" spans="1:5" x14ac:dyDescent="0.25">
      <c r="A31" s="20" t="s">
        <v>553</v>
      </c>
      <c r="B31" s="13" t="s">
        <v>37</v>
      </c>
      <c r="C31" s="19">
        <v>43541631</v>
      </c>
      <c r="D31" s="16">
        <v>460.50959999999998</v>
      </c>
      <c r="E31" s="16">
        <f t="shared" si="0"/>
        <v>94550.973530193514</v>
      </c>
    </row>
    <row r="32" spans="1:5" x14ac:dyDescent="0.25">
      <c r="A32" s="20" t="s">
        <v>554</v>
      </c>
      <c r="B32" s="13" t="s">
        <v>38</v>
      </c>
      <c r="C32" s="19">
        <v>147582635</v>
      </c>
      <c r="D32" s="16">
        <v>1156.1476</v>
      </c>
      <c r="E32" s="16">
        <f t="shared" si="0"/>
        <v>127650.34066584578</v>
      </c>
    </row>
    <row r="33" spans="1:5" x14ac:dyDescent="0.25">
      <c r="A33" s="20" t="s">
        <v>555</v>
      </c>
      <c r="B33" s="13" t="s">
        <v>39</v>
      </c>
      <c r="C33" s="19">
        <v>56677619</v>
      </c>
      <c r="D33" s="16">
        <v>677.00829999999996</v>
      </c>
      <c r="E33" s="16">
        <f t="shared" si="0"/>
        <v>83717.760919622408</v>
      </c>
    </row>
    <row r="34" spans="1:5" x14ac:dyDescent="0.25">
      <c r="A34" s="20" t="s">
        <v>556</v>
      </c>
      <c r="B34" s="13" t="s">
        <v>40</v>
      </c>
      <c r="C34" s="19">
        <v>37140798</v>
      </c>
      <c r="D34" s="16">
        <v>502.4898</v>
      </c>
      <c r="E34" s="16">
        <f t="shared" si="0"/>
        <v>73913.536155360765</v>
      </c>
    </row>
    <row r="35" spans="1:5" x14ac:dyDescent="0.25">
      <c r="A35" s="20" t="s">
        <v>557</v>
      </c>
      <c r="B35" s="13" t="s">
        <v>41</v>
      </c>
      <c r="C35" s="19">
        <v>9254660</v>
      </c>
      <c r="D35" s="16">
        <v>179.50989999999999</v>
      </c>
      <c r="E35" s="16">
        <f t="shared" si="0"/>
        <v>51555.15099724305</v>
      </c>
    </row>
    <row r="36" spans="1:5" x14ac:dyDescent="0.25">
      <c r="A36" s="20" t="s">
        <v>558</v>
      </c>
      <c r="B36" s="13" t="s">
        <v>42</v>
      </c>
      <c r="C36" s="19">
        <v>13526900</v>
      </c>
      <c r="D36" s="16">
        <v>222.61519999999999</v>
      </c>
      <c r="E36" s="16">
        <f t="shared" si="0"/>
        <v>60763.595657439386</v>
      </c>
    </row>
    <row r="37" spans="1:5" x14ac:dyDescent="0.25">
      <c r="A37" s="20" t="s">
        <v>559</v>
      </c>
      <c r="B37" s="13" t="s">
        <v>43</v>
      </c>
      <c r="C37" s="19">
        <v>54549908</v>
      </c>
      <c r="D37" s="16">
        <v>849.47770000000003</v>
      </c>
      <c r="E37" s="16">
        <f t="shared" si="0"/>
        <v>64215.821086298085</v>
      </c>
    </row>
    <row r="38" spans="1:5" x14ac:dyDescent="0.25">
      <c r="A38" s="20" t="s">
        <v>560</v>
      </c>
      <c r="B38" s="13" t="s">
        <v>44</v>
      </c>
      <c r="C38" s="19">
        <v>121755432</v>
      </c>
      <c r="D38" s="16">
        <v>1561.8586</v>
      </c>
      <c r="E38" s="16">
        <f t="shared" si="0"/>
        <v>77955.476891442027</v>
      </c>
    </row>
    <row r="39" spans="1:5" x14ac:dyDescent="0.25">
      <c r="A39" s="20" t="s">
        <v>561</v>
      </c>
      <c r="B39" s="13" t="s">
        <v>45</v>
      </c>
      <c r="C39" s="19">
        <v>77417295</v>
      </c>
      <c r="D39" s="16">
        <v>1322.5246</v>
      </c>
      <c r="E39" s="16">
        <f t="shared" si="0"/>
        <v>58537.508489445114</v>
      </c>
    </row>
    <row r="40" spans="1:5" x14ac:dyDescent="0.25">
      <c r="A40" s="20" t="s">
        <v>562</v>
      </c>
      <c r="B40" s="13" t="s">
        <v>46</v>
      </c>
      <c r="C40" s="19">
        <v>34538886</v>
      </c>
      <c r="D40" s="16">
        <v>446.62860000000001</v>
      </c>
      <c r="E40" s="16">
        <f t="shared" si="0"/>
        <v>77332.454750994453</v>
      </c>
    </row>
    <row r="41" spans="1:5" x14ac:dyDescent="0.25">
      <c r="A41" s="20" t="s">
        <v>563</v>
      </c>
      <c r="B41" s="13" t="s">
        <v>47</v>
      </c>
      <c r="C41" s="19">
        <v>96727182</v>
      </c>
      <c r="D41" s="16">
        <v>1339.8172</v>
      </c>
      <c r="E41" s="16">
        <f t="shared" si="0"/>
        <v>72194.312776399645</v>
      </c>
    </row>
    <row r="42" spans="1:5" x14ac:dyDescent="0.25">
      <c r="A42" s="20" t="s">
        <v>564</v>
      </c>
      <c r="B42" s="13" t="s">
        <v>48</v>
      </c>
      <c r="C42" s="19">
        <v>38362407</v>
      </c>
      <c r="D42" s="16">
        <v>533.72090000000003</v>
      </c>
      <c r="E42" s="16">
        <f t="shared" si="0"/>
        <v>71877.280803506103</v>
      </c>
    </row>
    <row r="43" spans="1:5" x14ac:dyDescent="0.25">
      <c r="A43" s="20" t="s">
        <v>565</v>
      </c>
      <c r="B43" s="13" t="s">
        <v>49</v>
      </c>
      <c r="C43" s="19">
        <v>2261428918</v>
      </c>
      <c r="D43" s="16">
        <v>16688.930199999999</v>
      </c>
      <c r="E43" s="16">
        <f t="shared" si="0"/>
        <v>135504.72624063105</v>
      </c>
    </row>
    <row r="44" spans="1:5" x14ac:dyDescent="0.25">
      <c r="A44" s="20" t="s">
        <v>566</v>
      </c>
      <c r="B44" s="13" t="s">
        <v>50</v>
      </c>
      <c r="C44" s="19">
        <v>54112111</v>
      </c>
      <c r="D44" s="16">
        <v>699.49120000000005</v>
      </c>
      <c r="E44" s="16">
        <f t="shared" si="0"/>
        <v>77359.24483395931</v>
      </c>
    </row>
    <row r="45" spans="1:5" x14ac:dyDescent="0.25">
      <c r="A45" s="20" t="s">
        <v>567</v>
      </c>
      <c r="B45" s="13" t="s">
        <v>51</v>
      </c>
      <c r="C45" s="19">
        <v>61209620</v>
      </c>
      <c r="D45" s="16">
        <v>698.17970000000003</v>
      </c>
      <c r="E45" s="16">
        <f t="shared" si="0"/>
        <v>87670.294624721966</v>
      </c>
    </row>
    <row r="46" spans="1:5" x14ac:dyDescent="0.25">
      <c r="A46" s="20" t="s">
        <v>568</v>
      </c>
      <c r="B46" s="13" t="s">
        <v>52</v>
      </c>
      <c r="C46" s="19">
        <v>21192000</v>
      </c>
      <c r="D46" s="16">
        <v>302.15719999999999</v>
      </c>
      <c r="E46" s="16">
        <f t="shared" si="0"/>
        <v>70135.677720074193</v>
      </c>
    </row>
    <row r="47" spans="1:5" x14ac:dyDescent="0.25">
      <c r="A47" s="20" t="s">
        <v>569</v>
      </c>
      <c r="B47" s="13" t="s">
        <v>53</v>
      </c>
      <c r="C47" s="19">
        <v>1036832622</v>
      </c>
      <c r="D47" s="16">
        <v>10807.1281</v>
      </c>
      <c r="E47" s="16">
        <f t="shared" si="0"/>
        <v>95939.699465577723</v>
      </c>
    </row>
    <row r="48" spans="1:5" x14ac:dyDescent="0.25">
      <c r="A48" s="20" t="s">
        <v>570</v>
      </c>
      <c r="B48" s="13" t="s">
        <v>54</v>
      </c>
      <c r="C48" s="19">
        <v>37324045</v>
      </c>
      <c r="D48" s="16">
        <v>552.48620000000005</v>
      </c>
      <c r="E48" s="16">
        <f t="shared" si="0"/>
        <v>67556.519963756553</v>
      </c>
    </row>
    <row r="49" spans="1:5" x14ac:dyDescent="0.25">
      <c r="A49" s="20" t="s">
        <v>571</v>
      </c>
      <c r="B49" s="13" t="s">
        <v>55</v>
      </c>
      <c r="C49" s="19">
        <v>442874222</v>
      </c>
      <c r="D49" s="16">
        <v>4873.9969000000001</v>
      </c>
      <c r="E49" s="16">
        <f t="shared" si="0"/>
        <v>90864.690947997937</v>
      </c>
    </row>
    <row r="50" spans="1:5" x14ac:dyDescent="0.25">
      <c r="A50" s="20" t="s">
        <v>572</v>
      </c>
      <c r="B50" s="13" t="s">
        <v>56</v>
      </c>
      <c r="C50" s="19">
        <v>65605484</v>
      </c>
      <c r="D50" s="16">
        <v>960.98299999999995</v>
      </c>
      <c r="E50" s="16">
        <f t="shared" si="0"/>
        <v>68269.141077417604</v>
      </c>
    </row>
    <row r="51" spans="1:5" x14ac:dyDescent="0.25">
      <c r="A51" s="20" t="s">
        <v>573</v>
      </c>
      <c r="B51" s="13" t="s">
        <v>57</v>
      </c>
      <c r="C51" s="19">
        <v>6725038</v>
      </c>
      <c r="D51" s="16">
        <v>56.108899999999998</v>
      </c>
      <c r="E51" s="16">
        <f t="shared" si="0"/>
        <v>119856.88544954544</v>
      </c>
    </row>
    <row r="52" spans="1:5" x14ac:dyDescent="0.25">
      <c r="A52" s="20" t="s">
        <v>574</v>
      </c>
      <c r="B52" s="13" t="s">
        <v>58</v>
      </c>
      <c r="C52" s="19">
        <v>37952568</v>
      </c>
      <c r="D52" s="16">
        <v>634.9796</v>
      </c>
      <c r="E52" s="16">
        <f t="shared" si="0"/>
        <v>59769.743783894788</v>
      </c>
    </row>
    <row r="53" spans="1:5" x14ac:dyDescent="0.25">
      <c r="A53" s="20" t="s">
        <v>575</v>
      </c>
      <c r="B53" s="13" t="s">
        <v>59</v>
      </c>
      <c r="C53" s="19">
        <v>3804830</v>
      </c>
      <c r="D53" s="16">
        <v>34.276000000000003</v>
      </c>
      <c r="E53" s="16">
        <f t="shared" si="0"/>
        <v>111005.65993698213</v>
      </c>
    </row>
    <row r="54" spans="1:5" x14ac:dyDescent="0.25">
      <c r="A54" s="20" t="s">
        <v>576</v>
      </c>
      <c r="B54" s="13" t="s">
        <v>60</v>
      </c>
      <c r="C54" s="19">
        <v>4088810</v>
      </c>
      <c r="D54" s="16">
        <v>39.427999999999997</v>
      </c>
      <c r="E54" s="16">
        <f t="shared" si="0"/>
        <v>103703.20584356296</v>
      </c>
    </row>
    <row r="55" spans="1:5" x14ac:dyDescent="0.25">
      <c r="A55" s="20" t="s">
        <v>577</v>
      </c>
      <c r="B55" s="13" t="s">
        <v>61</v>
      </c>
      <c r="C55" s="19">
        <v>24153425</v>
      </c>
      <c r="D55" s="16">
        <v>381.05160000000001</v>
      </c>
      <c r="E55" s="16">
        <f t="shared" si="0"/>
        <v>63386.231680958692</v>
      </c>
    </row>
    <row r="56" spans="1:5" x14ac:dyDescent="0.25">
      <c r="A56" s="20" t="s">
        <v>578</v>
      </c>
      <c r="B56" s="13" t="s">
        <v>62</v>
      </c>
      <c r="C56" s="19">
        <v>4722250</v>
      </c>
      <c r="D56" s="16">
        <v>65.964399999999998</v>
      </c>
      <c r="E56" s="16">
        <f t="shared" si="0"/>
        <v>71587.856480162023</v>
      </c>
    </row>
    <row r="57" spans="1:5" x14ac:dyDescent="0.25">
      <c r="A57" s="20" t="s">
        <v>579</v>
      </c>
      <c r="B57" s="13" t="s">
        <v>63</v>
      </c>
      <c r="C57" s="19">
        <v>18941562</v>
      </c>
      <c r="D57" s="16">
        <v>308.99169999999998</v>
      </c>
      <c r="E57" s="16">
        <f t="shared" si="0"/>
        <v>61301.199999870551</v>
      </c>
    </row>
    <row r="58" spans="1:5" x14ac:dyDescent="0.25">
      <c r="A58" s="20" t="s">
        <v>580</v>
      </c>
      <c r="B58" s="13" t="s">
        <v>64</v>
      </c>
      <c r="C58" s="19">
        <v>4574260</v>
      </c>
      <c r="D58" s="16">
        <v>45.392400000000002</v>
      </c>
      <c r="E58" s="16">
        <f t="shared" si="0"/>
        <v>100771.4947876737</v>
      </c>
    </row>
    <row r="59" spans="1:5" x14ac:dyDescent="0.25">
      <c r="A59" s="20" t="s">
        <v>581</v>
      </c>
      <c r="B59" s="13" t="s">
        <v>65</v>
      </c>
      <c r="C59" s="19">
        <v>93490872</v>
      </c>
      <c r="D59" s="16">
        <v>1057.7446</v>
      </c>
      <c r="E59" s="16">
        <f t="shared" si="0"/>
        <v>88387.000037627236</v>
      </c>
    </row>
    <row r="60" spans="1:5" x14ac:dyDescent="0.25">
      <c r="A60" s="20" t="s">
        <v>582</v>
      </c>
      <c r="B60" s="13" t="s">
        <v>66</v>
      </c>
      <c r="C60" s="19">
        <v>46539168</v>
      </c>
      <c r="D60" s="16">
        <v>651.35609999999997</v>
      </c>
      <c r="E60" s="16">
        <f t="shared" si="0"/>
        <v>71449.65403716953</v>
      </c>
    </row>
    <row r="61" spans="1:5" x14ac:dyDescent="0.25">
      <c r="A61" s="20" t="s">
        <v>583</v>
      </c>
      <c r="B61" s="13" t="s">
        <v>67</v>
      </c>
      <c r="C61" s="19">
        <v>174102420</v>
      </c>
      <c r="D61" s="16">
        <v>2084.3292000000001</v>
      </c>
      <c r="E61" s="16">
        <f t="shared" si="0"/>
        <v>83529.233290019634</v>
      </c>
    </row>
    <row r="62" spans="1:5" x14ac:dyDescent="0.25">
      <c r="A62" s="20" t="s">
        <v>584</v>
      </c>
      <c r="B62" s="13" t="s">
        <v>68</v>
      </c>
      <c r="C62" s="19">
        <v>289065459</v>
      </c>
      <c r="D62" s="16">
        <v>743.72260000000006</v>
      </c>
      <c r="E62" s="16">
        <f t="shared" si="0"/>
        <v>388673.75954421714</v>
      </c>
    </row>
    <row r="63" spans="1:5" x14ac:dyDescent="0.25">
      <c r="A63" s="20" t="s">
        <v>585</v>
      </c>
      <c r="B63" s="13" t="s">
        <v>69</v>
      </c>
      <c r="C63" s="19">
        <v>25231934</v>
      </c>
      <c r="D63" s="16">
        <v>432.51760000000002</v>
      </c>
      <c r="E63" s="16">
        <f t="shared" si="0"/>
        <v>58337.35783237491</v>
      </c>
    </row>
    <row r="64" spans="1:5" x14ac:dyDescent="0.25">
      <c r="A64" s="20" t="s">
        <v>586</v>
      </c>
      <c r="B64" s="13" t="s">
        <v>70</v>
      </c>
      <c r="C64" s="19">
        <v>1133554142</v>
      </c>
      <c r="D64" s="16">
        <v>3909.6376</v>
      </c>
      <c r="E64" s="16">
        <f t="shared" si="0"/>
        <v>289938.41833319794</v>
      </c>
    </row>
    <row r="65" spans="1:5" x14ac:dyDescent="0.25">
      <c r="A65" s="20" t="s">
        <v>587</v>
      </c>
      <c r="B65" s="13" t="s">
        <v>71</v>
      </c>
      <c r="C65" s="19">
        <v>95936900</v>
      </c>
      <c r="D65" s="16">
        <v>208.01759999999999</v>
      </c>
      <c r="E65" s="16">
        <f t="shared" si="0"/>
        <v>461196.07187084173</v>
      </c>
    </row>
    <row r="66" spans="1:5" x14ac:dyDescent="0.25">
      <c r="A66" s="20" t="s">
        <v>588</v>
      </c>
      <c r="B66" s="13" t="s">
        <v>72</v>
      </c>
      <c r="C66" s="19">
        <v>31642200</v>
      </c>
      <c r="D66" s="16">
        <v>310.31130000000002</v>
      </c>
      <c r="E66" s="16">
        <f t="shared" si="0"/>
        <v>101969.21607430989</v>
      </c>
    </row>
    <row r="67" spans="1:5" x14ac:dyDescent="0.25">
      <c r="A67" s="20" t="s">
        <v>589</v>
      </c>
      <c r="B67" s="13" t="s">
        <v>73</v>
      </c>
      <c r="C67" s="19">
        <v>466789058</v>
      </c>
      <c r="D67" s="16">
        <v>4620.5775000000003</v>
      </c>
      <c r="E67" s="16">
        <f t="shared" ref="E67:E130" si="1">C67/D67</f>
        <v>101023.96464511199</v>
      </c>
    </row>
    <row r="68" spans="1:5" x14ac:dyDescent="0.25">
      <c r="A68" s="20" t="s">
        <v>590</v>
      </c>
      <c r="B68" s="13" t="s">
        <v>74</v>
      </c>
      <c r="C68" s="19">
        <v>22748315</v>
      </c>
      <c r="D68" s="16">
        <v>241.31620000000001</v>
      </c>
      <c r="E68" s="16">
        <f t="shared" si="1"/>
        <v>94267.666240393301</v>
      </c>
    </row>
    <row r="69" spans="1:5" x14ac:dyDescent="0.25">
      <c r="A69" s="20" t="s">
        <v>591</v>
      </c>
      <c r="B69" s="13" t="s">
        <v>75</v>
      </c>
      <c r="C69" s="19">
        <v>26157155</v>
      </c>
      <c r="D69" s="16">
        <v>331.62020000000001</v>
      </c>
      <c r="E69" s="16">
        <f t="shared" si="1"/>
        <v>78876.844655422072</v>
      </c>
    </row>
    <row r="70" spans="1:5" x14ac:dyDescent="0.25">
      <c r="A70" s="20" t="s">
        <v>592</v>
      </c>
      <c r="B70" s="13" t="s">
        <v>76</v>
      </c>
      <c r="C70" s="19">
        <v>633657242</v>
      </c>
      <c r="D70" s="16">
        <v>3720.9585000000002</v>
      </c>
      <c r="E70" s="16">
        <f t="shared" si="1"/>
        <v>170294.09008458437</v>
      </c>
    </row>
    <row r="71" spans="1:5" x14ac:dyDescent="0.25">
      <c r="A71" s="20" t="s">
        <v>593</v>
      </c>
      <c r="B71" s="13" t="s">
        <v>77</v>
      </c>
      <c r="C71" s="19">
        <v>50217151</v>
      </c>
      <c r="D71" s="16">
        <v>376.98399999999998</v>
      </c>
      <c r="E71" s="16">
        <f t="shared" si="1"/>
        <v>133207.64541731216</v>
      </c>
    </row>
    <row r="72" spans="1:5" x14ac:dyDescent="0.25">
      <c r="A72" s="20" t="s">
        <v>594</v>
      </c>
      <c r="B72" s="13" t="s">
        <v>78</v>
      </c>
      <c r="C72" s="19">
        <v>8881985</v>
      </c>
      <c r="D72" s="16">
        <v>132.5889</v>
      </c>
      <c r="E72" s="16">
        <f t="shared" si="1"/>
        <v>66988.903294318006</v>
      </c>
    </row>
    <row r="73" spans="1:5" x14ac:dyDescent="0.25">
      <c r="A73" s="20" t="s">
        <v>595</v>
      </c>
      <c r="B73" s="13" t="s">
        <v>79</v>
      </c>
      <c r="C73" s="19">
        <v>10304546</v>
      </c>
      <c r="D73" s="16">
        <v>141.4776</v>
      </c>
      <c r="E73" s="16">
        <f t="shared" si="1"/>
        <v>72835.176734691573</v>
      </c>
    </row>
    <row r="74" spans="1:5" x14ac:dyDescent="0.25">
      <c r="A74" s="20" t="s">
        <v>596</v>
      </c>
      <c r="B74" s="13" t="s">
        <v>80</v>
      </c>
      <c r="C74" s="19">
        <v>8405460</v>
      </c>
      <c r="D74" s="16">
        <v>65.582899999999995</v>
      </c>
      <c r="E74" s="16">
        <f t="shared" si="1"/>
        <v>128165.42116923773</v>
      </c>
    </row>
    <row r="75" spans="1:5" x14ac:dyDescent="0.25">
      <c r="A75" s="20" t="s">
        <v>597</v>
      </c>
      <c r="B75" s="13" t="s">
        <v>81</v>
      </c>
      <c r="C75" s="19">
        <v>70573690</v>
      </c>
      <c r="D75" s="16">
        <v>837.53989999999999</v>
      </c>
      <c r="E75" s="16">
        <f t="shared" si="1"/>
        <v>84263.078093354125</v>
      </c>
    </row>
    <row r="76" spans="1:5" x14ac:dyDescent="0.25">
      <c r="A76" s="20" t="s">
        <v>598</v>
      </c>
      <c r="B76" s="13" t="s">
        <v>82</v>
      </c>
      <c r="C76" s="19">
        <v>17437040</v>
      </c>
      <c r="D76" s="16">
        <v>178.21459999999999</v>
      </c>
      <c r="E76" s="16">
        <f t="shared" si="1"/>
        <v>97842.937671773252</v>
      </c>
    </row>
    <row r="77" spans="1:5" x14ac:dyDescent="0.25">
      <c r="A77" s="20" t="s">
        <v>599</v>
      </c>
      <c r="B77" s="13" t="s">
        <v>83</v>
      </c>
      <c r="C77" s="19">
        <v>35798588</v>
      </c>
      <c r="D77" s="16">
        <v>670.64620000000002</v>
      </c>
      <c r="E77" s="16">
        <f t="shared" si="1"/>
        <v>53379.245271202606</v>
      </c>
    </row>
    <row r="78" spans="1:5" x14ac:dyDescent="0.25">
      <c r="A78" s="20" t="s">
        <v>600</v>
      </c>
      <c r="B78" s="13" t="s">
        <v>84</v>
      </c>
      <c r="C78" s="19">
        <v>36590306</v>
      </c>
      <c r="D78" s="16">
        <v>519.46119999999996</v>
      </c>
      <c r="E78" s="16">
        <f t="shared" si="1"/>
        <v>70438.958674873124</v>
      </c>
    </row>
    <row r="79" spans="1:5" x14ac:dyDescent="0.25">
      <c r="A79" s="20" t="s">
        <v>601</v>
      </c>
      <c r="B79" s="13" t="s">
        <v>85</v>
      </c>
      <c r="C79" s="19">
        <v>34262968</v>
      </c>
      <c r="D79" s="16">
        <v>515.1001</v>
      </c>
      <c r="E79" s="16">
        <f t="shared" si="1"/>
        <v>66517.106092582777</v>
      </c>
    </row>
    <row r="80" spans="1:5" x14ac:dyDescent="0.25">
      <c r="A80" s="20" t="s">
        <v>602</v>
      </c>
      <c r="B80" s="13" t="s">
        <v>86</v>
      </c>
      <c r="C80" s="19">
        <v>11918382</v>
      </c>
      <c r="D80" s="16">
        <v>147.63050000000001</v>
      </c>
      <c r="E80" s="16">
        <f t="shared" si="1"/>
        <v>80731.163275881336</v>
      </c>
    </row>
    <row r="81" spans="1:5" x14ac:dyDescent="0.25">
      <c r="A81" s="20" t="s">
        <v>603</v>
      </c>
      <c r="B81" s="13" t="s">
        <v>87</v>
      </c>
      <c r="C81" s="19">
        <v>483146939</v>
      </c>
      <c r="D81" s="16">
        <v>5748.6562999999996</v>
      </c>
      <c r="E81" s="16">
        <f t="shared" si="1"/>
        <v>84045.194874496156</v>
      </c>
    </row>
    <row r="82" spans="1:5" x14ac:dyDescent="0.25">
      <c r="A82" s="20" t="s">
        <v>604</v>
      </c>
      <c r="B82" s="13" t="s">
        <v>88</v>
      </c>
      <c r="C82" s="19">
        <v>51569002</v>
      </c>
      <c r="D82" s="16">
        <v>777.00260000000003</v>
      </c>
      <c r="E82" s="16">
        <f t="shared" si="1"/>
        <v>66369.149858700606</v>
      </c>
    </row>
    <row r="83" spans="1:5" x14ac:dyDescent="0.25">
      <c r="A83" s="20" t="s">
        <v>605</v>
      </c>
      <c r="B83" s="13" t="s">
        <v>89</v>
      </c>
      <c r="C83" s="19">
        <v>15441257</v>
      </c>
      <c r="D83" s="16">
        <v>168.5898</v>
      </c>
      <c r="E83" s="16">
        <f t="shared" si="1"/>
        <v>91590.695285242648</v>
      </c>
    </row>
    <row r="84" spans="1:5" x14ac:dyDescent="0.25">
      <c r="A84" s="20" t="s">
        <v>606</v>
      </c>
      <c r="B84" s="13" t="s">
        <v>90</v>
      </c>
      <c r="C84" s="19">
        <v>144002180</v>
      </c>
      <c r="D84" s="16">
        <v>2003.4854</v>
      </c>
      <c r="E84" s="16">
        <f t="shared" si="1"/>
        <v>71875.831987595215</v>
      </c>
    </row>
    <row r="85" spans="1:5" x14ac:dyDescent="0.25">
      <c r="A85" s="20" t="s">
        <v>607</v>
      </c>
      <c r="B85" s="13" t="s">
        <v>91</v>
      </c>
      <c r="C85" s="19">
        <v>185159072</v>
      </c>
      <c r="D85" s="16">
        <v>2276.7129</v>
      </c>
      <c r="E85" s="16">
        <f t="shared" si="1"/>
        <v>81327.369823397588</v>
      </c>
    </row>
    <row r="86" spans="1:5" x14ac:dyDescent="0.25">
      <c r="A86" s="20" t="s">
        <v>608</v>
      </c>
      <c r="B86" s="13" t="s">
        <v>92</v>
      </c>
      <c r="C86" s="19">
        <v>18542433</v>
      </c>
      <c r="D86" s="16">
        <v>286.54160000000002</v>
      </c>
      <c r="E86" s="16">
        <f t="shared" si="1"/>
        <v>64711.137929012744</v>
      </c>
    </row>
    <row r="87" spans="1:5" x14ac:dyDescent="0.25">
      <c r="A87" s="20" t="s">
        <v>609</v>
      </c>
      <c r="B87" s="13" t="s">
        <v>93</v>
      </c>
      <c r="C87" s="19">
        <v>43800230</v>
      </c>
      <c r="D87" s="16">
        <v>401.91140000000001</v>
      </c>
      <c r="E87" s="16">
        <f t="shared" si="1"/>
        <v>108979.81495424116</v>
      </c>
    </row>
    <row r="88" spans="1:5" x14ac:dyDescent="0.25">
      <c r="A88" s="20" t="s">
        <v>610</v>
      </c>
      <c r="B88" s="13" t="s">
        <v>94</v>
      </c>
      <c r="C88" s="19">
        <v>314866224</v>
      </c>
      <c r="D88" s="16">
        <v>4537.5473000000002</v>
      </c>
      <c r="E88" s="16">
        <f t="shared" si="1"/>
        <v>69391.281937711145</v>
      </c>
    </row>
    <row r="89" spans="1:5" x14ac:dyDescent="0.25">
      <c r="A89" s="20" t="s">
        <v>611</v>
      </c>
      <c r="B89" s="13" t="s">
        <v>95</v>
      </c>
      <c r="C89" s="19">
        <v>88909760</v>
      </c>
      <c r="D89" s="16">
        <v>948.49249999999995</v>
      </c>
      <c r="E89" s="16">
        <f t="shared" si="1"/>
        <v>93737.968407762848</v>
      </c>
    </row>
    <row r="90" spans="1:5" x14ac:dyDescent="0.25">
      <c r="A90" s="20" t="s">
        <v>612</v>
      </c>
      <c r="B90" s="13" t="s">
        <v>96</v>
      </c>
      <c r="C90" s="19">
        <v>88427505</v>
      </c>
      <c r="D90" s="16">
        <v>1133.5372</v>
      </c>
      <c r="E90" s="16">
        <f t="shared" si="1"/>
        <v>78010.236452760437</v>
      </c>
    </row>
    <row r="91" spans="1:5" x14ac:dyDescent="0.25">
      <c r="A91" s="20" t="s">
        <v>613</v>
      </c>
      <c r="B91" s="13" t="s">
        <v>97</v>
      </c>
      <c r="C91" s="19">
        <v>16843320</v>
      </c>
      <c r="D91" s="16">
        <v>154.654</v>
      </c>
      <c r="E91" s="16">
        <f t="shared" si="1"/>
        <v>108909.6951905544</v>
      </c>
    </row>
    <row r="92" spans="1:5" x14ac:dyDescent="0.25">
      <c r="A92" s="20" t="s">
        <v>614</v>
      </c>
      <c r="B92" s="13" t="s">
        <v>98</v>
      </c>
      <c r="C92" s="19">
        <v>20186106</v>
      </c>
      <c r="D92" s="16">
        <v>247.93510000000001</v>
      </c>
      <c r="E92" s="16">
        <f t="shared" si="1"/>
        <v>81416.894985824911</v>
      </c>
    </row>
    <row r="93" spans="1:5" x14ac:dyDescent="0.25">
      <c r="A93" s="20" t="s">
        <v>615</v>
      </c>
      <c r="B93" s="13" t="s">
        <v>99</v>
      </c>
      <c r="C93" s="19">
        <v>16219030</v>
      </c>
      <c r="D93" s="16">
        <v>130.9589</v>
      </c>
      <c r="E93" s="16">
        <f t="shared" si="1"/>
        <v>123848.24551825038</v>
      </c>
    </row>
    <row r="94" spans="1:5" x14ac:dyDescent="0.25">
      <c r="A94" s="20" t="s">
        <v>616</v>
      </c>
      <c r="B94" s="13" t="s">
        <v>100</v>
      </c>
      <c r="C94" s="19">
        <v>52232353</v>
      </c>
      <c r="D94" s="16">
        <v>427.98750000000001</v>
      </c>
      <c r="E94" s="16">
        <f t="shared" si="1"/>
        <v>122041.77224802125</v>
      </c>
    </row>
    <row r="95" spans="1:5" x14ac:dyDescent="0.25">
      <c r="A95" s="20" t="s">
        <v>617</v>
      </c>
      <c r="B95" s="13" t="s">
        <v>101</v>
      </c>
      <c r="C95" s="19">
        <v>11779820</v>
      </c>
      <c r="D95" s="16">
        <v>215.01689999999999</v>
      </c>
      <c r="E95" s="16">
        <f t="shared" si="1"/>
        <v>54785.554065750184</v>
      </c>
    </row>
    <row r="96" spans="1:5" x14ac:dyDescent="0.25">
      <c r="A96" s="20" t="s">
        <v>618</v>
      </c>
      <c r="B96" s="13" t="s">
        <v>102</v>
      </c>
      <c r="C96" s="19">
        <v>421734605</v>
      </c>
      <c r="D96" s="16">
        <v>5705.348</v>
      </c>
      <c r="E96" s="16">
        <f t="shared" si="1"/>
        <v>73919.172853259777</v>
      </c>
    </row>
    <row r="97" spans="1:5" x14ac:dyDescent="0.25">
      <c r="A97" s="20" t="s">
        <v>619</v>
      </c>
      <c r="B97" s="13" t="s">
        <v>103</v>
      </c>
      <c r="C97" s="19">
        <v>38811056</v>
      </c>
      <c r="D97" s="16">
        <v>752.89949999999999</v>
      </c>
      <c r="E97" s="16">
        <f t="shared" si="1"/>
        <v>51548.787055908528</v>
      </c>
    </row>
    <row r="98" spans="1:5" x14ac:dyDescent="0.25">
      <c r="A98" s="20" t="s">
        <v>620</v>
      </c>
      <c r="B98" s="13" t="s">
        <v>104</v>
      </c>
      <c r="C98" s="19">
        <v>33546434</v>
      </c>
      <c r="D98" s="16">
        <v>388.71660000000003</v>
      </c>
      <c r="E98" s="16">
        <f t="shared" si="1"/>
        <v>86300.492441022579</v>
      </c>
    </row>
    <row r="99" spans="1:5" x14ac:dyDescent="0.25">
      <c r="A99" s="20" t="s">
        <v>621</v>
      </c>
      <c r="B99" s="13" t="s">
        <v>105</v>
      </c>
      <c r="C99" s="19">
        <v>64711483</v>
      </c>
      <c r="D99" s="16">
        <v>1069.3918000000001</v>
      </c>
      <c r="E99" s="16">
        <f t="shared" si="1"/>
        <v>60512.417432039401</v>
      </c>
    </row>
    <row r="100" spans="1:5" x14ac:dyDescent="0.25">
      <c r="A100" s="20" t="s">
        <v>622</v>
      </c>
      <c r="B100" s="13" t="s">
        <v>106</v>
      </c>
      <c r="C100" s="19">
        <v>421743276</v>
      </c>
      <c r="D100" s="16">
        <v>5303.1432000000004</v>
      </c>
      <c r="E100" s="16">
        <f t="shared" si="1"/>
        <v>79527.038983220365</v>
      </c>
    </row>
    <row r="101" spans="1:5" x14ac:dyDescent="0.25">
      <c r="A101" s="20" t="s">
        <v>623</v>
      </c>
      <c r="B101" s="13" t="s">
        <v>107</v>
      </c>
      <c r="C101" s="19">
        <v>61451543</v>
      </c>
      <c r="D101" s="16">
        <v>729.10749999999996</v>
      </c>
      <c r="E101" s="16">
        <f t="shared" si="1"/>
        <v>84283.240811540134</v>
      </c>
    </row>
    <row r="102" spans="1:5" x14ac:dyDescent="0.25">
      <c r="A102" s="20" t="s">
        <v>624</v>
      </c>
      <c r="B102" s="13" t="s">
        <v>108</v>
      </c>
      <c r="C102" s="19">
        <v>88273010</v>
      </c>
      <c r="D102" s="16">
        <v>974.59979999999996</v>
      </c>
      <c r="E102" s="16">
        <f t="shared" si="1"/>
        <v>90573.597490990665</v>
      </c>
    </row>
    <row r="103" spans="1:5" x14ac:dyDescent="0.25">
      <c r="A103" s="20" t="s">
        <v>625</v>
      </c>
      <c r="B103" s="13" t="s">
        <v>109</v>
      </c>
      <c r="C103" s="19">
        <v>328546177</v>
      </c>
      <c r="D103" s="16">
        <v>3288.9722999999999</v>
      </c>
      <c r="E103" s="16">
        <f t="shared" si="1"/>
        <v>99893.263619155448</v>
      </c>
    </row>
    <row r="104" spans="1:5" x14ac:dyDescent="0.25">
      <c r="A104" s="20" t="s">
        <v>626</v>
      </c>
      <c r="B104" s="13" t="s">
        <v>110</v>
      </c>
      <c r="C104" s="19">
        <v>223485081</v>
      </c>
      <c r="D104" s="16">
        <v>2575.3755000000001</v>
      </c>
      <c r="E104" s="16">
        <f t="shared" si="1"/>
        <v>86777.668343897807</v>
      </c>
    </row>
    <row r="105" spans="1:5" x14ac:dyDescent="0.25">
      <c r="A105" s="20" t="s">
        <v>627</v>
      </c>
      <c r="B105" s="13" t="s">
        <v>111</v>
      </c>
      <c r="C105" s="19">
        <v>218647933</v>
      </c>
      <c r="D105" s="16">
        <v>2708.4562000000001</v>
      </c>
      <c r="E105" s="16">
        <f t="shared" si="1"/>
        <v>80727.88217878509</v>
      </c>
    </row>
    <row r="106" spans="1:5" x14ac:dyDescent="0.25">
      <c r="A106" s="20" t="s">
        <v>628</v>
      </c>
      <c r="B106" s="13" t="s">
        <v>112</v>
      </c>
      <c r="C106" s="19">
        <v>845836855</v>
      </c>
      <c r="D106" s="16">
        <v>11759.2559</v>
      </c>
      <c r="E106" s="16">
        <f t="shared" si="1"/>
        <v>71929.453886618794</v>
      </c>
    </row>
    <row r="107" spans="1:5" x14ac:dyDescent="0.25">
      <c r="A107" s="20" t="s">
        <v>629</v>
      </c>
      <c r="B107" s="13" t="s">
        <v>113</v>
      </c>
      <c r="C107" s="19">
        <v>7084759</v>
      </c>
      <c r="D107" s="16">
        <v>32.678400000000003</v>
      </c>
      <c r="E107" s="16">
        <f t="shared" si="1"/>
        <v>216802.50563063062</v>
      </c>
    </row>
    <row r="108" spans="1:5" x14ac:dyDescent="0.25">
      <c r="A108" s="20" t="s">
        <v>630</v>
      </c>
      <c r="B108" s="13" t="s">
        <v>114</v>
      </c>
      <c r="C108" s="19">
        <v>2003103850</v>
      </c>
      <c r="D108" s="16">
        <v>18866.7219</v>
      </c>
      <c r="E108" s="16">
        <f t="shared" si="1"/>
        <v>106171.27133251484</v>
      </c>
    </row>
    <row r="109" spans="1:5" x14ac:dyDescent="0.25">
      <c r="A109" s="20" t="s">
        <v>631</v>
      </c>
      <c r="B109" s="13" t="s">
        <v>115</v>
      </c>
      <c r="C109" s="19">
        <v>110708625</v>
      </c>
      <c r="D109" s="16">
        <v>1745.4013</v>
      </c>
      <c r="E109" s="16">
        <f t="shared" si="1"/>
        <v>63428.751313523142</v>
      </c>
    </row>
    <row r="110" spans="1:5" x14ac:dyDescent="0.25">
      <c r="A110" s="20" t="s">
        <v>632</v>
      </c>
      <c r="B110" s="13" t="s">
        <v>116</v>
      </c>
      <c r="C110" s="19">
        <v>60308317</v>
      </c>
      <c r="D110" s="16">
        <v>922.64440000000002</v>
      </c>
      <c r="E110" s="16">
        <f t="shared" si="1"/>
        <v>65364.637773772862</v>
      </c>
    </row>
    <row r="111" spans="1:5" x14ac:dyDescent="0.25">
      <c r="A111" s="20" t="s">
        <v>633</v>
      </c>
      <c r="B111" s="13" t="s">
        <v>117</v>
      </c>
      <c r="C111" s="19">
        <v>73006300</v>
      </c>
      <c r="D111" s="16">
        <v>632.32219999999995</v>
      </c>
      <c r="E111" s="16">
        <f t="shared" si="1"/>
        <v>115457.43609824232</v>
      </c>
    </row>
    <row r="112" spans="1:5" x14ac:dyDescent="0.25">
      <c r="A112" s="20" t="s">
        <v>634</v>
      </c>
      <c r="B112" s="13" t="s">
        <v>118</v>
      </c>
      <c r="C112" s="19">
        <v>52838333</v>
      </c>
      <c r="D112" s="16">
        <v>553.37390000000005</v>
      </c>
      <c r="E112" s="16">
        <f t="shared" si="1"/>
        <v>95483.963013073066</v>
      </c>
    </row>
    <row r="113" spans="1:5" x14ac:dyDescent="0.25">
      <c r="A113" s="20" t="s">
        <v>635</v>
      </c>
      <c r="B113" s="13" t="s">
        <v>119</v>
      </c>
      <c r="C113" s="19">
        <v>99914725</v>
      </c>
      <c r="D113" s="16">
        <v>1173.3072999999999</v>
      </c>
      <c r="E113" s="16">
        <f t="shared" si="1"/>
        <v>85156.484579956174</v>
      </c>
    </row>
    <row r="114" spans="1:5" x14ac:dyDescent="0.25">
      <c r="A114" s="20" t="s">
        <v>636</v>
      </c>
      <c r="B114" s="13" t="s">
        <v>120</v>
      </c>
      <c r="C114" s="19">
        <v>64429634</v>
      </c>
      <c r="D114" s="16">
        <v>563.60310000000004</v>
      </c>
      <c r="E114" s="16">
        <f t="shared" si="1"/>
        <v>114317.38753743547</v>
      </c>
    </row>
    <row r="115" spans="1:5" x14ac:dyDescent="0.25">
      <c r="A115" s="20" t="s">
        <v>637</v>
      </c>
      <c r="B115" s="13" t="s">
        <v>121</v>
      </c>
      <c r="C115" s="19">
        <v>1224108622</v>
      </c>
      <c r="D115" s="16">
        <v>8202.8920999999991</v>
      </c>
      <c r="E115" s="16">
        <f t="shared" si="1"/>
        <v>149228.90696075352</v>
      </c>
    </row>
    <row r="116" spans="1:5" x14ac:dyDescent="0.25">
      <c r="A116" s="20" t="s">
        <v>638</v>
      </c>
      <c r="B116" s="13" t="s">
        <v>122</v>
      </c>
      <c r="C116" s="19">
        <v>8795113</v>
      </c>
      <c r="D116" s="16">
        <v>138.346</v>
      </c>
      <c r="E116" s="16">
        <f t="shared" si="1"/>
        <v>63573.308950023849</v>
      </c>
    </row>
    <row r="117" spans="1:5" x14ac:dyDescent="0.25">
      <c r="A117" s="20" t="s">
        <v>639</v>
      </c>
      <c r="B117" s="13" t="s">
        <v>123</v>
      </c>
      <c r="C117" s="19">
        <v>9217736</v>
      </c>
      <c r="D117" s="16">
        <v>115.99120000000001</v>
      </c>
      <c r="E117" s="16">
        <f t="shared" si="1"/>
        <v>79469.270082557981</v>
      </c>
    </row>
    <row r="118" spans="1:5" x14ac:dyDescent="0.25">
      <c r="A118" s="20" t="s">
        <v>640</v>
      </c>
      <c r="B118" s="13" t="s">
        <v>124</v>
      </c>
      <c r="C118" s="19">
        <v>13271127</v>
      </c>
      <c r="D118" s="16">
        <v>137.30369999999999</v>
      </c>
      <c r="E118" s="16">
        <f t="shared" si="1"/>
        <v>96655.27585928129</v>
      </c>
    </row>
    <row r="119" spans="1:5" x14ac:dyDescent="0.25">
      <c r="A119" s="20" t="s">
        <v>641</v>
      </c>
      <c r="B119" s="13" t="s">
        <v>125</v>
      </c>
      <c r="C119" s="19">
        <v>13892734</v>
      </c>
      <c r="D119" s="16">
        <v>246.34049999999999</v>
      </c>
      <c r="E119" s="16">
        <f t="shared" si="1"/>
        <v>56396.467491135241</v>
      </c>
    </row>
    <row r="120" spans="1:5" x14ac:dyDescent="0.25">
      <c r="A120" s="20" t="s">
        <v>642</v>
      </c>
      <c r="B120" s="13" t="s">
        <v>126</v>
      </c>
      <c r="C120" s="19">
        <v>18420889</v>
      </c>
      <c r="D120" s="16">
        <v>244.56059999999999</v>
      </c>
      <c r="E120" s="16">
        <f t="shared" si="1"/>
        <v>75322.390442287113</v>
      </c>
    </row>
    <row r="121" spans="1:5" x14ac:dyDescent="0.25">
      <c r="A121" s="20" t="s">
        <v>643</v>
      </c>
      <c r="B121" s="13" t="s">
        <v>127</v>
      </c>
      <c r="C121" s="19">
        <v>138802703</v>
      </c>
      <c r="D121" s="16">
        <v>1406.0549000000001</v>
      </c>
      <c r="E121" s="16">
        <f t="shared" si="1"/>
        <v>98717.840249338769</v>
      </c>
    </row>
    <row r="122" spans="1:5" x14ac:dyDescent="0.25">
      <c r="A122" s="20" t="s">
        <v>644</v>
      </c>
      <c r="B122" s="13" t="s">
        <v>128</v>
      </c>
      <c r="C122" s="19">
        <v>64443772</v>
      </c>
      <c r="D122" s="16">
        <v>877.31209999999999</v>
      </c>
      <c r="E122" s="16">
        <f t="shared" si="1"/>
        <v>73455.925206092565</v>
      </c>
    </row>
    <row r="123" spans="1:5" x14ac:dyDescent="0.25">
      <c r="A123" s="20" t="s">
        <v>645</v>
      </c>
      <c r="B123" s="13" t="s">
        <v>129</v>
      </c>
      <c r="C123" s="19">
        <v>117688820</v>
      </c>
      <c r="D123" s="16">
        <v>1471.3333</v>
      </c>
      <c r="E123" s="16">
        <f t="shared" si="1"/>
        <v>79987.872224464707</v>
      </c>
    </row>
    <row r="124" spans="1:5" x14ac:dyDescent="0.25">
      <c r="A124" s="20" t="s">
        <v>646</v>
      </c>
      <c r="B124" s="13" t="s">
        <v>130</v>
      </c>
      <c r="C124" s="19">
        <v>58866163</v>
      </c>
      <c r="D124" s="16">
        <v>908.8229</v>
      </c>
      <c r="E124" s="16">
        <f t="shared" si="1"/>
        <v>64771.874696379236</v>
      </c>
    </row>
    <row r="125" spans="1:5" x14ac:dyDescent="0.25">
      <c r="A125" s="20" t="s">
        <v>647</v>
      </c>
      <c r="B125" s="13" t="s">
        <v>131</v>
      </c>
      <c r="C125" s="19">
        <v>31422372</v>
      </c>
      <c r="D125" s="16">
        <v>326.63510000000002</v>
      </c>
      <c r="E125" s="16">
        <f t="shared" si="1"/>
        <v>96200.23077740267</v>
      </c>
    </row>
    <row r="126" spans="1:5" x14ac:dyDescent="0.25">
      <c r="A126" s="20" t="s">
        <v>648</v>
      </c>
      <c r="B126" s="13" t="s">
        <v>132</v>
      </c>
      <c r="C126" s="19">
        <v>11076995</v>
      </c>
      <c r="D126" s="16">
        <v>119.06310000000001</v>
      </c>
      <c r="E126" s="16">
        <f t="shared" si="1"/>
        <v>93034.659772843137</v>
      </c>
    </row>
    <row r="127" spans="1:5" x14ac:dyDescent="0.25">
      <c r="A127" s="20" t="s">
        <v>649</v>
      </c>
      <c r="B127" s="13" t="s">
        <v>133</v>
      </c>
      <c r="C127" s="19">
        <v>10978989</v>
      </c>
      <c r="D127" s="16">
        <v>153.49289999999999</v>
      </c>
      <c r="E127" s="16">
        <f t="shared" si="1"/>
        <v>71527.666752012636</v>
      </c>
    </row>
    <row r="128" spans="1:5" x14ac:dyDescent="0.25">
      <c r="A128" s="20" t="s">
        <v>650</v>
      </c>
      <c r="B128" s="13" t="s">
        <v>134</v>
      </c>
      <c r="C128" s="19">
        <v>38144907</v>
      </c>
      <c r="D128" s="16">
        <v>409.0478</v>
      </c>
      <c r="E128" s="16">
        <f t="shared" si="1"/>
        <v>93252.932786828344</v>
      </c>
    </row>
    <row r="129" spans="1:5" x14ac:dyDescent="0.25">
      <c r="A129" s="20" t="s">
        <v>651</v>
      </c>
      <c r="B129" s="13" t="s">
        <v>135</v>
      </c>
      <c r="C129" s="19">
        <v>115000491</v>
      </c>
      <c r="D129" s="16">
        <v>1587.7592</v>
      </c>
      <c r="E129" s="16">
        <f t="shared" si="1"/>
        <v>72429.428215563166</v>
      </c>
    </row>
    <row r="130" spans="1:5" x14ac:dyDescent="0.25">
      <c r="A130" s="20" t="s">
        <v>652</v>
      </c>
      <c r="B130" s="13" t="s">
        <v>136</v>
      </c>
      <c r="C130" s="19">
        <v>14289757</v>
      </c>
      <c r="D130" s="16">
        <v>178.3605</v>
      </c>
      <c r="E130" s="16">
        <f t="shared" si="1"/>
        <v>80117.273723722465</v>
      </c>
    </row>
    <row r="131" spans="1:5" x14ac:dyDescent="0.25">
      <c r="A131" s="20" t="s">
        <v>653</v>
      </c>
      <c r="B131" s="13" t="s">
        <v>137</v>
      </c>
      <c r="C131" s="19">
        <v>23038197</v>
      </c>
      <c r="D131" s="16">
        <v>163.01349999999999</v>
      </c>
      <c r="E131" s="16">
        <f t="shared" ref="E131:E194" si="2">C131/D131</f>
        <v>141326.92691096137</v>
      </c>
    </row>
    <row r="132" spans="1:5" x14ac:dyDescent="0.25">
      <c r="A132" s="20" t="s">
        <v>654</v>
      </c>
      <c r="B132" s="13" t="s">
        <v>138</v>
      </c>
      <c r="C132" s="19">
        <v>10767563</v>
      </c>
      <c r="D132" s="16">
        <v>72.609800000000007</v>
      </c>
      <c r="E132" s="16">
        <f t="shared" si="2"/>
        <v>148293.52236199519</v>
      </c>
    </row>
    <row r="133" spans="1:5" x14ac:dyDescent="0.25">
      <c r="A133" s="20" t="s">
        <v>655</v>
      </c>
      <c r="B133" s="13" t="s">
        <v>139</v>
      </c>
      <c r="C133" s="19">
        <v>42624891</v>
      </c>
      <c r="D133" s="16">
        <v>575.15189999999996</v>
      </c>
      <c r="E133" s="16">
        <f t="shared" si="2"/>
        <v>74110.667112461946</v>
      </c>
    </row>
    <row r="134" spans="1:5" x14ac:dyDescent="0.25">
      <c r="A134" s="20" t="s">
        <v>656</v>
      </c>
      <c r="B134" s="13" t="s">
        <v>140</v>
      </c>
      <c r="C134" s="19">
        <v>19224138</v>
      </c>
      <c r="D134" s="16">
        <v>167.95959999999999</v>
      </c>
      <c r="E134" s="16">
        <f t="shared" si="2"/>
        <v>114456.91702052161</v>
      </c>
    </row>
    <row r="135" spans="1:5" x14ac:dyDescent="0.25">
      <c r="A135" s="20" t="s">
        <v>657</v>
      </c>
      <c r="B135" s="13" t="s">
        <v>141</v>
      </c>
      <c r="C135" s="19">
        <v>9656539</v>
      </c>
      <c r="D135" s="16">
        <v>107.5048</v>
      </c>
      <c r="E135" s="16">
        <f t="shared" si="2"/>
        <v>89824.259009830261</v>
      </c>
    </row>
    <row r="136" spans="1:5" x14ac:dyDescent="0.25">
      <c r="A136" s="20" t="s">
        <v>658</v>
      </c>
      <c r="B136" s="13" t="s">
        <v>142</v>
      </c>
      <c r="C136" s="19">
        <v>45207179</v>
      </c>
      <c r="D136" s="16">
        <v>581.90790000000004</v>
      </c>
      <c r="E136" s="16">
        <f t="shared" si="2"/>
        <v>77687.859195587473</v>
      </c>
    </row>
    <row r="137" spans="1:5" x14ac:dyDescent="0.25">
      <c r="A137" s="20" t="s">
        <v>659</v>
      </c>
      <c r="B137" s="13" t="s">
        <v>143</v>
      </c>
      <c r="C137" s="19">
        <v>25708313</v>
      </c>
      <c r="D137" s="16">
        <v>121.54510000000001</v>
      </c>
      <c r="E137" s="16">
        <f t="shared" si="2"/>
        <v>211512.54143523678</v>
      </c>
    </row>
    <row r="138" spans="1:5" x14ac:dyDescent="0.25">
      <c r="A138" s="20" t="s">
        <v>660</v>
      </c>
      <c r="B138" s="13" t="s">
        <v>144</v>
      </c>
      <c r="C138" s="19">
        <v>14730445</v>
      </c>
      <c r="D138" s="16">
        <v>186.37889999999999</v>
      </c>
      <c r="E138" s="16">
        <f t="shared" si="2"/>
        <v>79034.939040846366</v>
      </c>
    </row>
    <row r="139" spans="1:5" x14ac:dyDescent="0.25">
      <c r="A139" s="20" t="s">
        <v>661</v>
      </c>
      <c r="B139" s="13" t="s">
        <v>145</v>
      </c>
      <c r="C139" s="19">
        <v>66997619</v>
      </c>
      <c r="D139" s="16">
        <v>1011.458</v>
      </c>
      <c r="E139" s="16">
        <f t="shared" si="2"/>
        <v>66238.656474119547</v>
      </c>
    </row>
    <row r="140" spans="1:5" x14ac:dyDescent="0.25">
      <c r="A140" s="20" t="s">
        <v>662</v>
      </c>
      <c r="B140" s="13" t="s">
        <v>146</v>
      </c>
      <c r="C140" s="19">
        <v>13931720</v>
      </c>
      <c r="D140" s="16">
        <v>177.72399999999999</v>
      </c>
      <c r="E140" s="16">
        <f t="shared" si="2"/>
        <v>78389.637865454308</v>
      </c>
    </row>
    <row r="141" spans="1:5" x14ac:dyDescent="0.25">
      <c r="A141" s="20" t="s">
        <v>663</v>
      </c>
      <c r="B141" s="13" t="s">
        <v>147</v>
      </c>
      <c r="C141" s="19">
        <v>19207690</v>
      </c>
      <c r="D141" s="16">
        <v>252.99080000000001</v>
      </c>
      <c r="E141" s="16">
        <f t="shared" si="2"/>
        <v>75922.484137763109</v>
      </c>
    </row>
    <row r="142" spans="1:5" x14ac:dyDescent="0.25">
      <c r="A142" s="20" t="s">
        <v>664</v>
      </c>
      <c r="B142" s="13" t="s">
        <v>148</v>
      </c>
      <c r="C142" s="19">
        <v>30619677</v>
      </c>
      <c r="D142" s="16">
        <v>359.83100000000002</v>
      </c>
      <c r="E142" s="16">
        <f t="shared" si="2"/>
        <v>85094.605523148362</v>
      </c>
    </row>
    <row r="143" spans="1:5" x14ac:dyDescent="0.25">
      <c r="A143" s="20" t="s">
        <v>665</v>
      </c>
      <c r="B143" s="13" t="s">
        <v>149</v>
      </c>
      <c r="C143" s="19">
        <v>18522040</v>
      </c>
      <c r="D143" s="16">
        <v>270.38260000000002</v>
      </c>
      <c r="E143" s="16">
        <f t="shared" si="2"/>
        <v>68503.076751240646</v>
      </c>
    </row>
    <row r="144" spans="1:5" x14ac:dyDescent="0.25">
      <c r="A144" s="20" t="s">
        <v>666</v>
      </c>
      <c r="B144" s="13" t="s">
        <v>150</v>
      </c>
      <c r="C144" s="19">
        <v>9243995</v>
      </c>
      <c r="D144" s="16">
        <v>108.90900000000001</v>
      </c>
      <c r="E144" s="16">
        <f t="shared" si="2"/>
        <v>84878.155157057729</v>
      </c>
    </row>
    <row r="145" spans="1:5" x14ac:dyDescent="0.25">
      <c r="A145" s="20" t="s">
        <v>667</v>
      </c>
      <c r="B145" s="13" t="s">
        <v>151</v>
      </c>
      <c r="C145" s="19">
        <v>6524336</v>
      </c>
      <c r="D145" s="16">
        <v>128.52359999999999</v>
      </c>
      <c r="E145" s="16">
        <f t="shared" si="2"/>
        <v>50763.719659268805</v>
      </c>
    </row>
    <row r="146" spans="1:5" x14ac:dyDescent="0.25">
      <c r="A146" s="20" t="s">
        <v>668</v>
      </c>
      <c r="B146" s="13" t="s">
        <v>152</v>
      </c>
      <c r="C146" s="19">
        <v>92278216</v>
      </c>
      <c r="D146" s="16">
        <v>1188.9305999999999</v>
      </c>
      <c r="E146" s="16">
        <f t="shared" si="2"/>
        <v>77614.467993337879</v>
      </c>
    </row>
    <row r="147" spans="1:5" x14ac:dyDescent="0.25">
      <c r="A147" s="20" t="s">
        <v>669</v>
      </c>
      <c r="B147" s="13" t="s">
        <v>153</v>
      </c>
      <c r="C147" s="19">
        <v>45696189</v>
      </c>
      <c r="D147" s="16">
        <v>938.38059999999996</v>
      </c>
      <c r="E147" s="16">
        <f t="shared" si="2"/>
        <v>48696.860314460893</v>
      </c>
    </row>
    <row r="148" spans="1:5" x14ac:dyDescent="0.25">
      <c r="A148" s="20" t="s">
        <v>670</v>
      </c>
      <c r="B148" s="13" t="s">
        <v>154</v>
      </c>
      <c r="C148" s="19">
        <v>47829110</v>
      </c>
      <c r="D148" s="16">
        <v>563.90369999999996</v>
      </c>
      <c r="E148" s="16">
        <f t="shared" si="2"/>
        <v>84817.86872474858</v>
      </c>
    </row>
    <row r="149" spans="1:5" x14ac:dyDescent="0.25">
      <c r="A149" s="20" t="s">
        <v>671</v>
      </c>
      <c r="B149" s="13" t="s">
        <v>155</v>
      </c>
      <c r="C149" s="19">
        <v>22760155</v>
      </c>
      <c r="D149" s="16">
        <v>499.2244</v>
      </c>
      <c r="E149" s="16">
        <f t="shared" si="2"/>
        <v>45591.030806987801</v>
      </c>
    </row>
    <row r="150" spans="1:5" x14ac:dyDescent="0.25">
      <c r="A150" s="20" t="s">
        <v>672</v>
      </c>
      <c r="B150" s="13" t="s">
        <v>156</v>
      </c>
      <c r="C150" s="19">
        <v>13618668</v>
      </c>
      <c r="D150" s="16">
        <v>306.78809999999999</v>
      </c>
      <c r="E150" s="16">
        <f t="shared" si="2"/>
        <v>44391.122080680449</v>
      </c>
    </row>
    <row r="151" spans="1:5" x14ac:dyDescent="0.25">
      <c r="A151" s="20" t="s">
        <v>673</v>
      </c>
      <c r="B151" s="13" t="s">
        <v>157</v>
      </c>
      <c r="C151" s="19">
        <v>51033490</v>
      </c>
      <c r="D151" s="16">
        <v>773.1386</v>
      </c>
      <c r="E151" s="16">
        <f t="shared" si="2"/>
        <v>66008.203445022664</v>
      </c>
    </row>
    <row r="152" spans="1:5" x14ac:dyDescent="0.25">
      <c r="A152" s="20" t="s">
        <v>674</v>
      </c>
      <c r="B152" s="13" t="s">
        <v>158</v>
      </c>
      <c r="C152" s="19">
        <v>15368953</v>
      </c>
      <c r="D152" s="16">
        <v>254.5436</v>
      </c>
      <c r="E152" s="16">
        <f t="shared" si="2"/>
        <v>60378.469543135245</v>
      </c>
    </row>
    <row r="153" spans="1:5" x14ac:dyDescent="0.25">
      <c r="A153" s="20" t="s">
        <v>675</v>
      </c>
      <c r="B153" s="13" t="s">
        <v>159</v>
      </c>
      <c r="C153" s="19">
        <v>95455260</v>
      </c>
      <c r="D153" s="16">
        <v>1874.6341</v>
      </c>
      <c r="E153" s="16">
        <f t="shared" si="2"/>
        <v>50919.40875288676</v>
      </c>
    </row>
    <row r="154" spans="1:5" x14ac:dyDescent="0.25">
      <c r="A154" s="20" t="s">
        <v>676</v>
      </c>
      <c r="B154" s="13" t="s">
        <v>160</v>
      </c>
      <c r="C154" s="19">
        <v>27907690</v>
      </c>
      <c r="D154" s="16">
        <v>170.9855</v>
      </c>
      <c r="E154" s="16">
        <f t="shared" si="2"/>
        <v>163216.70551011636</v>
      </c>
    </row>
    <row r="155" spans="1:5" x14ac:dyDescent="0.25">
      <c r="A155" s="20" t="s">
        <v>677</v>
      </c>
      <c r="B155" s="13" t="s">
        <v>161</v>
      </c>
      <c r="C155" s="19">
        <v>306093082</v>
      </c>
      <c r="D155" s="16">
        <v>3112.6210999999998</v>
      </c>
      <c r="E155" s="16">
        <f t="shared" si="2"/>
        <v>98339.332725078551</v>
      </c>
    </row>
    <row r="156" spans="1:5" x14ac:dyDescent="0.25">
      <c r="A156" s="20" t="s">
        <v>678</v>
      </c>
      <c r="B156" s="13" t="s">
        <v>162</v>
      </c>
      <c r="C156" s="19">
        <v>293095562</v>
      </c>
      <c r="D156" s="16">
        <v>2973.6477</v>
      </c>
      <c r="E156" s="16">
        <f t="shared" si="2"/>
        <v>98564.319505636129</v>
      </c>
    </row>
    <row r="157" spans="1:5" x14ac:dyDescent="0.25">
      <c r="A157" s="20" t="s">
        <v>679</v>
      </c>
      <c r="B157" s="13" t="s">
        <v>163</v>
      </c>
      <c r="C157" s="19">
        <v>35672539</v>
      </c>
      <c r="D157" s="16">
        <v>455.7353</v>
      </c>
      <c r="E157" s="16">
        <f t="shared" si="2"/>
        <v>78274.689276867517</v>
      </c>
    </row>
    <row r="158" spans="1:5" x14ac:dyDescent="0.25">
      <c r="A158" s="20" t="s">
        <v>680</v>
      </c>
      <c r="B158" s="13" t="s">
        <v>164</v>
      </c>
      <c r="C158" s="19">
        <v>24307990</v>
      </c>
      <c r="D158" s="16">
        <v>324.72109999999998</v>
      </c>
      <c r="E158" s="16">
        <f t="shared" si="2"/>
        <v>74858.055112525806</v>
      </c>
    </row>
    <row r="159" spans="1:5" x14ac:dyDescent="0.25">
      <c r="A159" s="20" t="s">
        <v>681</v>
      </c>
      <c r="B159" s="13" t="s">
        <v>165</v>
      </c>
      <c r="C159" s="19">
        <v>11170367</v>
      </c>
      <c r="D159" s="16">
        <v>101.9838</v>
      </c>
      <c r="E159" s="16">
        <f t="shared" si="2"/>
        <v>109530.79802870651</v>
      </c>
    </row>
    <row r="160" spans="1:5" x14ac:dyDescent="0.25">
      <c r="A160" s="20" t="s">
        <v>682</v>
      </c>
      <c r="B160" s="13" t="s">
        <v>166</v>
      </c>
      <c r="C160" s="19">
        <v>137758194</v>
      </c>
      <c r="D160" s="16">
        <v>2001.4985999999999</v>
      </c>
      <c r="E160" s="16">
        <f t="shared" si="2"/>
        <v>68827.524535865276</v>
      </c>
    </row>
    <row r="161" spans="1:5" x14ac:dyDescent="0.25">
      <c r="A161" s="20" t="s">
        <v>683</v>
      </c>
      <c r="B161" s="13" t="s">
        <v>167</v>
      </c>
      <c r="C161" s="19">
        <v>160633778</v>
      </c>
      <c r="D161" s="16">
        <v>1924.4502</v>
      </c>
      <c r="E161" s="16">
        <f t="shared" si="2"/>
        <v>83469.958328877517</v>
      </c>
    </row>
    <row r="162" spans="1:5" x14ac:dyDescent="0.25">
      <c r="A162" s="20" t="s">
        <v>684</v>
      </c>
      <c r="B162" s="13" t="s">
        <v>168</v>
      </c>
      <c r="C162" s="19">
        <v>34518121</v>
      </c>
      <c r="D162" s="16">
        <v>467.71870000000001</v>
      </c>
      <c r="E162" s="16">
        <f t="shared" si="2"/>
        <v>73801.028267631802</v>
      </c>
    </row>
    <row r="163" spans="1:5" x14ac:dyDescent="0.25">
      <c r="A163" s="20" t="s">
        <v>685</v>
      </c>
      <c r="B163" s="13" t="s">
        <v>169</v>
      </c>
      <c r="C163" s="19">
        <v>710575773</v>
      </c>
      <c r="D163" s="16">
        <v>3725.8751999999999</v>
      </c>
      <c r="E163" s="16">
        <f t="shared" si="2"/>
        <v>190713.78799805211</v>
      </c>
    </row>
    <row r="164" spans="1:5" x14ac:dyDescent="0.25">
      <c r="A164" s="20" t="s">
        <v>686</v>
      </c>
      <c r="B164" s="13" t="s">
        <v>170</v>
      </c>
      <c r="C164" s="19">
        <v>152875591</v>
      </c>
      <c r="D164" s="16">
        <v>1781.5889999999999</v>
      </c>
      <c r="E164" s="16">
        <f t="shared" si="2"/>
        <v>85808.562468672637</v>
      </c>
    </row>
    <row r="165" spans="1:5" x14ac:dyDescent="0.25">
      <c r="A165" s="20" t="s">
        <v>687</v>
      </c>
      <c r="B165" s="13" t="s">
        <v>171</v>
      </c>
      <c r="C165" s="19">
        <v>116921399</v>
      </c>
      <c r="D165" s="16">
        <v>932.11339999999996</v>
      </c>
      <c r="E165" s="16">
        <f t="shared" si="2"/>
        <v>125436.88246515929</v>
      </c>
    </row>
    <row r="166" spans="1:5" x14ac:dyDescent="0.25">
      <c r="A166" s="20" t="s">
        <v>688</v>
      </c>
      <c r="B166" s="13" t="s">
        <v>172</v>
      </c>
      <c r="C166" s="19">
        <v>45470802</v>
      </c>
      <c r="D166" s="16">
        <v>311.64280000000002</v>
      </c>
      <c r="E166" s="16">
        <f t="shared" si="2"/>
        <v>145906.79457378766</v>
      </c>
    </row>
    <row r="167" spans="1:5" x14ac:dyDescent="0.25">
      <c r="A167" s="20" t="s">
        <v>689</v>
      </c>
      <c r="B167" s="13" t="s">
        <v>173</v>
      </c>
      <c r="C167" s="19">
        <v>25568884</v>
      </c>
      <c r="D167" s="16">
        <v>297.50170000000003</v>
      </c>
      <c r="E167" s="16">
        <f t="shared" si="2"/>
        <v>85945.33745521454</v>
      </c>
    </row>
    <row r="168" spans="1:5" x14ac:dyDescent="0.25">
      <c r="A168" s="20" t="s">
        <v>690</v>
      </c>
      <c r="B168" s="13" t="s">
        <v>174</v>
      </c>
      <c r="C168" s="19">
        <v>37495503</v>
      </c>
      <c r="D168" s="16">
        <v>429.45269999999999</v>
      </c>
      <c r="E168" s="16">
        <f t="shared" si="2"/>
        <v>87309.971505593057</v>
      </c>
    </row>
    <row r="169" spans="1:5" x14ac:dyDescent="0.25">
      <c r="A169" s="20" t="s">
        <v>691</v>
      </c>
      <c r="B169" s="13" t="s">
        <v>175</v>
      </c>
      <c r="C169" s="19">
        <v>354302351</v>
      </c>
      <c r="D169" s="16">
        <v>4410.0744000000004</v>
      </c>
      <c r="E169" s="16">
        <f t="shared" si="2"/>
        <v>80339.313776656461</v>
      </c>
    </row>
    <row r="170" spans="1:5" x14ac:dyDescent="0.25">
      <c r="A170" s="20" t="s">
        <v>692</v>
      </c>
      <c r="B170" s="13" t="s">
        <v>176</v>
      </c>
      <c r="C170" s="19">
        <v>335496973</v>
      </c>
      <c r="D170" s="16">
        <v>4542.9065000000001</v>
      </c>
      <c r="E170" s="16">
        <f t="shared" si="2"/>
        <v>73850.732565154045</v>
      </c>
    </row>
    <row r="171" spans="1:5" x14ac:dyDescent="0.25">
      <c r="A171" s="20" t="s">
        <v>693</v>
      </c>
      <c r="B171" s="13" t="s">
        <v>177</v>
      </c>
      <c r="C171" s="19">
        <v>56917567</v>
      </c>
      <c r="D171" s="16">
        <v>658.38379999999995</v>
      </c>
      <c r="E171" s="16">
        <f t="shared" si="2"/>
        <v>86450.436660197302</v>
      </c>
    </row>
    <row r="172" spans="1:5" x14ac:dyDescent="0.25">
      <c r="A172" s="20" t="s">
        <v>694</v>
      </c>
      <c r="B172" s="13" t="s">
        <v>178</v>
      </c>
      <c r="C172" s="19">
        <v>18494862</v>
      </c>
      <c r="D172" s="16">
        <v>238.47049999999999</v>
      </c>
      <c r="E172" s="16">
        <f t="shared" si="2"/>
        <v>77556.184098242768</v>
      </c>
    </row>
    <row r="173" spans="1:5" x14ac:dyDescent="0.25">
      <c r="A173" s="20" t="s">
        <v>695</v>
      </c>
      <c r="B173" s="13" t="s">
        <v>179</v>
      </c>
      <c r="C173" s="19">
        <v>185987293</v>
      </c>
      <c r="D173" s="16">
        <v>1116.2827</v>
      </c>
      <c r="E173" s="16">
        <f t="shared" si="2"/>
        <v>166613.07480622965</v>
      </c>
    </row>
    <row r="174" spans="1:5" x14ac:dyDescent="0.25">
      <c r="A174" s="20" t="s">
        <v>696</v>
      </c>
      <c r="B174" s="13" t="s">
        <v>180</v>
      </c>
      <c r="C174" s="19">
        <v>233135230</v>
      </c>
      <c r="D174" s="16">
        <v>2105.5700999999999</v>
      </c>
      <c r="E174" s="16">
        <f t="shared" si="2"/>
        <v>110723.09110012534</v>
      </c>
    </row>
    <row r="175" spans="1:5" x14ac:dyDescent="0.25">
      <c r="A175" s="20" t="s">
        <v>697</v>
      </c>
      <c r="B175" s="13" t="s">
        <v>181</v>
      </c>
      <c r="C175" s="19">
        <v>3415017849</v>
      </c>
      <c r="D175" s="16">
        <v>23609.982599999999</v>
      </c>
      <c r="E175" s="16">
        <f t="shared" si="2"/>
        <v>144642.96339633898</v>
      </c>
    </row>
    <row r="176" spans="1:5" x14ac:dyDescent="0.25">
      <c r="A176" s="20" t="s">
        <v>698</v>
      </c>
      <c r="B176" s="13" t="s">
        <v>182</v>
      </c>
      <c r="C176" s="19">
        <v>64666382</v>
      </c>
      <c r="D176" s="16">
        <v>1052.5373</v>
      </c>
      <c r="E176" s="16">
        <f t="shared" si="2"/>
        <v>61438.56564513201</v>
      </c>
    </row>
    <row r="177" spans="1:5" x14ac:dyDescent="0.25">
      <c r="A177" s="20" t="s">
        <v>699</v>
      </c>
      <c r="B177" s="13" t="s">
        <v>183</v>
      </c>
      <c r="C177" s="19">
        <v>11962805</v>
      </c>
      <c r="D177" s="16">
        <v>122.4906</v>
      </c>
      <c r="E177" s="16">
        <f t="shared" si="2"/>
        <v>97663.045164281997</v>
      </c>
    </row>
    <row r="178" spans="1:5" x14ac:dyDescent="0.25">
      <c r="A178" s="20" t="s">
        <v>700</v>
      </c>
      <c r="B178" s="13" t="s">
        <v>184</v>
      </c>
      <c r="C178" s="19">
        <v>4175168</v>
      </c>
      <c r="D178" s="16">
        <v>48.152999999999999</v>
      </c>
      <c r="E178" s="16">
        <f t="shared" si="2"/>
        <v>86706.290366124653</v>
      </c>
    </row>
    <row r="179" spans="1:5" x14ac:dyDescent="0.25">
      <c r="A179" s="20" t="s">
        <v>701</v>
      </c>
      <c r="B179" s="13" t="s">
        <v>185</v>
      </c>
      <c r="C179" s="19">
        <v>7699324</v>
      </c>
      <c r="D179" s="16">
        <v>68.4589</v>
      </c>
      <c r="E179" s="16">
        <f t="shared" si="2"/>
        <v>112466.37033314879</v>
      </c>
    </row>
    <row r="180" spans="1:5" x14ac:dyDescent="0.25">
      <c r="A180" s="20" t="s">
        <v>702</v>
      </c>
      <c r="B180" s="13" t="s">
        <v>186</v>
      </c>
      <c r="C180" s="19">
        <v>5843304</v>
      </c>
      <c r="D180" s="16">
        <v>54.843000000000004</v>
      </c>
      <c r="E180" s="16">
        <f t="shared" si="2"/>
        <v>106546.03139871998</v>
      </c>
    </row>
    <row r="181" spans="1:5" x14ac:dyDescent="0.25">
      <c r="A181" s="20" t="s">
        <v>703</v>
      </c>
      <c r="B181" s="13" t="s">
        <v>187</v>
      </c>
      <c r="C181" s="19">
        <v>75399666</v>
      </c>
      <c r="D181" s="16">
        <v>1063.5110999999999</v>
      </c>
      <c r="E181" s="16">
        <f t="shared" si="2"/>
        <v>70896.924348039247</v>
      </c>
    </row>
    <row r="182" spans="1:5" x14ac:dyDescent="0.25">
      <c r="A182" s="20" t="s">
        <v>704</v>
      </c>
      <c r="B182" s="13" t="s">
        <v>188</v>
      </c>
      <c r="C182" s="19">
        <v>5881401</v>
      </c>
      <c r="D182" s="16">
        <v>78.050799999999995</v>
      </c>
      <c r="E182" s="16">
        <f t="shared" si="2"/>
        <v>75353.500540673514</v>
      </c>
    </row>
    <row r="183" spans="1:5" x14ac:dyDescent="0.25">
      <c r="A183" s="20" t="s">
        <v>705</v>
      </c>
      <c r="B183" s="13" t="s">
        <v>189</v>
      </c>
      <c r="C183" s="19">
        <v>65351171</v>
      </c>
      <c r="D183" s="16">
        <v>842.08439999999996</v>
      </c>
      <c r="E183" s="16">
        <f t="shared" si="2"/>
        <v>77606.438262007941</v>
      </c>
    </row>
    <row r="184" spans="1:5" x14ac:dyDescent="0.25">
      <c r="A184" s="20" t="s">
        <v>706</v>
      </c>
      <c r="B184" s="13" t="s">
        <v>190</v>
      </c>
      <c r="C184" s="19">
        <v>18877553</v>
      </c>
      <c r="D184" s="16">
        <v>210.71299999999999</v>
      </c>
      <c r="E184" s="16">
        <f t="shared" si="2"/>
        <v>89588.933762985675</v>
      </c>
    </row>
    <row r="185" spans="1:5" x14ac:dyDescent="0.25">
      <c r="A185" s="20" t="s">
        <v>707</v>
      </c>
      <c r="B185" s="13" t="s">
        <v>191</v>
      </c>
      <c r="C185" s="19">
        <v>10980886</v>
      </c>
      <c r="D185" s="16">
        <v>125.98309999999999</v>
      </c>
      <c r="E185" s="16">
        <f t="shared" si="2"/>
        <v>87161.579608693559</v>
      </c>
    </row>
    <row r="186" spans="1:5" x14ac:dyDescent="0.25">
      <c r="A186" s="20" t="s">
        <v>708</v>
      </c>
      <c r="B186" s="13" t="s">
        <v>192</v>
      </c>
      <c r="C186" s="19">
        <v>7586442</v>
      </c>
      <c r="D186" s="16">
        <v>81.968699999999998</v>
      </c>
      <c r="E186" s="16">
        <f t="shared" si="2"/>
        <v>92552.913490149294</v>
      </c>
    </row>
    <row r="187" spans="1:5" x14ac:dyDescent="0.25">
      <c r="A187" s="20" t="s">
        <v>709</v>
      </c>
      <c r="B187" s="13" t="s">
        <v>193</v>
      </c>
      <c r="C187" s="19">
        <v>43949751</v>
      </c>
      <c r="D187" s="16">
        <v>650.94770000000005</v>
      </c>
      <c r="E187" s="16">
        <f t="shared" si="2"/>
        <v>67516.562390496183</v>
      </c>
    </row>
    <row r="188" spans="1:5" x14ac:dyDescent="0.25">
      <c r="A188" s="20" t="s">
        <v>710</v>
      </c>
      <c r="B188" s="13" t="s">
        <v>194</v>
      </c>
      <c r="C188" s="19">
        <v>9550462</v>
      </c>
      <c r="D188" s="16">
        <v>74.522800000000004</v>
      </c>
      <c r="E188" s="16">
        <f t="shared" si="2"/>
        <v>128154.90024529405</v>
      </c>
    </row>
    <row r="189" spans="1:5" x14ac:dyDescent="0.25">
      <c r="A189" s="20" t="s">
        <v>711</v>
      </c>
      <c r="B189" s="13" t="s">
        <v>195</v>
      </c>
      <c r="C189" s="19">
        <v>10278693</v>
      </c>
      <c r="D189" s="16">
        <v>123.4209</v>
      </c>
      <c r="E189" s="16">
        <f t="shared" si="2"/>
        <v>83281.624100942383</v>
      </c>
    </row>
    <row r="190" spans="1:5" x14ac:dyDescent="0.25">
      <c r="A190" s="20" t="s">
        <v>712</v>
      </c>
      <c r="B190" s="13" t="s">
        <v>196</v>
      </c>
      <c r="C190" s="19">
        <v>15028034</v>
      </c>
      <c r="D190" s="16">
        <v>119.79089999999999</v>
      </c>
      <c r="E190" s="16">
        <f t="shared" si="2"/>
        <v>125452.21715505936</v>
      </c>
    </row>
    <row r="191" spans="1:5" x14ac:dyDescent="0.25">
      <c r="A191" s="20" t="s">
        <v>713</v>
      </c>
      <c r="B191" s="13" t="s">
        <v>197</v>
      </c>
      <c r="C191" s="19">
        <v>17994066</v>
      </c>
      <c r="D191" s="16">
        <v>57.431600000000003</v>
      </c>
      <c r="E191" s="16">
        <f t="shared" si="2"/>
        <v>313312.98448937514</v>
      </c>
    </row>
    <row r="192" spans="1:5" x14ac:dyDescent="0.25">
      <c r="A192" s="20" t="s">
        <v>714</v>
      </c>
      <c r="B192" s="13" t="s">
        <v>198</v>
      </c>
      <c r="C192" s="19">
        <v>10659785</v>
      </c>
      <c r="D192" s="16">
        <v>99.954300000000003</v>
      </c>
      <c r="E192" s="16">
        <f t="shared" si="2"/>
        <v>106646.58749048314</v>
      </c>
    </row>
    <row r="193" spans="1:5" x14ac:dyDescent="0.25">
      <c r="A193" s="20" t="s">
        <v>715</v>
      </c>
      <c r="B193" s="13" t="s">
        <v>199</v>
      </c>
      <c r="C193" s="19">
        <v>163879020</v>
      </c>
      <c r="D193" s="16">
        <v>1527.0532000000001</v>
      </c>
      <c r="E193" s="16">
        <f t="shared" si="2"/>
        <v>107317.16485057626</v>
      </c>
    </row>
    <row r="194" spans="1:5" x14ac:dyDescent="0.25">
      <c r="A194" s="20" t="s">
        <v>716</v>
      </c>
      <c r="B194" s="13" t="s">
        <v>200</v>
      </c>
      <c r="C194" s="19">
        <v>42739489</v>
      </c>
      <c r="D194" s="16">
        <v>691.65809999999999</v>
      </c>
      <c r="E194" s="16">
        <f t="shared" si="2"/>
        <v>61792.797626457352</v>
      </c>
    </row>
    <row r="195" spans="1:5" x14ac:dyDescent="0.25">
      <c r="A195" s="20" t="s">
        <v>717</v>
      </c>
      <c r="B195" s="13" t="s">
        <v>201</v>
      </c>
      <c r="C195" s="19">
        <v>36526651</v>
      </c>
      <c r="D195" s="16">
        <v>281.29759999999999</v>
      </c>
      <c r="E195" s="16">
        <f t="shared" ref="E195:E258" si="3">C195/D195</f>
        <v>129850.56040293269</v>
      </c>
    </row>
    <row r="196" spans="1:5" x14ac:dyDescent="0.25">
      <c r="A196" s="20" t="s">
        <v>718</v>
      </c>
      <c r="B196" s="13" t="s">
        <v>202</v>
      </c>
      <c r="C196" s="19">
        <v>23287909</v>
      </c>
      <c r="D196" s="16">
        <v>301.22579999999999</v>
      </c>
      <c r="E196" s="16">
        <f t="shared" si="3"/>
        <v>77310.472741710706</v>
      </c>
    </row>
    <row r="197" spans="1:5" x14ac:dyDescent="0.25">
      <c r="A197" s="20" t="s">
        <v>719</v>
      </c>
      <c r="B197" s="13" t="s">
        <v>203</v>
      </c>
      <c r="C197" s="19">
        <v>41388742</v>
      </c>
      <c r="D197" s="16">
        <v>238.8475</v>
      </c>
      <c r="E197" s="16">
        <f t="shared" si="3"/>
        <v>173285.22174190645</v>
      </c>
    </row>
    <row r="198" spans="1:5" x14ac:dyDescent="0.25">
      <c r="A198" s="20" t="s">
        <v>720</v>
      </c>
      <c r="B198" s="13" t="s">
        <v>204</v>
      </c>
      <c r="C198" s="19">
        <v>24331933</v>
      </c>
      <c r="D198" s="16">
        <v>64.070499999999996</v>
      </c>
      <c r="E198" s="16">
        <f t="shared" si="3"/>
        <v>379768.11481102853</v>
      </c>
    </row>
    <row r="199" spans="1:5" x14ac:dyDescent="0.25">
      <c r="A199" s="20" t="s">
        <v>721</v>
      </c>
      <c r="B199" s="13" t="s">
        <v>205</v>
      </c>
      <c r="C199" s="19">
        <v>31768956</v>
      </c>
      <c r="D199" s="16">
        <v>258.6148</v>
      </c>
      <c r="E199" s="16">
        <f t="shared" si="3"/>
        <v>122842.7607391379</v>
      </c>
    </row>
    <row r="200" spans="1:5" x14ac:dyDescent="0.25">
      <c r="A200" s="20" t="s">
        <v>722</v>
      </c>
      <c r="B200" s="13" t="s">
        <v>206</v>
      </c>
      <c r="C200" s="19">
        <v>34308237</v>
      </c>
      <c r="D200" s="16">
        <v>248.70599999999999</v>
      </c>
      <c r="E200" s="16">
        <f t="shared" si="3"/>
        <v>137946.9614725821</v>
      </c>
    </row>
    <row r="201" spans="1:5" x14ac:dyDescent="0.25">
      <c r="A201" s="20" t="s">
        <v>723</v>
      </c>
      <c r="B201" s="13" t="s">
        <v>207</v>
      </c>
      <c r="C201" s="19">
        <v>27231429</v>
      </c>
      <c r="D201" s="16">
        <v>419.529</v>
      </c>
      <c r="E201" s="16">
        <f t="shared" si="3"/>
        <v>64909.527112547643</v>
      </c>
    </row>
    <row r="202" spans="1:5" x14ac:dyDescent="0.25">
      <c r="A202" s="20" t="s">
        <v>724</v>
      </c>
      <c r="B202" s="13" t="s">
        <v>208</v>
      </c>
      <c r="C202" s="19">
        <v>50997306</v>
      </c>
      <c r="D202" s="16">
        <v>562.92089999999996</v>
      </c>
      <c r="E202" s="16">
        <f t="shared" si="3"/>
        <v>90594.088796489887</v>
      </c>
    </row>
    <row r="203" spans="1:5" x14ac:dyDescent="0.25">
      <c r="A203" s="20" t="s">
        <v>725</v>
      </c>
      <c r="B203" s="13" t="s">
        <v>209</v>
      </c>
      <c r="C203" s="19">
        <v>25536743</v>
      </c>
      <c r="D203" s="16">
        <v>266.9384</v>
      </c>
      <c r="E203" s="16">
        <f t="shared" si="3"/>
        <v>95665.303305931258</v>
      </c>
    </row>
    <row r="204" spans="1:5" x14ac:dyDescent="0.25">
      <c r="A204" s="20" t="s">
        <v>726</v>
      </c>
      <c r="B204" s="13" t="s">
        <v>210</v>
      </c>
      <c r="C204" s="19">
        <v>24223970</v>
      </c>
      <c r="D204" s="16">
        <v>262.99380000000002</v>
      </c>
      <c r="E204" s="16">
        <f t="shared" si="3"/>
        <v>92108.5211894729</v>
      </c>
    </row>
    <row r="205" spans="1:5" x14ac:dyDescent="0.25">
      <c r="A205" s="20" t="s">
        <v>727</v>
      </c>
      <c r="B205" s="13" t="s">
        <v>211</v>
      </c>
      <c r="C205" s="19">
        <v>69794322</v>
      </c>
      <c r="D205" s="16">
        <v>1108.2472</v>
      </c>
      <c r="E205" s="16">
        <f t="shared" si="3"/>
        <v>62977.214830770608</v>
      </c>
    </row>
    <row r="206" spans="1:5" x14ac:dyDescent="0.25">
      <c r="A206" s="20" t="s">
        <v>728</v>
      </c>
      <c r="B206" s="13" t="s">
        <v>212</v>
      </c>
      <c r="C206" s="19">
        <v>69681901</v>
      </c>
      <c r="D206" s="16">
        <v>1259.1735000000001</v>
      </c>
      <c r="E206" s="16">
        <f t="shared" si="3"/>
        <v>55339.396040339154</v>
      </c>
    </row>
    <row r="207" spans="1:5" x14ac:dyDescent="0.25">
      <c r="A207" s="20" t="s">
        <v>729</v>
      </c>
      <c r="B207" s="13" t="s">
        <v>213</v>
      </c>
      <c r="C207" s="19">
        <v>40246248</v>
      </c>
      <c r="D207" s="16">
        <v>538.7885</v>
      </c>
      <c r="E207" s="16">
        <f t="shared" si="3"/>
        <v>74697.674504930968</v>
      </c>
    </row>
    <row r="208" spans="1:5" x14ac:dyDescent="0.25">
      <c r="A208" s="20" t="s">
        <v>730</v>
      </c>
      <c r="B208" s="13" t="s">
        <v>214</v>
      </c>
      <c r="C208" s="19">
        <v>160313010</v>
      </c>
      <c r="D208" s="16">
        <v>1903.8480999999999</v>
      </c>
      <c r="E208" s="16">
        <f t="shared" si="3"/>
        <v>84204.727257389924</v>
      </c>
    </row>
    <row r="209" spans="1:5" x14ac:dyDescent="0.25">
      <c r="A209" s="20" t="s">
        <v>731</v>
      </c>
      <c r="B209" s="13" t="s">
        <v>215</v>
      </c>
      <c r="C209" s="19">
        <v>27630301</v>
      </c>
      <c r="D209" s="16">
        <v>341.70420000000001</v>
      </c>
      <c r="E209" s="16">
        <f t="shared" si="3"/>
        <v>80860.290859755303</v>
      </c>
    </row>
    <row r="210" spans="1:5" x14ac:dyDescent="0.25">
      <c r="A210" s="20" t="s">
        <v>732</v>
      </c>
      <c r="B210" s="13" t="s">
        <v>216</v>
      </c>
      <c r="C210" s="19">
        <v>17684460</v>
      </c>
      <c r="D210" s="16">
        <v>280.70240000000001</v>
      </c>
      <c r="E210" s="16">
        <f t="shared" si="3"/>
        <v>63000.743848289145</v>
      </c>
    </row>
    <row r="211" spans="1:5" x14ac:dyDescent="0.25">
      <c r="A211" s="20" t="s">
        <v>733</v>
      </c>
      <c r="B211" s="13" t="s">
        <v>217</v>
      </c>
      <c r="C211" s="19">
        <v>45054590</v>
      </c>
      <c r="D211" s="16">
        <v>657.58600000000001</v>
      </c>
      <c r="E211" s="16">
        <f t="shared" si="3"/>
        <v>68515.129580009307</v>
      </c>
    </row>
    <row r="212" spans="1:5" x14ac:dyDescent="0.25">
      <c r="A212" s="20" t="s">
        <v>734</v>
      </c>
      <c r="B212" s="13" t="s">
        <v>218</v>
      </c>
      <c r="C212" s="19">
        <v>31188119</v>
      </c>
      <c r="D212" s="16">
        <v>296.53039999999999</v>
      </c>
      <c r="E212" s="16">
        <f t="shared" si="3"/>
        <v>105176.80143418685</v>
      </c>
    </row>
    <row r="213" spans="1:5" x14ac:dyDescent="0.25">
      <c r="A213" s="20" t="s">
        <v>735</v>
      </c>
      <c r="B213" s="13" t="s">
        <v>219</v>
      </c>
      <c r="C213" s="19">
        <v>47780755</v>
      </c>
      <c r="D213" s="16">
        <v>946.91430000000003</v>
      </c>
      <c r="E213" s="16">
        <f t="shared" si="3"/>
        <v>50459.429116235755</v>
      </c>
    </row>
    <row r="214" spans="1:5" x14ac:dyDescent="0.25">
      <c r="A214" s="20" t="s">
        <v>736</v>
      </c>
      <c r="B214" s="13" t="s">
        <v>220</v>
      </c>
      <c r="C214" s="19">
        <v>11237180</v>
      </c>
      <c r="D214" s="16">
        <v>172.137</v>
      </c>
      <c r="E214" s="16">
        <f t="shared" si="3"/>
        <v>65280.445226767049</v>
      </c>
    </row>
    <row r="215" spans="1:5" x14ac:dyDescent="0.25">
      <c r="A215" s="20" t="s">
        <v>737</v>
      </c>
      <c r="B215" s="13" t="s">
        <v>221</v>
      </c>
      <c r="C215" s="19">
        <v>93433607</v>
      </c>
      <c r="D215" s="16">
        <v>357.49099999999999</v>
      </c>
      <c r="E215" s="16">
        <f t="shared" si="3"/>
        <v>261359.32652850004</v>
      </c>
    </row>
    <row r="216" spans="1:5" x14ac:dyDescent="0.25">
      <c r="A216" s="20" t="s">
        <v>738</v>
      </c>
      <c r="B216" s="13" t="s">
        <v>222</v>
      </c>
      <c r="C216" s="19">
        <v>268520968</v>
      </c>
      <c r="D216" s="16">
        <v>4879.1814000000004</v>
      </c>
      <c r="E216" s="16">
        <f t="shared" si="3"/>
        <v>55034.020255938827</v>
      </c>
    </row>
    <row r="217" spans="1:5" x14ac:dyDescent="0.25">
      <c r="A217" s="20" t="s">
        <v>739</v>
      </c>
      <c r="B217" s="13" t="s">
        <v>223</v>
      </c>
      <c r="C217" s="19">
        <v>1296100387</v>
      </c>
      <c r="D217" s="16">
        <v>13893.891799999999</v>
      </c>
      <c r="E217" s="16">
        <f t="shared" si="3"/>
        <v>93285.625486157878</v>
      </c>
    </row>
    <row r="218" spans="1:5" x14ac:dyDescent="0.25">
      <c r="A218" s="20" t="s">
        <v>740</v>
      </c>
      <c r="B218" s="13" t="s">
        <v>224</v>
      </c>
      <c r="C218" s="19">
        <v>272101149</v>
      </c>
      <c r="D218" s="16">
        <v>3892.6205</v>
      </c>
      <c r="E218" s="16">
        <f t="shared" si="3"/>
        <v>69901.792121785315</v>
      </c>
    </row>
    <row r="219" spans="1:5" x14ac:dyDescent="0.25">
      <c r="A219" s="20" t="s">
        <v>741</v>
      </c>
      <c r="B219" s="13" t="s">
        <v>225</v>
      </c>
      <c r="C219" s="19">
        <v>125304536</v>
      </c>
      <c r="D219" s="16">
        <v>1948.9954</v>
      </c>
      <c r="E219" s="16">
        <f t="shared" si="3"/>
        <v>64291.858256822976</v>
      </c>
    </row>
    <row r="220" spans="1:5" x14ac:dyDescent="0.25">
      <c r="A220" s="20" t="s">
        <v>742</v>
      </c>
      <c r="B220" s="13" t="s">
        <v>226</v>
      </c>
      <c r="C220" s="19">
        <v>1771219825</v>
      </c>
      <c r="D220" s="16">
        <v>17036.949700000001</v>
      </c>
      <c r="E220" s="16">
        <f t="shared" si="3"/>
        <v>103963.43571995167</v>
      </c>
    </row>
    <row r="221" spans="1:5" x14ac:dyDescent="0.25">
      <c r="A221" s="20" t="s">
        <v>743</v>
      </c>
      <c r="B221" s="13" t="s">
        <v>227</v>
      </c>
      <c r="C221" s="19">
        <v>359748006</v>
      </c>
      <c r="D221" s="16">
        <v>5552.9809999999998</v>
      </c>
      <c r="E221" s="16">
        <f t="shared" si="3"/>
        <v>64784.663588800322</v>
      </c>
    </row>
    <row r="222" spans="1:5" x14ac:dyDescent="0.25">
      <c r="A222" s="20" t="s">
        <v>744</v>
      </c>
      <c r="B222" s="13" t="s">
        <v>228</v>
      </c>
      <c r="C222" s="19">
        <v>626682968</v>
      </c>
      <c r="D222" s="16">
        <v>8805.4303999999993</v>
      </c>
      <c r="E222" s="16">
        <f t="shared" si="3"/>
        <v>71170.055242274131</v>
      </c>
    </row>
    <row r="223" spans="1:5" x14ac:dyDescent="0.25">
      <c r="A223" s="20" t="s">
        <v>745</v>
      </c>
      <c r="B223" s="13" t="s">
        <v>229</v>
      </c>
      <c r="C223" s="19">
        <v>427771406</v>
      </c>
      <c r="D223" s="16">
        <v>3995.4358999999999</v>
      </c>
      <c r="E223" s="16">
        <f t="shared" si="3"/>
        <v>107065.01535915017</v>
      </c>
    </row>
    <row r="224" spans="1:5" x14ac:dyDescent="0.25">
      <c r="A224" s="20" t="s">
        <v>746</v>
      </c>
      <c r="B224" s="13" t="s">
        <v>230</v>
      </c>
      <c r="C224" s="19">
        <v>51841861</v>
      </c>
      <c r="D224" s="16">
        <v>541.27880000000005</v>
      </c>
      <c r="E224" s="16">
        <f t="shared" si="3"/>
        <v>95776.633040126442</v>
      </c>
    </row>
    <row r="225" spans="1:5" x14ac:dyDescent="0.25">
      <c r="A225" s="20" t="s">
        <v>747</v>
      </c>
      <c r="B225" s="13" t="s">
        <v>231</v>
      </c>
      <c r="C225" s="19">
        <v>942332327</v>
      </c>
      <c r="D225" s="16">
        <v>13761.658299999999</v>
      </c>
      <c r="E225" s="16">
        <f t="shared" si="3"/>
        <v>68475.201640488347</v>
      </c>
    </row>
    <row r="226" spans="1:5" x14ac:dyDescent="0.25">
      <c r="A226" s="20" t="s">
        <v>748</v>
      </c>
      <c r="B226" s="13" t="s">
        <v>1588</v>
      </c>
      <c r="C226" s="19">
        <v>2850325508</v>
      </c>
      <c r="D226" s="16">
        <v>25090.058099999998</v>
      </c>
      <c r="E226" s="16">
        <f t="shared" si="3"/>
        <v>113603.78268713536</v>
      </c>
    </row>
    <row r="227" spans="1:5" x14ac:dyDescent="0.25">
      <c r="A227" s="20" t="s">
        <v>749</v>
      </c>
      <c r="B227" s="13" t="s">
        <v>233</v>
      </c>
      <c r="C227" s="19">
        <v>386189718</v>
      </c>
      <c r="D227" s="16">
        <v>2385.3863999999999</v>
      </c>
      <c r="E227" s="16">
        <f t="shared" si="3"/>
        <v>161898.18052119354</v>
      </c>
    </row>
    <row r="228" spans="1:5" x14ac:dyDescent="0.25">
      <c r="A228" s="20" t="s">
        <v>750</v>
      </c>
      <c r="B228" s="13" t="s">
        <v>234</v>
      </c>
      <c r="C228" s="19">
        <v>232722920</v>
      </c>
      <c r="D228" s="16">
        <v>3127.7033000000001</v>
      </c>
      <c r="E228" s="16">
        <f t="shared" si="3"/>
        <v>74406.968205711833</v>
      </c>
    </row>
    <row r="229" spans="1:5" x14ac:dyDescent="0.25">
      <c r="A229" s="20" t="s">
        <v>751</v>
      </c>
      <c r="B229" s="13" t="s">
        <v>235</v>
      </c>
      <c r="C229" s="19">
        <v>20980345</v>
      </c>
      <c r="D229" s="16">
        <v>195.0993</v>
      </c>
      <c r="E229" s="16">
        <f t="shared" si="3"/>
        <v>107536.75179767431</v>
      </c>
    </row>
    <row r="230" spans="1:5" x14ac:dyDescent="0.25">
      <c r="A230" s="20" t="s">
        <v>752</v>
      </c>
      <c r="B230" s="13" t="s">
        <v>236</v>
      </c>
      <c r="C230" s="19">
        <v>39832432</v>
      </c>
      <c r="D230" s="16">
        <v>463.06630000000001</v>
      </c>
      <c r="E230" s="16">
        <f t="shared" si="3"/>
        <v>86018.853023854244</v>
      </c>
    </row>
    <row r="231" spans="1:5" x14ac:dyDescent="0.25">
      <c r="A231" s="20" t="s">
        <v>753</v>
      </c>
      <c r="B231" s="13" t="s">
        <v>237</v>
      </c>
      <c r="C231" s="19">
        <v>35921655</v>
      </c>
      <c r="D231" s="16">
        <v>780.67240000000004</v>
      </c>
      <c r="E231" s="16">
        <f t="shared" si="3"/>
        <v>46013.737644625326</v>
      </c>
    </row>
    <row r="232" spans="1:5" x14ac:dyDescent="0.25">
      <c r="A232" s="20" t="s">
        <v>754</v>
      </c>
      <c r="B232" s="13" t="s">
        <v>238</v>
      </c>
      <c r="C232" s="19">
        <v>302486750</v>
      </c>
      <c r="D232" s="16">
        <v>4524.8104999999996</v>
      </c>
      <c r="E232" s="16">
        <f t="shared" si="3"/>
        <v>66850.700156393301</v>
      </c>
    </row>
    <row r="233" spans="1:5" x14ac:dyDescent="0.25">
      <c r="A233" s="20" t="s">
        <v>755</v>
      </c>
      <c r="B233" s="13" t="s">
        <v>239</v>
      </c>
      <c r="C233" s="19">
        <v>235599360</v>
      </c>
      <c r="D233" s="16">
        <v>4106.2476999999999</v>
      </c>
      <c r="E233" s="16">
        <f t="shared" si="3"/>
        <v>57375.827571239795</v>
      </c>
    </row>
    <row r="234" spans="1:5" x14ac:dyDescent="0.25">
      <c r="A234" s="20" t="s">
        <v>756</v>
      </c>
      <c r="B234" s="13" t="s">
        <v>240</v>
      </c>
      <c r="C234" s="19">
        <v>875921526</v>
      </c>
      <c r="D234" s="16">
        <v>7231.9234999999999</v>
      </c>
      <c r="E234" s="16">
        <f t="shared" si="3"/>
        <v>121118.74883632273</v>
      </c>
    </row>
    <row r="235" spans="1:5" x14ac:dyDescent="0.25">
      <c r="A235" s="20" t="s">
        <v>757</v>
      </c>
      <c r="B235" s="13" t="s">
        <v>241</v>
      </c>
      <c r="C235" s="19">
        <v>557844658</v>
      </c>
      <c r="D235" s="16">
        <v>6248.8108000000002</v>
      </c>
      <c r="E235" s="16">
        <f t="shared" si="3"/>
        <v>89272.131266960423</v>
      </c>
    </row>
    <row r="236" spans="1:5" x14ac:dyDescent="0.25">
      <c r="A236" s="20" t="s">
        <v>758</v>
      </c>
      <c r="B236" s="13" t="s">
        <v>242</v>
      </c>
      <c r="C236" s="19">
        <v>51337536</v>
      </c>
      <c r="D236" s="16">
        <v>713.83050000000003</v>
      </c>
      <c r="E236" s="16">
        <f t="shared" si="3"/>
        <v>71918.38398611435</v>
      </c>
    </row>
    <row r="237" spans="1:5" x14ac:dyDescent="0.25">
      <c r="A237" s="20" t="s">
        <v>759</v>
      </c>
      <c r="B237" s="13" t="s">
        <v>243</v>
      </c>
      <c r="C237" s="19">
        <v>247116155</v>
      </c>
      <c r="D237" s="16">
        <v>3374.8525</v>
      </c>
      <c r="E237" s="16">
        <f t="shared" si="3"/>
        <v>73222.801589106486</v>
      </c>
    </row>
    <row r="238" spans="1:5" x14ac:dyDescent="0.25">
      <c r="A238" s="20" t="s">
        <v>760</v>
      </c>
      <c r="B238" s="13" t="s">
        <v>244</v>
      </c>
      <c r="C238" s="19">
        <v>151755077</v>
      </c>
      <c r="D238" s="16">
        <v>1597.3947000000001</v>
      </c>
      <c r="E238" s="16">
        <f t="shared" si="3"/>
        <v>95001.615442945942</v>
      </c>
    </row>
    <row r="239" spans="1:5" x14ac:dyDescent="0.25">
      <c r="A239" s="20" t="s">
        <v>761</v>
      </c>
      <c r="B239" s="13" t="s">
        <v>245</v>
      </c>
      <c r="C239" s="19">
        <v>245379820</v>
      </c>
      <c r="D239" s="16">
        <v>2971.6716999999999</v>
      </c>
      <c r="E239" s="16">
        <f t="shared" si="3"/>
        <v>82572.990818602208</v>
      </c>
    </row>
    <row r="240" spans="1:5" x14ac:dyDescent="0.25">
      <c r="A240" s="20" t="s">
        <v>762</v>
      </c>
      <c r="B240" s="13" t="s">
        <v>246</v>
      </c>
      <c r="C240" s="19">
        <v>179852826</v>
      </c>
      <c r="D240" s="16">
        <v>937.08770000000004</v>
      </c>
      <c r="E240" s="16">
        <f t="shared" si="3"/>
        <v>191927.42152095263</v>
      </c>
    </row>
    <row r="241" spans="1:5" x14ac:dyDescent="0.25">
      <c r="A241" s="20" t="s">
        <v>763</v>
      </c>
      <c r="B241" s="13" t="s">
        <v>247</v>
      </c>
      <c r="C241" s="19">
        <v>34239248</v>
      </c>
      <c r="D241" s="16">
        <v>376.67349999999999</v>
      </c>
      <c r="E241" s="16">
        <f t="shared" si="3"/>
        <v>90899.009354255075</v>
      </c>
    </row>
    <row r="242" spans="1:5" x14ac:dyDescent="0.25">
      <c r="A242" s="20" t="s">
        <v>764</v>
      </c>
      <c r="B242" s="13" t="s">
        <v>248</v>
      </c>
      <c r="C242" s="19">
        <v>210191025</v>
      </c>
      <c r="D242" s="16">
        <v>2933.2928000000002</v>
      </c>
      <c r="E242" s="16">
        <f t="shared" si="3"/>
        <v>71657.021419750527</v>
      </c>
    </row>
    <row r="243" spans="1:5" x14ac:dyDescent="0.25">
      <c r="A243" s="20" t="s">
        <v>765</v>
      </c>
      <c r="B243" s="13" t="s">
        <v>249</v>
      </c>
      <c r="C243" s="19">
        <v>862864131</v>
      </c>
      <c r="D243" s="16">
        <v>11139.6248</v>
      </c>
      <c r="E243" s="16">
        <f t="shared" si="3"/>
        <v>77458.994040804682</v>
      </c>
    </row>
    <row r="244" spans="1:5" x14ac:dyDescent="0.25">
      <c r="A244" s="20" t="s">
        <v>766</v>
      </c>
      <c r="B244" s="13" t="s">
        <v>250</v>
      </c>
      <c r="C244" s="19">
        <v>57859973</v>
      </c>
      <c r="D244" s="16">
        <v>582.90210000000002</v>
      </c>
      <c r="E244" s="16">
        <f t="shared" si="3"/>
        <v>99261.905215301158</v>
      </c>
    </row>
    <row r="245" spans="1:5" x14ac:dyDescent="0.25">
      <c r="A245" s="20" t="s">
        <v>767</v>
      </c>
      <c r="B245" s="13" t="s">
        <v>251</v>
      </c>
      <c r="C245" s="19">
        <v>181029238</v>
      </c>
      <c r="D245" s="16">
        <v>2749.18</v>
      </c>
      <c r="E245" s="16">
        <f t="shared" si="3"/>
        <v>65848.448628318263</v>
      </c>
    </row>
    <row r="246" spans="1:5" x14ac:dyDescent="0.25">
      <c r="A246" s="20" t="s">
        <v>768</v>
      </c>
      <c r="B246" s="13" t="s">
        <v>252</v>
      </c>
      <c r="C246" s="19">
        <v>24894593</v>
      </c>
      <c r="D246" s="16">
        <v>257.18209999999999</v>
      </c>
      <c r="E246" s="16">
        <f t="shared" si="3"/>
        <v>96797.533731935473</v>
      </c>
    </row>
    <row r="247" spans="1:5" x14ac:dyDescent="0.25">
      <c r="A247" s="20" t="s">
        <v>769</v>
      </c>
      <c r="B247" s="13" t="s">
        <v>253</v>
      </c>
      <c r="C247" s="19">
        <v>94311457</v>
      </c>
      <c r="D247" s="16">
        <v>1179.6252999999999</v>
      </c>
      <c r="E247" s="16">
        <f t="shared" si="3"/>
        <v>79950.351183549559</v>
      </c>
    </row>
    <row r="248" spans="1:5" x14ac:dyDescent="0.25">
      <c r="A248" s="20" t="s">
        <v>770</v>
      </c>
      <c r="B248" s="13" t="s">
        <v>254</v>
      </c>
      <c r="C248" s="19">
        <v>9722351</v>
      </c>
      <c r="D248" s="16">
        <v>165.6696</v>
      </c>
      <c r="E248" s="16">
        <f t="shared" si="3"/>
        <v>58685.184246234676</v>
      </c>
    </row>
    <row r="249" spans="1:5" x14ac:dyDescent="0.25">
      <c r="A249" s="20" t="s">
        <v>771</v>
      </c>
      <c r="B249" s="13" t="s">
        <v>255</v>
      </c>
      <c r="C249" s="19">
        <v>39180226</v>
      </c>
      <c r="D249" s="16">
        <v>548.13699999999994</v>
      </c>
      <c r="E249" s="16">
        <f t="shared" si="3"/>
        <v>71478.893050460014</v>
      </c>
    </row>
    <row r="250" spans="1:5" x14ac:dyDescent="0.25">
      <c r="A250" s="20" t="s">
        <v>772</v>
      </c>
      <c r="B250" s="13" t="s">
        <v>256</v>
      </c>
      <c r="C250" s="19">
        <v>60353145</v>
      </c>
      <c r="D250" s="16">
        <v>1504.5675000000001</v>
      </c>
      <c r="E250" s="16">
        <f t="shared" si="3"/>
        <v>40113.285047031786</v>
      </c>
    </row>
    <row r="251" spans="1:5" x14ac:dyDescent="0.25">
      <c r="A251" s="20" t="s">
        <v>773</v>
      </c>
      <c r="B251" s="13" t="s">
        <v>257</v>
      </c>
      <c r="C251" s="19">
        <v>15918407</v>
      </c>
      <c r="D251" s="16">
        <v>296.5394</v>
      </c>
      <c r="E251" s="16">
        <f t="shared" si="3"/>
        <v>53680.580051082587</v>
      </c>
    </row>
    <row r="252" spans="1:5" x14ac:dyDescent="0.25">
      <c r="A252" s="20" t="s">
        <v>774</v>
      </c>
      <c r="B252" s="13" t="s">
        <v>258</v>
      </c>
      <c r="C252" s="19">
        <v>279494663</v>
      </c>
      <c r="D252" s="16">
        <v>3107.6185999999998</v>
      </c>
      <c r="E252" s="16">
        <f t="shared" si="3"/>
        <v>89938.53460653119</v>
      </c>
    </row>
    <row r="253" spans="1:5" x14ac:dyDescent="0.25">
      <c r="A253" s="20" t="s">
        <v>775</v>
      </c>
      <c r="B253" s="13" t="s">
        <v>259</v>
      </c>
      <c r="C253" s="19">
        <v>66600782</v>
      </c>
      <c r="D253" s="16">
        <v>457.17899999999997</v>
      </c>
      <c r="E253" s="16">
        <f t="shared" si="3"/>
        <v>145677.69298239858</v>
      </c>
    </row>
    <row r="254" spans="1:5" x14ac:dyDescent="0.25">
      <c r="A254" s="20" t="s">
        <v>776</v>
      </c>
      <c r="B254" s="13" t="s">
        <v>260</v>
      </c>
      <c r="C254" s="19">
        <v>36605260</v>
      </c>
      <c r="D254" s="16">
        <v>755.28589999999997</v>
      </c>
      <c r="E254" s="16">
        <f t="shared" si="3"/>
        <v>48465.435406645352</v>
      </c>
    </row>
    <row r="255" spans="1:5" x14ac:dyDescent="0.25">
      <c r="A255" s="20" t="s">
        <v>777</v>
      </c>
      <c r="B255" s="13" t="s">
        <v>261</v>
      </c>
      <c r="C255" s="19">
        <v>9248790</v>
      </c>
      <c r="D255" s="16">
        <v>88.934600000000003</v>
      </c>
      <c r="E255" s="16">
        <f t="shared" si="3"/>
        <v>103995.40786150722</v>
      </c>
    </row>
    <row r="256" spans="1:5" x14ac:dyDescent="0.25">
      <c r="A256" s="20" t="s">
        <v>778</v>
      </c>
      <c r="B256" s="13" t="s">
        <v>262</v>
      </c>
      <c r="C256" s="19">
        <v>301770919</v>
      </c>
      <c r="D256" s="16">
        <v>4118.2291999999998</v>
      </c>
      <c r="E256" s="16">
        <f t="shared" si="3"/>
        <v>73276.863512113414</v>
      </c>
    </row>
    <row r="257" spans="1:5" x14ac:dyDescent="0.25">
      <c r="A257" s="20" t="s">
        <v>779</v>
      </c>
      <c r="B257" s="13" t="s">
        <v>263</v>
      </c>
      <c r="C257" s="19">
        <v>29942945</v>
      </c>
      <c r="D257" s="16">
        <v>536.07560000000001</v>
      </c>
      <c r="E257" s="16">
        <f t="shared" si="3"/>
        <v>55855.825185850648</v>
      </c>
    </row>
    <row r="258" spans="1:5" x14ac:dyDescent="0.25">
      <c r="A258" s="20" t="s">
        <v>780</v>
      </c>
      <c r="B258" s="13" t="s">
        <v>264</v>
      </c>
      <c r="C258" s="19">
        <v>46894582</v>
      </c>
      <c r="D258" s="16">
        <v>402.02730000000003</v>
      </c>
      <c r="E258" s="16">
        <f t="shared" si="3"/>
        <v>116645.26762237291</v>
      </c>
    </row>
    <row r="259" spans="1:5" x14ac:dyDescent="0.25">
      <c r="A259" s="20" t="s">
        <v>781</v>
      </c>
      <c r="B259" s="13" t="s">
        <v>265</v>
      </c>
      <c r="C259" s="19">
        <v>69818309</v>
      </c>
      <c r="D259" s="16">
        <v>950.70069999999998</v>
      </c>
      <c r="E259" s="16">
        <f t="shared" ref="E259:E322" si="4">C259/D259</f>
        <v>73438.789936727728</v>
      </c>
    </row>
    <row r="260" spans="1:5" x14ac:dyDescent="0.25">
      <c r="A260" s="20" t="s">
        <v>782</v>
      </c>
      <c r="B260" s="13" t="s">
        <v>266</v>
      </c>
      <c r="C260" s="19">
        <v>124314709</v>
      </c>
      <c r="D260" s="16">
        <v>1951.2726</v>
      </c>
      <c r="E260" s="16">
        <f t="shared" si="4"/>
        <v>63709.55498478275</v>
      </c>
    </row>
    <row r="261" spans="1:5" x14ac:dyDescent="0.25">
      <c r="A261" s="20" t="s">
        <v>783</v>
      </c>
      <c r="B261" s="13" t="s">
        <v>267</v>
      </c>
      <c r="C261" s="19">
        <v>32493561</v>
      </c>
      <c r="D261" s="16">
        <v>300.89519999999999</v>
      </c>
      <c r="E261" s="16">
        <f t="shared" si="4"/>
        <v>107989.6289472215</v>
      </c>
    </row>
    <row r="262" spans="1:5" x14ac:dyDescent="0.25">
      <c r="A262" s="20" t="s">
        <v>784</v>
      </c>
      <c r="B262" s="13" t="s">
        <v>268</v>
      </c>
      <c r="C262" s="19">
        <v>26039085</v>
      </c>
      <c r="D262" s="16">
        <v>401.17270000000002</v>
      </c>
      <c r="E262" s="16">
        <f t="shared" si="4"/>
        <v>64907.420170913923</v>
      </c>
    </row>
    <row r="263" spans="1:5" x14ac:dyDescent="0.25">
      <c r="A263" s="20" t="s">
        <v>785</v>
      </c>
      <c r="B263" s="13" t="s">
        <v>269</v>
      </c>
      <c r="C263" s="19">
        <v>52971071</v>
      </c>
      <c r="D263" s="16">
        <v>905.23720000000003</v>
      </c>
      <c r="E263" s="16">
        <f t="shared" si="4"/>
        <v>58516.233093381488</v>
      </c>
    </row>
    <row r="264" spans="1:5" x14ac:dyDescent="0.25">
      <c r="A264" s="20" t="s">
        <v>786</v>
      </c>
      <c r="B264" s="13" t="s">
        <v>270</v>
      </c>
      <c r="C264" s="19">
        <v>46105916</v>
      </c>
      <c r="D264" s="16">
        <v>538.57330000000002</v>
      </c>
      <c r="E264" s="16">
        <f t="shared" si="4"/>
        <v>85607.504122465776</v>
      </c>
    </row>
    <row r="265" spans="1:5" x14ac:dyDescent="0.25">
      <c r="A265" s="20" t="s">
        <v>787</v>
      </c>
      <c r="B265" s="13" t="s">
        <v>271</v>
      </c>
      <c r="C265" s="19">
        <v>39088793</v>
      </c>
      <c r="D265" s="16">
        <v>670.30820000000006</v>
      </c>
      <c r="E265" s="16">
        <f t="shared" si="4"/>
        <v>58314.657347172535</v>
      </c>
    </row>
    <row r="266" spans="1:5" x14ac:dyDescent="0.25">
      <c r="A266" s="20" t="s">
        <v>788</v>
      </c>
      <c r="B266" s="13" t="s">
        <v>272</v>
      </c>
      <c r="C266" s="19">
        <v>37365342</v>
      </c>
      <c r="D266" s="16">
        <v>680.50400000000002</v>
      </c>
      <c r="E266" s="16">
        <f t="shared" si="4"/>
        <v>54908.335586565248</v>
      </c>
    </row>
    <row r="267" spans="1:5" x14ac:dyDescent="0.25">
      <c r="A267" s="20" t="s">
        <v>789</v>
      </c>
      <c r="B267" s="13" t="s">
        <v>273</v>
      </c>
      <c r="C267" s="19">
        <v>106785547</v>
      </c>
      <c r="D267" s="16">
        <v>1392.7429</v>
      </c>
      <c r="E267" s="16">
        <f t="shared" si="4"/>
        <v>76672.835309374044</v>
      </c>
    </row>
    <row r="268" spans="1:5" x14ac:dyDescent="0.25">
      <c r="A268" s="20" t="s">
        <v>790</v>
      </c>
      <c r="B268" s="13" t="s">
        <v>274</v>
      </c>
      <c r="C268" s="19">
        <v>109650391</v>
      </c>
      <c r="D268" s="16">
        <v>1930.2550000000001</v>
      </c>
      <c r="E268" s="16">
        <f t="shared" si="4"/>
        <v>56806.168615027542</v>
      </c>
    </row>
    <row r="269" spans="1:5" x14ac:dyDescent="0.25">
      <c r="A269" s="20" t="s">
        <v>791</v>
      </c>
      <c r="B269" s="13" t="s">
        <v>275</v>
      </c>
      <c r="C269" s="19">
        <v>25552008</v>
      </c>
      <c r="D269" s="16">
        <v>399.6003</v>
      </c>
      <c r="E269" s="16">
        <f t="shared" si="4"/>
        <v>63943.915958021054</v>
      </c>
    </row>
    <row r="270" spans="1:5" x14ac:dyDescent="0.25">
      <c r="A270" s="20" t="s">
        <v>792</v>
      </c>
      <c r="B270" s="13" t="s">
        <v>276</v>
      </c>
      <c r="C270" s="19">
        <v>37161782</v>
      </c>
      <c r="D270" s="16">
        <v>484.40350000000001</v>
      </c>
      <c r="E270" s="16">
        <f t="shared" si="4"/>
        <v>76716.584417742648</v>
      </c>
    </row>
    <row r="271" spans="1:5" x14ac:dyDescent="0.25">
      <c r="A271" s="20" t="s">
        <v>793</v>
      </c>
      <c r="B271" s="13" t="s">
        <v>277</v>
      </c>
      <c r="C271" s="19">
        <v>77319932</v>
      </c>
      <c r="D271" s="16">
        <v>896.87850000000003</v>
      </c>
      <c r="E271" s="16">
        <f t="shared" si="4"/>
        <v>86210.04071342996</v>
      </c>
    </row>
    <row r="272" spans="1:5" x14ac:dyDescent="0.25">
      <c r="A272" s="20" t="s">
        <v>794</v>
      </c>
      <c r="B272" s="13" t="s">
        <v>278</v>
      </c>
      <c r="C272" s="19">
        <v>31397451</v>
      </c>
      <c r="D272" s="16">
        <v>358.06540000000001</v>
      </c>
      <c r="E272" s="16">
        <f t="shared" si="4"/>
        <v>87686.358413854003</v>
      </c>
    </row>
    <row r="273" spans="1:5" x14ac:dyDescent="0.25">
      <c r="A273" s="20" t="s">
        <v>795</v>
      </c>
      <c r="B273" s="13" t="s">
        <v>279</v>
      </c>
      <c r="C273" s="19">
        <v>44841321</v>
      </c>
      <c r="D273" s="16">
        <v>752.92079999999999</v>
      </c>
      <c r="E273" s="16">
        <f t="shared" si="4"/>
        <v>59556.491200668119</v>
      </c>
    </row>
    <row r="274" spans="1:5" x14ac:dyDescent="0.25">
      <c r="A274" s="20" t="s">
        <v>796</v>
      </c>
      <c r="B274" s="13" t="s">
        <v>280</v>
      </c>
      <c r="C274" s="19">
        <v>439896878</v>
      </c>
      <c r="D274" s="16">
        <v>5934.7322999999997</v>
      </c>
      <c r="E274" s="16">
        <f t="shared" si="4"/>
        <v>74122.446601340387</v>
      </c>
    </row>
    <row r="275" spans="1:5" x14ac:dyDescent="0.25">
      <c r="A275" s="20" t="s">
        <v>797</v>
      </c>
      <c r="B275" s="13" t="s">
        <v>281</v>
      </c>
      <c r="C275" s="19">
        <v>95070296</v>
      </c>
      <c r="D275" s="16">
        <v>1410.7717</v>
      </c>
      <c r="E275" s="16">
        <f t="shared" si="4"/>
        <v>67388.859586565275</v>
      </c>
    </row>
    <row r="276" spans="1:5" x14ac:dyDescent="0.25">
      <c r="A276" s="20" t="s">
        <v>798</v>
      </c>
      <c r="B276" s="13" t="s">
        <v>282</v>
      </c>
      <c r="C276" s="19">
        <v>18042052</v>
      </c>
      <c r="D276" s="16">
        <v>217.09719999999999</v>
      </c>
      <c r="E276" s="16">
        <f t="shared" si="4"/>
        <v>83105.871471396225</v>
      </c>
    </row>
    <row r="277" spans="1:5" x14ac:dyDescent="0.25">
      <c r="A277" s="20" t="s">
        <v>799</v>
      </c>
      <c r="B277" s="13" t="s">
        <v>283</v>
      </c>
      <c r="C277" s="19">
        <v>11539751</v>
      </c>
      <c r="D277" s="16">
        <v>120.0757</v>
      </c>
      <c r="E277" s="16">
        <f t="shared" si="4"/>
        <v>96103.966081396982</v>
      </c>
    </row>
    <row r="278" spans="1:5" x14ac:dyDescent="0.25">
      <c r="A278" s="20" t="s">
        <v>800</v>
      </c>
      <c r="B278" s="13" t="s">
        <v>284</v>
      </c>
      <c r="C278" s="19">
        <v>17433718</v>
      </c>
      <c r="D278" s="16">
        <v>222.27959999999999</v>
      </c>
      <c r="E278" s="16">
        <f t="shared" si="4"/>
        <v>78431.479991866101</v>
      </c>
    </row>
    <row r="279" spans="1:5" x14ac:dyDescent="0.25">
      <c r="A279" s="20" t="s">
        <v>801</v>
      </c>
      <c r="B279" s="13" t="s">
        <v>285</v>
      </c>
      <c r="C279" s="19">
        <v>38579834</v>
      </c>
      <c r="D279" s="16">
        <v>615.71870000000001</v>
      </c>
      <c r="E279" s="16">
        <f t="shared" si="4"/>
        <v>62658.213888907383</v>
      </c>
    </row>
    <row r="280" spans="1:5" x14ac:dyDescent="0.25">
      <c r="A280" s="20" t="s">
        <v>802</v>
      </c>
      <c r="B280" s="13" t="s">
        <v>286</v>
      </c>
      <c r="C280" s="19">
        <v>61435714</v>
      </c>
      <c r="D280" s="16">
        <v>950.21090000000004</v>
      </c>
      <c r="E280" s="16">
        <f t="shared" si="4"/>
        <v>64654.819261702847</v>
      </c>
    </row>
    <row r="281" spans="1:5" x14ac:dyDescent="0.25">
      <c r="A281" s="20" t="s">
        <v>803</v>
      </c>
      <c r="B281" s="13" t="s">
        <v>287</v>
      </c>
      <c r="C281" s="19">
        <v>11647164</v>
      </c>
      <c r="D281" s="16">
        <v>156.886</v>
      </c>
      <c r="E281" s="16">
        <f t="shared" si="4"/>
        <v>74239.664469742362</v>
      </c>
    </row>
    <row r="282" spans="1:5" x14ac:dyDescent="0.25">
      <c r="A282" s="20" t="s">
        <v>804</v>
      </c>
      <c r="B282" s="13" t="s">
        <v>288</v>
      </c>
      <c r="C282" s="19">
        <v>7410644</v>
      </c>
      <c r="D282" s="16">
        <v>83.293599999999998</v>
      </c>
      <c r="E282" s="16">
        <f t="shared" si="4"/>
        <v>88970.148967027475</v>
      </c>
    </row>
    <row r="283" spans="1:5" x14ac:dyDescent="0.25">
      <c r="A283" s="20" t="s">
        <v>805</v>
      </c>
      <c r="B283" s="13" t="s">
        <v>289</v>
      </c>
      <c r="C283" s="19">
        <v>138870782</v>
      </c>
      <c r="D283" s="16">
        <v>1818.3329000000001</v>
      </c>
      <c r="E283" s="16">
        <f t="shared" si="4"/>
        <v>76372.58392013915</v>
      </c>
    </row>
    <row r="284" spans="1:5" x14ac:dyDescent="0.25">
      <c r="A284" s="20" t="s">
        <v>806</v>
      </c>
      <c r="B284" s="13" t="s">
        <v>290</v>
      </c>
      <c r="C284" s="19">
        <v>215594141</v>
      </c>
      <c r="D284" s="16">
        <v>3771.0333000000001</v>
      </c>
      <c r="E284" s="16">
        <f t="shared" si="4"/>
        <v>57171.105065553253</v>
      </c>
    </row>
    <row r="285" spans="1:5" x14ac:dyDescent="0.25">
      <c r="A285" s="20" t="s">
        <v>807</v>
      </c>
      <c r="B285" s="13" t="s">
        <v>291</v>
      </c>
      <c r="C285" s="19">
        <v>15320057</v>
      </c>
      <c r="D285" s="16">
        <v>175.75819999999999</v>
      </c>
      <c r="E285" s="16">
        <f t="shared" si="4"/>
        <v>87165.531963800269</v>
      </c>
    </row>
    <row r="286" spans="1:5" x14ac:dyDescent="0.25">
      <c r="A286" s="20" t="s">
        <v>808</v>
      </c>
      <c r="B286" s="13" t="s">
        <v>292</v>
      </c>
      <c r="C286" s="19">
        <v>12513064</v>
      </c>
      <c r="D286" s="16">
        <v>185.2936</v>
      </c>
      <c r="E286" s="16">
        <f t="shared" si="4"/>
        <v>67531.010245361962</v>
      </c>
    </row>
    <row r="287" spans="1:5" x14ac:dyDescent="0.25">
      <c r="A287" s="20" t="s">
        <v>809</v>
      </c>
      <c r="B287" s="13" t="s">
        <v>293</v>
      </c>
      <c r="C287" s="19">
        <v>26194864</v>
      </c>
      <c r="D287" s="16">
        <v>341.077</v>
      </c>
      <c r="E287" s="16">
        <f t="shared" si="4"/>
        <v>76800.440956147737</v>
      </c>
    </row>
    <row r="288" spans="1:5" x14ac:dyDescent="0.25">
      <c r="A288" s="20" t="s">
        <v>810</v>
      </c>
      <c r="B288" s="13" t="s">
        <v>294</v>
      </c>
      <c r="C288" s="19">
        <v>105604957</v>
      </c>
      <c r="D288" s="16">
        <v>1290.8336999999999</v>
      </c>
      <c r="E288" s="16">
        <f t="shared" si="4"/>
        <v>81811.434734001756</v>
      </c>
    </row>
    <row r="289" spans="1:5" x14ac:dyDescent="0.25">
      <c r="A289" s="20" t="s">
        <v>811</v>
      </c>
      <c r="B289" s="13" t="s">
        <v>295</v>
      </c>
      <c r="C289" s="19">
        <v>6469540</v>
      </c>
      <c r="D289" s="16">
        <v>92.624099999999999</v>
      </c>
      <c r="E289" s="16">
        <f t="shared" si="4"/>
        <v>69847.264372879203</v>
      </c>
    </row>
    <row r="290" spans="1:5" x14ac:dyDescent="0.25">
      <c r="A290" s="20" t="s">
        <v>812</v>
      </c>
      <c r="B290" s="13" t="s">
        <v>296</v>
      </c>
      <c r="C290" s="19">
        <v>12242992</v>
      </c>
      <c r="D290" s="16">
        <v>96.5381</v>
      </c>
      <c r="E290" s="16">
        <f t="shared" si="4"/>
        <v>126820.31239479542</v>
      </c>
    </row>
    <row r="291" spans="1:5" x14ac:dyDescent="0.25">
      <c r="A291" s="20" t="s">
        <v>813</v>
      </c>
      <c r="B291" s="13" t="s">
        <v>297</v>
      </c>
      <c r="C291" s="19">
        <v>10603507</v>
      </c>
      <c r="D291" s="16">
        <v>161.8441</v>
      </c>
      <c r="E291" s="16">
        <f t="shared" si="4"/>
        <v>65516.796719806283</v>
      </c>
    </row>
    <row r="292" spans="1:5" x14ac:dyDescent="0.25">
      <c r="A292" s="20" t="s">
        <v>814</v>
      </c>
      <c r="B292" s="13" t="s">
        <v>298</v>
      </c>
      <c r="C292" s="19">
        <v>100529943</v>
      </c>
      <c r="D292" s="16">
        <v>1852.8552</v>
      </c>
      <c r="E292" s="16">
        <f t="shared" si="4"/>
        <v>54256.772466623406</v>
      </c>
    </row>
    <row r="293" spans="1:5" x14ac:dyDescent="0.25">
      <c r="A293" s="20" t="s">
        <v>815</v>
      </c>
      <c r="B293" s="13" t="s">
        <v>299</v>
      </c>
      <c r="C293" s="19">
        <v>50074130</v>
      </c>
      <c r="D293" s="16">
        <v>477.02530000000002</v>
      </c>
      <c r="E293" s="16">
        <f t="shared" si="4"/>
        <v>104971.64406164621</v>
      </c>
    </row>
    <row r="294" spans="1:5" x14ac:dyDescent="0.25">
      <c r="A294" s="20" t="s">
        <v>816</v>
      </c>
      <c r="B294" s="13" t="s">
        <v>300</v>
      </c>
      <c r="C294" s="19">
        <v>65553919</v>
      </c>
      <c r="D294" s="16">
        <v>700.99350000000004</v>
      </c>
      <c r="E294" s="16">
        <f t="shared" si="4"/>
        <v>93515.730174388198</v>
      </c>
    </row>
    <row r="295" spans="1:5" x14ac:dyDescent="0.25">
      <c r="A295" s="20" t="s">
        <v>817</v>
      </c>
      <c r="B295" s="13" t="s">
        <v>301</v>
      </c>
      <c r="C295" s="19">
        <v>15773336</v>
      </c>
      <c r="D295" s="16">
        <v>200.86410000000001</v>
      </c>
      <c r="E295" s="16">
        <f t="shared" si="4"/>
        <v>78527.40235811178</v>
      </c>
    </row>
    <row r="296" spans="1:5" x14ac:dyDescent="0.25">
      <c r="A296" s="20" t="s">
        <v>818</v>
      </c>
      <c r="B296" s="13" t="s">
        <v>302</v>
      </c>
      <c r="C296" s="19">
        <v>134757607</v>
      </c>
      <c r="D296" s="16">
        <v>1056.3254999999999</v>
      </c>
      <c r="E296" s="16">
        <f t="shared" si="4"/>
        <v>127572.04763115158</v>
      </c>
    </row>
    <row r="297" spans="1:5" x14ac:dyDescent="0.25">
      <c r="A297" s="20" t="s">
        <v>819</v>
      </c>
      <c r="B297" s="13" t="s">
        <v>303</v>
      </c>
      <c r="C297" s="19">
        <v>309894272</v>
      </c>
      <c r="D297" s="16">
        <v>3352.1221</v>
      </c>
      <c r="E297" s="16">
        <f t="shared" si="4"/>
        <v>92447.190989850875</v>
      </c>
    </row>
    <row r="298" spans="1:5" x14ac:dyDescent="0.25">
      <c r="A298" s="20" t="s">
        <v>820</v>
      </c>
      <c r="B298" s="13" t="s">
        <v>304</v>
      </c>
      <c r="C298" s="19">
        <v>15058637</v>
      </c>
      <c r="D298" s="16">
        <v>183.7637</v>
      </c>
      <c r="E298" s="16">
        <f t="shared" si="4"/>
        <v>81945.656296646179</v>
      </c>
    </row>
    <row r="299" spans="1:5" x14ac:dyDescent="0.25">
      <c r="A299" s="20" t="s">
        <v>821</v>
      </c>
      <c r="B299" s="13" t="s">
        <v>305</v>
      </c>
      <c r="C299" s="19">
        <v>42682240</v>
      </c>
      <c r="D299" s="16">
        <v>349.98250000000002</v>
      </c>
      <c r="E299" s="16">
        <f t="shared" si="4"/>
        <v>121955.35491060266</v>
      </c>
    </row>
    <row r="300" spans="1:5" x14ac:dyDescent="0.25">
      <c r="A300" s="20" t="s">
        <v>822</v>
      </c>
      <c r="B300" s="13" t="s">
        <v>306</v>
      </c>
      <c r="C300" s="19">
        <v>179331793</v>
      </c>
      <c r="D300" s="16">
        <v>1731.9232</v>
      </c>
      <c r="E300" s="16">
        <f t="shared" si="4"/>
        <v>103544.88755621496</v>
      </c>
    </row>
    <row r="301" spans="1:5" x14ac:dyDescent="0.25">
      <c r="A301" s="20" t="s">
        <v>823</v>
      </c>
      <c r="B301" s="13" t="s">
        <v>307</v>
      </c>
      <c r="C301" s="19">
        <v>11256458</v>
      </c>
      <c r="D301" s="16">
        <v>183.8271</v>
      </c>
      <c r="E301" s="16">
        <f t="shared" si="4"/>
        <v>61233.942111908415</v>
      </c>
    </row>
    <row r="302" spans="1:5" x14ac:dyDescent="0.25">
      <c r="A302" s="20" t="s">
        <v>824</v>
      </c>
      <c r="B302" s="13" t="s">
        <v>308</v>
      </c>
      <c r="C302" s="19">
        <v>16222120</v>
      </c>
      <c r="D302" s="16">
        <v>245.93119999999999</v>
      </c>
      <c r="E302" s="16">
        <f t="shared" si="4"/>
        <v>65962.025151749767</v>
      </c>
    </row>
    <row r="303" spans="1:5" x14ac:dyDescent="0.25">
      <c r="A303" s="20" t="s">
        <v>825</v>
      </c>
      <c r="B303" s="13" t="s">
        <v>309</v>
      </c>
      <c r="C303" s="19">
        <v>542458021</v>
      </c>
      <c r="D303" s="16">
        <v>1790.5107</v>
      </c>
      <c r="E303" s="16">
        <f t="shared" si="4"/>
        <v>302962.73627406976</v>
      </c>
    </row>
    <row r="304" spans="1:5" x14ac:dyDescent="0.25">
      <c r="A304" s="20" t="s">
        <v>826</v>
      </c>
      <c r="B304" s="13" t="s">
        <v>310</v>
      </c>
      <c r="C304" s="19">
        <v>34729497</v>
      </c>
      <c r="D304" s="16">
        <v>725.1617</v>
      </c>
      <c r="E304" s="16">
        <f t="shared" si="4"/>
        <v>47892.072899051345</v>
      </c>
    </row>
    <row r="305" spans="1:5" x14ac:dyDescent="0.25">
      <c r="A305" s="20" t="s">
        <v>827</v>
      </c>
      <c r="B305" s="13" t="s">
        <v>311</v>
      </c>
      <c r="C305" s="19">
        <v>67696199</v>
      </c>
      <c r="D305" s="16">
        <v>1094.0633</v>
      </c>
      <c r="E305" s="16">
        <f t="shared" si="4"/>
        <v>61875.943558293198</v>
      </c>
    </row>
    <row r="306" spans="1:5" x14ac:dyDescent="0.25">
      <c r="A306" s="20" t="s">
        <v>828</v>
      </c>
      <c r="B306" s="13" t="s">
        <v>312</v>
      </c>
      <c r="C306" s="19">
        <v>84448992</v>
      </c>
      <c r="D306" s="16">
        <v>878.10860000000002</v>
      </c>
      <c r="E306" s="16">
        <f t="shared" si="4"/>
        <v>96171.46671835352</v>
      </c>
    </row>
    <row r="307" spans="1:5" x14ac:dyDescent="0.25">
      <c r="A307" s="20" t="s">
        <v>829</v>
      </c>
      <c r="B307" s="13" t="s">
        <v>313</v>
      </c>
      <c r="C307" s="19">
        <v>87283095</v>
      </c>
      <c r="D307" s="16">
        <v>1243.0641000000001</v>
      </c>
      <c r="E307" s="16">
        <f t="shared" si="4"/>
        <v>70216.085397366071</v>
      </c>
    </row>
    <row r="308" spans="1:5" x14ac:dyDescent="0.25">
      <c r="A308" s="20" t="s">
        <v>830</v>
      </c>
      <c r="B308" s="13" t="s">
        <v>314</v>
      </c>
      <c r="C308" s="19">
        <v>10067916</v>
      </c>
      <c r="D308" s="16">
        <v>107.7833</v>
      </c>
      <c r="E308" s="16">
        <f t="shared" si="4"/>
        <v>93408.867607505061</v>
      </c>
    </row>
    <row r="309" spans="1:5" x14ac:dyDescent="0.25">
      <c r="A309" s="20" t="s">
        <v>831</v>
      </c>
      <c r="B309" s="13" t="s">
        <v>315</v>
      </c>
      <c r="C309" s="19">
        <v>9379208</v>
      </c>
      <c r="D309" s="16">
        <v>67.327699999999993</v>
      </c>
      <c r="E309" s="16">
        <f t="shared" si="4"/>
        <v>139306.82319461383</v>
      </c>
    </row>
    <row r="310" spans="1:5" x14ac:dyDescent="0.25">
      <c r="A310" s="20" t="s">
        <v>832</v>
      </c>
      <c r="B310" s="13" t="s">
        <v>316</v>
      </c>
      <c r="C310" s="19">
        <v>46409885</v>
      </c>
      <c r="D310" s="16">
        <v>583.88869999999997</v>
      </c>
      <c r="E310" s="16">
        <f t="shared" si="4"/>
        <v>79484.129423980979</v>
      </c>
    </row>
    <row r="311" spans="1:5" x14ac:dyDescent="0.25">
      <c r="A311" s="20" t="s">
        <v>833</v>
      </c>
      <c r="B311" s="13" t="s">
        <v>317</v>
      </c>
      <c r="C311" s="19">
        <v>16561852</v>
      </c>
      <c r="D311" s="16">
        <v>217.33680000000001</v>
      </c>
      <c r="E311" s="16">
        <f t="shared" si="4"/>
        <v>76203.624972853184</v>
      </c>
    </row>
    <row r="312" spans="1:5" x14ac:dyDescent="0.25">
      <c r="A312" s="20" t="s">
        <v>834</v>
      </c>
      <c r="B312" s="13" t="s">
        <v>318</v>
      </c>
      <c r="C312" s="19">
        <v>6964434</v>
      </c>
      <c r="D312" s="16">
        <v>86.703000000000003</v>
      </c>
      <c r="E312" s="16">
        <f t="shared" si="4"/>
        <v>80325.179059548114</v>
      </c>
    </row>
    <row r="313" spans="1:5" x14ac:dyDescent="0.25">
      <c r="A313" s="20" t="s">
        <v>835</v>
      </c>
      <c r="B313" s="13" t="s">
        <v>319</v>
      </c>
      <c r="C313" s="19">
        <v>4531066</v>
      </c>
      <c r="D313" s="16">
        <v>44.125100000000003</v>
      </c>
      <c r="E313" s="16">
        <f t="shared" si="4"/>
        <v>102686.81544064489</v>
      </c>
    </row>
    <row r="314" spans="1:5" x14ac:dyDescent="0.25">
      <c r="A314" s="20" t="s">
        <v>836</v>
      </c>
      <c r="B314" s="13" t="s">
        <v>320</v>
      </c>
      <c r="C314" s="19">
        <v>80796923</v>
      </c>
      <c r="D314" s="16">
        <v>659.0489</v>
      </c>
      <c r="E314" s="16">
        <f t="shared" si="4"/>
        <v>122596.24892781097</v>
      </c>
    </row>
    <row r="315" spans="1:5" x14ac:dyDescent="0.25">
      <c r="A315" s="20" t="s">
        <v>837</v>
      </c>
      <c r="B315" s="13" t="s">
        <v>321</v>
      </c>
      <c r="C315" s="19">
        <v>8172668</v>
      </c>
      <c r="D315" s="16">
        <v>77.473299999999995</v>
      </c>
      <c r="E315" s="16">
        <f t="shared" si="4"/>
        <v>105490.12369422757</v>
      </c>
    </row>
    <row r="316" spans="1:5" x14ac:dyDescent="0.25">
      <c r="A316" s="20" t="s">
        <v>838</v>
      </c>
      <c r="B316" s="13" t="s">
        <v>322</v>
      </c>
      <c r="C316" s="19">
        <v>13860642</v>
      </c>
      <c r="D316" s="16">
        <v>203.52199999999999</v>
      </c>
      <c r="E316" s="16">
        <f t="shared" si="4"/>
        <v>68103.900315445018</v>
      </c>
    </row>
    <row r="317" spans="1:5" x14ac:dyDescent="0.25">
      <c r="A317" s="20" t="s">
        <v>839</v>
      </c>
      <c r="B317" s="13" t="s">
        <v>323</v>
      </c>
      <c r="C317" s="19">
        <v>45878140</v>
      </c>
      <c r="D317" s="16">
        <v>346.28230000000002</v>
      </c>
      <c r="E317" s="16">
        <f t="shared" si="4"/>
        <v>132487.68418137456</v>
      </c>
    </row>
    <row r="318" spans="1:5" x14ac:dyDescent="0.25">
      <c r="A318" s="20" t="s">
        <v>840</v>
      </c>
      <c r="B318" s="13" t="s">
        <v>324</v>
      </c>
      <c r="C318" s="19">
        <v>29491369</v>
      </c>
      <c r="D318" s="16">
        <v>336.42419999999998</v>
      </c>
      <c r="E318" s="16">
        <f t="shared" si="4"/>
        <v>87661.259207869123</v>
      </c>
    </row>
    <row r="319" spans="1:5" x14ac:dyDescent="0.25">
      <c r="A319" s="20" t="s">
        <v>841</v>
      </c>
      <c r="B319" s="13" t="s">
        <v>325</v>
      </c>
      <c r="C319" s="19">
        <v>125543508</v>
      </c>
      <c r="D319" s="16">
        <v>1149.8902</v>
      </c>
      <c r="E319" s="16">
        <f t="shared" si="4"/>
        <v>109178.69201772482</v>
      </c>
    </row>
    <row r="320" spans="1:5" x14ac:dyDescent="0.25">
      <c r="A320" s="20" t="s">
        <v>842</v>
      </c>
      <c r="B320" s="13" t="s">
        <v>326</v>
      </c>
      <c r="C320" s="19">
        <v>86328290</v>
      </c>
      <c r="D320" s="16">
        <v>614.10109999999997</v>
      </c>
      <c r="E320" s="16">
        <f t="shared" si="4"/>
        <v>140576.67377570242</v>
      </c>
    </row>
    <row r="321" spans="1:5" x14ac:dyDescent="0.25">
      <c r="A321" s="20" t="s">
        <v>843</v>
      </c>
      <c r="B321" s="13" t="s">
        <v>327</v>
      </c>
      <c r="C321" s="19">
        <v>275006274</v>
      </c>
      <c r="D321" s="16">
        <v>1204.4190000000001</v>
      </c>
      <c r="E321" s="16">
        <f t="shared" si="4"/>
        <v>228331.06585000732</v>
      </c>
    </row>
    <row r="322" spans="1:5" x14ac:dyDescent="0.25">
      <c r="A322" s="20" t="s">
        <v>844</v>
      </c>
      <c r="B322" s="13" t="s">
        <v>328</v>
      </c>
      <c r="C322" s="19">
        <v>10820596</v>
      </c>
      <c r="D322" s="16">
        <v>138.26349999999999</v>
      </c>
      <c r="E322" s="16">
        <f t="shared" si="4"/>
        <v>78260.683405237112</v>
      </c>
    </row>
    <row r="323" spans="1:5" x14ac:dyDescent="0.25">
      <c r="A323" s="20" t="s">
        <v>845</v>
      </c>
      <c r="B323" s="13" t="s">
        <v>329</v>
      </c>
      <c r="C323" s="19">
        <v>49111251</v>
      </c>
      <c r="D323" s="16">
        <v>703.89359999999999</v>
      </c>
      <c r="E323" s="16">
        <f t="shared" ref="E323:E386" si="5">C323/D323</f>
        <v>69770.844627653947</v>
      </c>
    </row>
    <row r="324" spans="1:5" x14ac:dyDescent="0.25">
      <c r="A324" s="20" t="s">
        <v>846</v>
      </c>
      <c r="B324" s="13" t="s">
        <v>330</v>
      </c>
      <c r="C324" s="19">
        <v>14018752</v>
      </c>
      <c r="D324" s="16">
        <v>236.30029999999999</v>
      </c>
      <c r="E324" s="16">
        <f t="shared" si="5"/>
        <v>59326.001702071473</v>
      </c>
    </row>
    <row r="325" spans="1:5" x14ac:dyDescent="0.25">
      <c r="A325" s="20" t="s">
        <v>847</v>
      </c>
      <c r="B325" s="13" t="s">
        <v>331</v>
      </c>
      <c r="C325" s="19">
        <v>304198660</v>
      </c>
      <c r="D325" s="16">
        <v>1323.8607</v>
      </c>
      <c r="E325" s="16">
        <f t="shared" si="5"/>
        <v>229781.47172130723</v>
      </c>
    </row>
    <row r="326" spans="1:5" x14ac:dyDescent="0.25">
      <c r="A326" s="20" t="s">
        <v>848</v>
      </c>
      <c r="B326" s="13" t="s">
        <v>332</v>
      </c>
      <c r="C326" s="19">
        <v>70092924</v>
      </c>
      <c r="D326" s="16">
        <v>1301.7963</v>
      </c>
      <c r="E326" s="16">
        <f t="shared" si="5"/>
        <v>53843.234920855131</v>
      </c>
    </row>
    <row r="327" spans="1:5" x14ac:dyDescent="0.25">
      <c r="A327" s="20" t="s">
        <v>849</v>
      </c>
      <c r="B327" s="13" t="s">
        <v>333</v>
      </c>
      <c r="C327" s="19">
        <v>68645510</v>
      </c>
      <c r="D327" s="16">
        <v>839.60220000000004</v>
      </c>
      <c r="E327" s="16">
        <f t="shared" si="5"/>
        <v>81759.564231727825</v>
      </c>
    </row>
    <row r="328" spans="1:5" x14ac:dyDescent="0.25">
      <c r="A328" s="20" t="s">
        <v>850</v>
      </c>
      <c r="B328" s="13" t="s">
        <v>334</v>
      </c>
      <c r="C328" s="19">
        <v>8541350</v>
      </c>
      <c r="D328" s="16">
        <v>161.15539999999999</v>
      </c>
      <c r="E328" s="16">
        <f t="shared" si="5"/>
        <v>53000.706150709193</v>
      </c>
    </row>
    <row r="329" spans="1:5" x14ac:dyDescent="0.25">
      <c r="A329" s="20" t="s">
        <v>851</v>
      </c>
      <c r="B329" s="13" t="s">
        <v>335</v>
      </c>
      <c r="C329" s="19">
        <v>90628876</v>
      </c>
      <c r="D329" s="16">
        <v>1359.9677999999999</v>
      </c>
      <c r="E329" s="16">
        <f t="shared" si="5"/>
        <v>66640.457222590121</v>
      </c>
    </row>
    <row r="330" spans="1:5" x14ac:dyDescent="0.25">
      <c r="A330" s="20" t="s">
        <v>852</v>
      </c>
      <c r="B330" s="13" t="s">
        <v>336</v>
      </c>
      <c r="C330" s="19">
        <v>289071464</v>
      </c>
      <c r="D330" s="16">
        <v>4375.3559999999998</v>
      </c>
      <c r="E330" s="16">
        <f t="shared" si="5"/>
        <v>66068.101429917937</v>
      </c>
    </row>
    <row r="331" spans="1:5" x14ac:dyDescent="0.25">
      <c r="A331" s="20" t="s">
        <v>853</v>
      </c>
      <c r="B331" s="13" t="s">
        <v>337</v>
      </c>
      <c r="C331" s="19">
        <v>27090615</v>
      </c>
      <c r="D331" s="16">
        <v>211.898</v>
      </c>
      <c r="E331" s="16">
        <f t="shared" si="5"/>
        <v>127847.43131129128</v>
      </c>
    </row>
    <row r="332" spans="1:5" x14ac:dyDescent="0.25">
      <c r="A332" s="20" t="s">
        <v>854</v>
      </c>
      <c r="B332" s="13" t="s">
        <v>338</v>
      </c>
      <c r="C332" s="19">
        <v>24346656</v>
      </c>
      <c r="D332" s="16">
        <v>231.94130000000001</v>
      </c>
      <c r="E332" s="16">
        <f t="shared" si="5"/>
        <v>104969.04173599095</v>
      </c>
    </row>
    <row r="333" spans="1:5" x14ac:dyDescent="0.25">
      <c r="A333" s="20" t="s">
        <v>855</v>
      </c>
      <c r="B333" s="13" t="s">
        <v>339</v>
      </c>
      <c r="C333" s="19">
        <v>15640871</v>
      </c>
      <c r="D333" s="16">
        <v>199.35050000000001</v>
      </c>
      <c r="E333" s="16">
        <f t="shared" si="5"/>
        <v>78459.151093175082</v>
      </c>
    </row>
    <row r="334" spans="1:5" x14ac:dyDescent="0.25">
      <c r="A334" s="20" t="s">
        <v>856</v>
      </c>
      <c r="B334" s="13" t="s">
        <v>340</v>
      </c>
      <c r="C334" s="19">
        <v>14375374</v>
      </c>
      <c r="D334" s="16">
        <v>126.6841</v>
      </c>
      <c r="E334" s="16">
        <f t="shared" si="5"/>
        <v>113474.17710667716</v>
      </c>
    </row>
    <row r="335" spans="1:5" x14ac:dyDescent="0.25">
      <c r="A335" s="20" t="s">
        <v>857</v>
      </c>
      <c r="B335" s="13" t="s">
        <v>341</v>
      </c>
      <c r="C335" s="19">
        <v>16373419</v>
      </c>
      <c r="D335" s="16">
        <v>198.13229999999999</v>
      </c>
      <c r="E335" s="16">
        <f t="shared" si="5"/>
        <v>82638.817598140231</v>
      </c>
    </row>
    <row r="336" spans="1:5" x14ac:dyDescent="0.25">
      <c r="A336" s="20" t="s">
        <v>858</v>
      </c>
      <c r="B336" s="13" t="s">
        <v>342</v>
      </c>
      <c r="C336" s="19">
        <v>189118020</v>
      </c>
      <c r="D336" s="16">
        <v>1363.5845999999999</v>
      </c>
      <c r="E336" s="16">
        <f t="shared" si="5"/>
        <v>138691.81274121167</v>
      </c>
    </row>
    <row r="337" spans="1:5" x14ac:dyDescent="0.25">
      <c r="A337" s="20" t="s">
        <v>859</v>
      </c>
      <c r="B337" s="13" t="s">
        <v>343</v>
      </c>
      <c r="C337" s="19">
        <v>14570067</v>
      </c>
      <c r="D337" s="16">
        <v>152.00839999999999</v>
      </c>
      <c r="E337" s="16">
        <f t="shared" si="5"/>
        <v>95850.406951194804</v>
      </c>
    </row>
    <row r="338" spans="1:5" x14ac:dyDescent="0.25">
      <c r="A338" s="20" t="s">
        <v>860</v>
      </c>
      <c r="B338" s="13" t="s">
        <v>344</v>
      </c>
      <c r="C338" s="19">
        <v>11901278</v>
      </c>
      <c r="D338" s="16">
        <v>130.16980000000001</v>
      </c>
      <c r="E338" s="16">
        <f t="shared" si="5"/>
        <v>91428.872134704055</v>
      </c>
    </row>
    <row r="339" spans="1:5" x14ac:dyDescent="0.25">
      <c r="A339" s="20" t="s">
        <v>861</v>
      </c>
      <c r="B339" s="13" t="s">
        <v>345</v>
      </c>
      <c r="C339" s="19">
        <v>31950024</v>
      </c>
      <c r="D339" s="16">
        <v>656.7559</v>
      </c>
      <c r="E339" s="16">
        <f t="shared" si="5"/>
        <v>48648.248154299035</v>
      </c>
    </row>
    <row r="340" spans="1:5" x14ac:dyDescent="0.25">
      <c r="A340" s="20" t="s">
        <v>862</v>
      </c>
      <c r="B340" s="13" t="s">
        <v>346</v>
      </c>
      <c r="C340" s="19">
        <v>14149290</v>
      </c>
      <c r="D340" s="16">
        <v>201.73580000000001</v>
      </c>
      <c r="E340" s="16">
        <f t="shared" si="5"/>
        <v>70137.724687437731</v>
      </c>
    </row>
    <row r="341" spans="1:5" x14ac:dyDescent="0.25">
      <c r="A341" s="20" t="s">
        <v>863</v>
      </c>
      <c r="B341" s="13" t="s">
        <v>347</v>
      </c>
      <c r="C341" s="19">
        <v>38429668</v>
      </c>
      <c r="D341" s="16">
        <v>637.96910000000003</v>
      </c>
      <c r="E341" s="16">
        <f t="shared" si="5"/>
        <v>60237.506800877971</v>
      </c>
    </row>
    <row r="342" spans="1:5" x14ac:dyDescent="0.25">
      <c r="A342" s="20" t="s">
        <v>864</v>
      </c>
      <c r="B342" s="13" t="s">
        <v>348</v>
      </c>
      <c r="C342" s="19">
        <v>14267621</v>
      </c>
      <c r="D342" s="16">
        <v>204.93600000000001</v>
      </c>
      <c r="E342" s="16">
        <f t="shared" si="5"/>
        <v>69619.88620837724</v>
      </c>
    </row>
    <row r="343" spans="1:5" x14ac:dyDescent="0.25">
      <c r="A343" s="20" t="s">
        <v>865</v>
      </c>
      <c r="B343" s="13" t="s">
        <v>349</v>
      </c>
      <c r="C343" s="19">
        <v>60322859</v>
      </c>
      <c r="D343" s="16">
        <v>629.31590000000006</v>
      </c>
      <c r="E343" s="16">
        <f t="shared" si="5"/>
        <v>95854.655825476511</v>
      </c>
    </row>
    <row r="344" spans="1:5" x14ac:dyDescent="0.25">
      <c r="A344" s="20" t="s">
        <v>866</v>
      </c>
      <c r="B344" s="13" t="s">
        <v>350</v>
      </c>
      <c r="C344" s="19">
        <v>86486936</v>
      </c>
      <c r="D344" s="16">
        <v>790.15430000000003</v>
      </c>
      <c r="E344" s="16">
        <f t="shared" si="5"/>
        <v>109455.75566696277</v>
      </c>
    </row>
    <row r="345" spans="1:5" x14ac:dyDescent="0.25">
      <c r="A345" s="20" t="s">
        <v>867</v>
      </c>
      <c r="B345" s="13" t="s">
        <v>351</v>
      </c>
      <c r="C345" s="19">
        <v>6494007</v>
      </c>
      <c r="D345" s="16">
        <v>73.643799999999999</v>
      </c>
      <c r="E345" s="16">
        <f t="shared" si="5"/>
        <v>88181.31329453396</v>
      </c>
    </row>
    <row r="346" spans="1:5" x14ac:dyDescent="0.25">
      <c r="A346" s="20" t="s">
        <v>868</v>
      </c>
      <c r="B346" s="13" t="s">
        <v>352</v>
      </c>
      <c r="C346" s="19">
        <v>13262431</v>
      </c>
      <c r="D346" s="16">
        <v>331.61309999999997</v>
      </c>
      <c r="E346" s="16">
        <f t="shared" si="5"/>
        <v>39993.688427869711</v>
      </c>
    </row>
    <row r="347" spans="1:5" x14ac:dyDescent="0.25">
      <c r="A347" s="20" t="s">
        <v>869</v>
      </c>
      <c r="B347" s="13" t="s">
        <v>353</v>
      </c>
      <c r="C347" s="19">
        <v>48396174</v>
      </c>
      <c r="D347" s="16">
        <v>583.56410000000005</v>
      </c>
      <c r="E347" s="16">
        <f t="shared" si="5"/>
        <v>82932.061790641324</v>
      </c>
    </row>
    <row r="348" spans="1:5" x14ac:dyDescent="0.25">
      <c r="A348" s="20" t="s">
        <v>870</v>
      </c>
      <c r="B348" s="13" t="s">
        <v>354</v>
      </c>
      <c r="C348" s="19">
        <v>15985659</v>
      </c>
      <c r="D348" s="16">
        <v>278.62970000000001</v>
      </c>
      <c r="E348" s="16">
        <f t="shared" si="5"/>
        <v>57372.415790563602</v>
      </c>
    </row>
    <row r="349" spans="1:5" x14ac:dyDescent="0.25">
      <c r="A349" s="20" t="s">
        <v>871</v>
      </c>
      <c r="B349" s="13" t="s">
        <v>355</v>
      </c>
      <c r="C349" s="19">
        <v>22971926</v>
      </c>
      <c r="D349" s="16">
        <v>114.8122</v>
      </c>
      <c r="E349" s="16">
        <f t="shared" si="5"/>
        <v>200082.62188164672</v>
      </c>
    </row>
    <row r="350" spans="1:5" x14ac:dyDescent="0.25">
      <c r="A350" s="20" t="s">
        <v>872</v>
      </c>
      <c r="B350" s="13" t="s">
        <v>356</v>
      </c>
      <c r="C350" s="19">
        <v>19692040</v>
      </c>
      <c r="D350" s="16">
        <v>248.22980000000001</v>
      </c>
      <c r="E350" s="16">
        <f t="shared" si="5"/>
        <v>79329.879007274707</v>
      </c>
    </row>
    <row r="351" spans="1:5" x14ac:dyDescent="0.25">
      <c r="A351" s="20" t="s">
        <v>873</v>
      </c>
      <c r="B351" s="13" t="s">
        <v>357</v>
      </c>
      <c r="C351" s="19">
        <v>30045067</v>
      </c>
      <c r="D351" s="16">
        <v>649.88279999999997</v>
      </c>
      <c r="E351" s="16">
        <f t="shared" si="5"/>
        <v>46231.515897943449</v>
      </c>
    </row>
    <row r="352" spans="1:5" x14ac:dyDescent="0.25">
      <c r="A352" s="20" t="s">
        <v>874</v>
      </c>
      <c r="B352" s="13" t="s">
        <v>358</v>
      </c>
      <c r="C352" s="19">
        <v>11728245</v>
      </c>
      <c r="D352" s="16">
        <v>153.0402</v>
      </c>
      <c r="E352" s="16">
        <f t="shared" si="5"/>
        <v>76635.060591922913</v>
      </c>
    </row>
    <row r="353" spans="1:5" x14ac:dyDescent="0.25">
      <c r="A353" s="20" t="s">
        <v>875</v>
      </c>
      <c r="B353" s="13" t="s">
        <v>359</v>
      </c>
      <c r="C353" s="19">
        <v>8133800</v>
      </c>
      <c r="D353" s="16">
        <v>195.9983</v>
      </c>
      <c r="E353" s="16">
        <f t="shared" si="5"/>
        <v>41499.339535087805</v>
      </c>
    </row>
    <row r="354" spans="1:5" x14ac:dyDescent="0.25">
      <c r="A354" s="20" t="s">
        <v>876</v>
      </c>
      <c r="B354" s="13" t="s">
        <v>360</v>
      </c>
      <c r="C354" s="19">
        <v>30336428</v>
      </c>
      <c r="D354" s="16">
        <v>641.41769999999997</v>
      </c>
      <c r="E354" s="16">
        <f t="shared" si="5"/>
        <v>47295.900939434636</v>
      </c>
    </row>
    <row r="355" spans="1:5" x14ac:dyDescent="0.25">
      <c r="A355" s="20" t="s">
        <v>877</v>
      </c>
      <c r="B355" s="13" t="s">
        <v>361</v>
      </c>
      <c r="C355" s="19">
        <v>11848660</v>
      </c>
      <c r="D355" s="16">
        <v>205.4538</v>
      </c>
      <c r="E355" s="16">
        <f t="shared" si="5"/>
        <v>57670.67827414241</v>
      </c>
    </row>
    <row r="356" spans="1:5" x14ac:dyDescent="0.25">
      <c r="A356" s="20" t="s">
        <v>878</v>
      </c>
      <c r="B356" s="13" t="s">
        <v>362</v>
      </c>
      <c r="C356" s="19">
        <v>50475330</v>
      </c>
      <c r="D356" s="16">
        <v>1021.9098</v>
      </c>
      <c r="E356" s="16">
        <f t="shared" si="5"/>
        <v>49393.136263102671</v>
      </c>
    </row>
    <row r="357" spans="1:5" x14ac:dyDescent="0.25">
      <c r="A357" s="20" t="s">
        <v>879</v>
      </c>
      <c r="B357" s="13" t="s">
        <v>363</v>
      </c>
      <c r="C357" s="19">
        <v>298162861</v>
      </c>
      <c r="D357" s="16">
        <v>2143.5531000000001</v>
      </c>
      <c r="E357" s="16">
        <f t="shared" si="5"/>
        <v>139097.49238309049</v>
      </c>
    </row>
    <row r="358" spans="1:5" x14ac:dyDescent="0.25">
      <c r="A358" s="20" t="s">
        <v>880</v>
      </c>
      <c r="B358" s="13" t="s">
        <v>364</v>
      </c>
      <c r="C358" s="19">
        <v>16424852</v>
      </c>
      <c r="D358" s="16">
        <v>115.16679999999999</v>
      </c>
      <c r="E358" s="16">
        <f t="shared" si="5"/>
        <v>142617.94197633347</v>
      </c>
    </row>
    <row r="359" spans="1:5" x14ac:dyDescent="0.25">
      <c r="A359" s="20" t="s">
        <v>881</v>
      </c>
      <c r="B359" s="13" t="s">
        <v>365</v>
      </c>
      <c r="C359" s="19">
        <v>27357667</v>
      </c>
      <c r="D359" s="16">
        <v>316.25709999999998</v>
      </c>
      <c r="E359" s="16">
        <f t="shared" si="5"/>
        <v>86504.514839350653</v>
      </c>
    </row>
    <row r="360" spans="1:5" x14ac:dyDescent="0.25">
      <c r="A360" s="20" t="s">
        <v>882</v>
      </c>
      <c r="B360" s="13" t="s">
        <v>366</v>
      </c>
      <c r="C360" s="19">
        <v>19130241</v>
      </c>
      <c r="D360" s="16">
        <v>304.91550000000001</v>
      </c>
      <c r="E360" s="16">
        <f t="shared" si="5"/>
        <v>62739.483561839261</v>
      </c>
    </row>
    <row r="361" spans="1:5" x14ac:dyDescent="0.25">
      <c r="A361" s="20" t="s">
        <v>883</v>
      </c>
      <c r="B361" s="13" t="s">
        <v>367</v>
      </c>
      <c r="C361" s="19">
        <v>40072281</v>
      </c>
      <c r="D361" s="16">
        <v>524.41010000000006</v>
      </c>
      <c r="E361" s="16">
        <f t="shared" si="5"/>
        <v>76414.014527942913</v>
      </c>
    </row>
    <row r="362" spans="1:5" x14ac:dyDescent="0.25">
      <c r="A362" s="20" t="s">
        <v>884</v>
      </c>
      <c r="B362" s="13" t="s">
        <v>368</v>
      </c>
      <c r="C362" s="19">
        <v>25845969</v>
      </c>
      <c r="D362" s="16">
        <v>342.68950000000001</v>
      </c>
      <c r="E362" s="16">
        <f t="shared" si="5"/>
        <v>75420.953953943725</v>
      </c>
    </row>
    <row r="363" spans="1:5" x14ac:dyDescent="0.25">
      <c r="A363" s="20" t="s">
        <v>885</v>
      </c>
      <c r="B363" s="13" t="s">
        <v>369</v>
      </c>
      <c r="C363" s="19">
        <v>51188157</v>
      </c>
      <c r="D363" s="16">
        <v>177.80699999999999</v>
      </c>
      <c r="E363" s="16">
        <f t="shared" si="5"/>
        <v>287886.06185358285</v>
      </c>
    </row>
    <row r="364" spans="1:5" x14ac:dyDescent="0.25">
      <c r="A364" s="20" t="s">
        <v>886</v>
      </c>
      <c r="B364" s="13" t="s">
        <v>370</v>
      </c>
      <c r="C364" s="19">
        <v>340830076</v>
      </c>
      <c r="D364" s="16">
        <v>4568.2260999999999</v>
      </c>
      <c r="E364" s="16">
        <f t="shared" si="5"/>
        <v>74608.845652363831</v>
      </c>
    </row>
    <row r="365" spans="1:5" x14ac:dyDescent="0.25">
      <c r="A365" s="20" t="s">
        <v>887</v>
      </c>
      <c r="B365" s="13" t="s">
        <v>371</v>
      </c>
      <c r="C365" s="19">
        <v>117939771</v>
      </c>
      <c r="D365" s="16">
        <v>1747.1867</v>
      </c>
      <c r="E365" s="16">
        <f t="shared" si="5"/>
        <v>67502.672152895859</v>
      </c>
    </row>
    <row r="366" spans="1:5" x14ac:dyDescent="0.25">
      <c r="A366" s="20" t="s">
        <v>888</v>
      </c>
      <c r="B366" s="13" t="s">
        <v>372</v>
      </c>
      <c r="C366" s="19">
        <v>27301743</v>
      </c>
      <c r="D366" s="16">
        <v>412.52069999999998</v>
      </c>
      <c r="E366" s="16">
        <f t="shared" si="5"/>
        <v>66182.722467018029</v>
      </c>
    </row>
    <row r="367" spans="1:5" x14ac:dyDescent="0.25">
      <c r="A367" s="20" t="s">
        <v>889</v>
      </c>
      <c r="B367" s="13" t="s">
        <v>373</v>
      </c>
      <c r="C367" s="19">
        <v>396524609</v>
      </c>
      <c r="D367" s="16">
        <v>3821.6549</v>
      </c>
      <c r="E367" s="16">
        <f t="shared" si="5"/>
        <v>103757.3039365747</v>
      </c>
    </row>
    <row r="368" spans="1:5" x14ac:dyDescent="0.25">
      <c r="A368" s="20" t="s">
        <v>890</v>
      </c>
      <c r="B368" s="13" t="s">
        <v>374</v>
      </c>
      <c r="C368" s="19">
        <v>18696645</v>
      </c>
      <c r="D368" s="16">
        <v>232.8382</v>
      </c>
      <c r="E368" s="16">
        <f t="shared" si="5"/>
        <v>80298.872779466605</v>
      </c>
    </row>
    <row r="369" spans="1:5" x14ac:dyDescent="0.25">
      <c r="A369" s="20" t="s">
        <v>891</v>
      </c>
      <c r="B369" s="13" t="s">
        <v>375</v>
      </c>
      <c r="C369" s="19">
        <v>107566839</v>
      </c>
      <c r="D369" s="16">
        <v>1222.702</v>
      </c>
      <c r="E369" s="16">
        <f t="shared" si="5"/>
        <v>87974.697841338275</v>
      </c>
    </row>
    <row r="370" spans="1:5" x14ac:dyDescent="0.25">
      <c r="A370" s="20" t="s">
        <v>892</v>
      </c>
      <c r="B370" s="13" t="s">
        <v>376</v>
      </c>
      <c r="C370" s="19">
        <v>39827488</v>
      </c>
      <c r="D370" s="16">
        <v>422.37810000000002</v>
      </c>
      <c r="E370" s="16">
        <f t="shared" si="5"/>
        <v>94293.449399957055</v>
      </c>
    </row>
    <row r="371" spans="1:5" x14ac:dyDescent="0.25">
      <c r="A371" s="20" t="s">
        <v>893</v>
      </c>
      <c r="B371" s="13" t="s">
        <v>377</v>
      </c>
      <c r="C371" s="19">
        <v>13012969</v>
      </c>
      <c r="D371" s="16">
        <v>51.854900000000001</v>
      </c>
      <c r="E371" s="16">
        <f t="shared" si="5"/>
        <v>250949.6498884387</v>
      </c>
    </row>
    <row r="372" spans="1:5" x14ac:dyDescent="0.25">
      <c r="A372" s="20" t="s">
        <v>894</v>
      </c>
      <c r="B372" s="13" t="s">
        <v>378</v>
      </c>
      <c r="C372" s="19">
        <v>52977627</v>
      </c>
      <c r="D372" s="16">
        <v>665.495</v>
      </c>
      <c r="E372" s="16">
        <f t="shared" si="5"/>
        <v>79606.348657766022</v>
      </c>
    </row>
    <row r="373" spans="1:5" x14ac:dyDescent="0.25">
      <c r="A373" s="20" t="s">
        <v>895</v>
      </c>
      <c r="B373" s="13" t="s">
        <v>379</v>
      </c>
      <c r="C373" s="19">
        <v>65560721</v>
      </c>
      <c r="D373" s="16">
        <v>607.99210000000005</v>
      </c>
      <c r="E373" s="16">
        <f t="shared" si="5"/>
        <v>107831.53432421242</v>
      </c>
    </row>
    <row r="374" spans="1:5" x14ac:dyDescent="0.25">
      <c r="A374" s="20" t="s">
        <v>896</v>
      </c>
      <c r="B374" s="13" t="s">
        <v>380</v>
      </c>
      <c r="C374" s="19">
        <v>196518709</v>
      </c>
      <c r="D374" s="16">
        <v>540.0231</v>
      </c>
      <c r="E374" s="16">
        <f t="shared" si="5"/>
        <v>363907.96801099804</v>
      </c>
    </row>
    <row r="375" spans="1:5" x14ac:dyDescent="0.25">
      <c r="A375" s="20" t="s">
        <v>897</v>
      </c>
      <c r="B375" s="13" t="s">
        <v>381</v>
      </c>
      <c r="C375" s="19">
        <v>463633614</v>
      </c>
      <c r="D375" s="16">
        <v>3780.42</v>
      </c>
      <c r="E375" s="16">
        <f t="shared" si="5"/>
        <v>122640.76848604123</v>
      </c>
    </row>
    <row r="376" spans="1:5" x14ac:dyDescent="0.25">
      <c r="A376" s="20" t="s">
        <v>898</v>
      </c>
      <c r="B376" s="13" t="s">
        <v>382</v>
      </c>
      <c r="C376" s="19">
        <v>1524807625</v>
      </c>
      <c r="D376" s="16">
        <v>10899.368200000001</v>
      </c>
      <c r="E376" s="16">
        <f t="shared" si="5"/>
        <v>139898.71678984107</v>
      </c>
    </row>
    <row r="377" spans="1:5" x14ac:dyDescent="0.25">
      <c r="A377" s="20" t="s">
        <v>899</v>
      </c>
      <c r="B377" s="13" t="s">
        <v>383</v>
      </c>
      <c r="C377" s="19">
        <v>156872590</v>
      </c>
      <c r="D377" s="16">
        <v>2683.4589999999998</v>
      </c>
      <c r="E377" s="16">
        <f t="shared" si="5"/>
        <v>58459.097008748788</v>
      </c>
    </row>
    <row r="378" spans="1:5" x14ac:dyDescent="0.25">
      <c r="A378" s="20" t="s">
        <v>900</v>
      </c>
      <c r="B378" s="13" t="s">
        <v>384</v>
      </c>
      <c r="C378" s="19">
        <v>17276820</v>
      </c>
      <c r="D378" s="16">
        <v>359.63339999999999</v>
      </c>
      <c r="E378" s="16">
        <f t="shared" si="5"/>
        <v>48040.087489093057</v>
      </c>
    </row>
    <row r="379" spans="1:5" x14ac:dyDescent="0.25">
      <c r="A379" s="20" t="s">
        <v>901</v>
      </c>
      <c r="B379" s="13" t="s">
        <v>385</v>
      </c>
      <c r="C379" s="19">
        <v>18546530</v>
      </c>
      <c r="D379" s="16">
        <v>254.66640000000001</v>
      </c>
      <c r="E379" s="16">
        <f t="shared" si="5"/>
        <v>72826.764740067782</v>
      </c>
    </row>
    <row r="380" spans="1:5" x14ac:dyDescent="0.25">
      <c r="A380" s="20" t="s">
        <v>902</v>
      </c>
      <c r="B380" s="13" t="s">
        <v>386</v>
      </c>
      <c r="C380" s="19">
        <v>20448234</v>
      </c>
      <c r="D380" s="16">
        <v>374.20100000000002</v>
      </c>
      <c r="E380" s="16">
        <f t="shared" si="5"/>
        <v>54645.054395899526</v>
      </c>
    </row>
    <row r="381" spans="1:5" x14ac:dyDescent="0.25">
      <c r="A381" s="20" t="s">
        <v>903</v>
      </c>
      <c r="B381" s="13" t="s">
        <v>387</v>
      </c>
      <c r="C381" s="19">
        <v>34603520</v>
      </c>
      <c r="D381" s="16">
        <v>520.67399999999998</v>
      </c>
      <c r="E381" s="16">
        <f t="shared" si="5"/>
        <v>66459.089564679627</v>
      </c>
    </row>
    <row r="382" spans="1:5" x14ac:dyDescent="0.25">
      <c r="A382" s="20" t="s">
        <v>904</v>
      </c>
      <c r="B382" s="13" t="s">
        <v>388</v>
      </c>
      <c r="C382" s="19">
        <v>39972900</v>
      </c>
      <c r="D382" s="16">
        <v>774.84780000000001</v>
      </c>
      <c r="E382" s="16">
        <f t="shared" si="5"/>
        <v>51588.066714521228</v>
      </c>
    </row>
    <row r="383" spans="1:5" x14ac:dyDescent="0.25">
      <c r="A383" s="20" t="s">
        <v>905</v>
      </c>
      <c r="B383" s="13" t="s">
        <v>389</v>
      </c>
      <c r="C383" s="19">
        <v>5624372</v>
      </c>
      <c r="D383" s="16">
        <v>84.454400000000007</v>
      </c>
      <c r="E383" s="16">
        <f t="shared" si="5"/>
        <v>66596.553879963627</v>
      </c>
    </row>
    <row r="384" spans="1:5" x14ac:dyDescent="0.25">
      <c r="A384" s="20" t="s">
        <v>906</v>
      </c>
      <c r="B384" s="13" t="s">
        <v>390</v>
      </c>
      <c r="C384" s="19">
        <v>33942365</v>
      </c>
      <c r="D384" s="16">
        <v>542.48749999999995</v>
      </c>
      <c r="E384" s="16">
        <f t="shared" si="5"/>
        <v>62568.013087859174</v>
      </c>
    </row>
    <row r="385" spans="1:5" x14ac:dyDescent="0.25">
      <c r="A385" s="20" t="s">
        <v>907</v>
      </c>
      <c r="B385" s="13" t="s">
        <v>391</v>
      </c>
      <c r="C385" s="19">
        <v>35576907</v>
      </c>
      <c r="D385" s="16">
        <v>617.30070000000001</v>
      </c>
      <c r="E385" s="16">
        <f t="shared" si="5"/>
        <v>57633.025525485391</v>
      </c>
    </row>
    <row r="386" spans="1:5" x14ac:dyDescent="0.25">
      <c r="A386" s="20" t="s">
        <v>908</v>
      </c>
      <c r="B386" s="13" t="s">
        <v>392</v>
      </c>
      <c r="C386" s="19">
        <v>303857288</v>
      </c>
      <c r="D386" s="16">
        <v>5666.2362999999996</v>
      </c>
      <c r="E386" s="16">
        <f t="shared" si="5"/>
        <v>53625.947085898981</v>
      </c>
    </row>
    <row r="387" spans="1:5" x14ac:dyDescent="0.25">
      <c r="A387" s="20" t="s">
        <v>909</v>
      </c>
      <c r="B387" s="13" t="s">
        <v>393</v>
      </c>
      <c r="C387" s="19">
        <v>63013200</v>
      </c>
      <c r="D387" s="16">
        <v>919.55020000000002</v>
      </c>
      <c r="E387" s="16">
        <f t="shared" ref="E387:E450" si="6">C387/D387</f>
        <v>68526.112005630581</v>
      </c>
    </row>
    <row r="388" spans="1:5" x14ac:dyDescent="0.25">
      <c r="A388" s="20" t="s">
        <v>910</v>
      </c>
      <c r="B388" s="13" t="s">
        <v>394</v>
      </c>
      <c r="C388" s="19">
        <v>30494804</v>
      </c>
      <c r="D388" s="16">
        <v>550.89819999999997</v>
      </c>
      <c r="E388" s="16">
        <f t="shared" si="6"/>
        <v>55354.698926226301</v>
      </c>
    </row>
    <row r="389" spans="1:5" x14ac:dyDescent="0.25">
      <c r="A389" s="20" t="s">
        <v>911</v>
      </c>
      <c r="B389" s="13" t="s">
        <v>395</v>
      </c>
      <c r="C389" s="19">
        <v>79465107</v>
      </c>
      <c r="D389" s="16">
        <v>679.84220000000005</v>
      </c>
      <c r="E389" s="16">
        <f t="shared" si="6"/>
        <v>116887.57626402126</v>
      </c>
    </row>
    <row r="390" spans="1:5" x14ac:dyDescent="0.25">
      <c r="A390" s="20" t="s">
        <v>912</v>
      </c>
      <c r="B390" s="13" t="s">
        <v>396</v>
      </c>
      <c r="C390" s="19">
        <v>77940848</v>
      </c>
      <c r="D390" s="16">
        <v>715.82039999999995</v>
      </c>
      <c r="E390" s="16">
        <f t="shared" si="6"/>
        <v>108883.24501509039</v>
      </c>
    </row>
    <row r="391" spans="1:5" x14ac:dyDescent="0.25">
      <c r="A391" s="20" t="s">
        <v>913</v>
      </c>
      <c r="B391" s="13" t="s">
        <v>397</v>
      </c>
      <c r="C391" s="19">
        <v>25420216</v>
      </c>
      <c r="D391" s="16">
        <v>387.34010000000001</v>
      </c>
      <c r="E391" s="16">
        <f t="shared" si="6"/>
        <v>65627.63834676554</v>
      </c>
    </row>
    <row r="392" spans="1:5" x14ac:dyDescent="0.25">
      <c r="A392" s="20" t="s">
        <v>914</v>
      </c>
      <c r="B392" s="13" t="s">
        <v>398</v>
      </c>
      <c r="C392" s="19">
        <v>14610833</v>
      </c>
      <c r="D392" s="16">
        <v>147.8492</v>
      </c>
      <c r="E392" s="16">
        <f t="shared" si="6"/>
        <v>98822.536746901576</v>
      </c>
    </row>
    <row r="393" spans="1:5" x14ac:dyDescent="0.25">
      <c r="A393" s="20" t="s">
        <v>915</v>
      </c>
      <c r="B393" s="13" t="s">
        <v>399</v>
      </c>
      <c r="C393" s="19">
        <v>11544424</v>
      </c>
      <c r="D393" s="16">
        <v>191.92349999999999</v>
      </c>
      <c r="E393" s="16">
        <f t="shared" si="6"/>
        <v>60151.174817049505</v>
      </c>
    </row>
    <row r="394" spans="1:5" x14ac:dyDescent="0.25">
      <c r="A394" s="20" t="s">
        <v>916</v>
      </c>
      <c r="B394" s="13" t="s">
        <v>400</v>
      </c>
      <c r="C394" s="19">
        <v>157537076</v>
      </c>
      <c r="D394" s="16">
        <v>594.27139999999997</v>
      </c>
      <c r="E394" s="16">
        <f t="shared" si="6"/>
        <v>265092.81112972961</v>
      </c>
    </row>
    <row r="395" spans="1:5" x14ac:dyDescent="0.25">
      <c r="A395" s="20" t="s">
        <v>917</v>
      </c>
      <c r="B395" s="13" t="s">
        <v>401</v>
      </c>
      <c r="C395" s="19">
        <v>173874924</v>
      </c>
      <c r="D395" s="16">
        <v>2165.0450999999998</v>
      </c>
      <c r="E395" s="16">
        <f t="shared" si="6"/>
        <v>80310.070215165499</v>
      </c>
    </row>
    <row r="396" spans="1:5" x14ac:dyDescent="0.25">
      <c r="A396" s="20" t="s">
        <v>918</v>
      </c>
      <c r="B396" s="13" t="s">
        <v>402</v>
      </c>
      <c r="C396" s="19">
        <v>68554350</v>
      </c>
      <c r="D396" s="16">
        <v>1117.7583999999999</v>
      </c>
      <c r="E396" s="16">
        <f t="shared" si="6"/>
        <v>61331.992673908782</v>
      </c>
    </row>
    <row r="397" spans="1:5" x14ac:dyDescent="0.25">
      <c r="A397" s="20" t="s">
        <v>919</v>
      </c>
      <c r="B397" s="13" t="s">
        <v>403</v>
      </c>
      <c r="C397" s="19">
        <v>22588485</v>
      </c>
      <c r="D397" s="16">
        <v>293.27210000000002</v>
      </c>
      <c r="E397" s="16">
        <f t="shared" si="6"/>
        <v>77022.277264015225</v>
      </c>
    </row>
    <row r="398" spans="1:5" x14ac:dyDescent="0.25">
      <c r="A398" s="20" t="s">
        <v>920</v>
      </c>
      <c r="B398" s="13" t="s">
        <v>404</v>
      </c>
      <c r="C398" s="19">
        <v>17246187</v>
      </c>
      <c r="D398" s="16">
        <v>188.6927</v>
      </c>
      <c r="E398" s="16">
        <f t="shared" si="6"/>
        <v>91398.273489117491</v>
      </c>
    </row>
    <row r="399" spans="1:5" x14ac:dyDescent="0.25">
      <c r="A399" s="20" t="s">
        <v>921</v>
      </c>
      <c r="B399" s="13" t="s">
        <v>405</v>
      </c>
      <c r="C399" s="19">
        <v>108337028</v>
      </c>
      <c r="D399" s="16">
        <v>1484.8842999999999</v>
      </c>
      <c r="E399" s="16">
        <f t="shared" si="6"/>
        <v>72959.912095508043</v>
      </c>
    </row>
    <row r="400" spans="1:5" x14ac:dyDescent="0.25">
      <c r="A400" s="20" t="s">
        <v>922</v>
      </c>
      <c r="B400" s="13" t="s">
        <v>406</v>
      </c>
      <c r="C400" s="19">
        <v>6208329</v>
      </c>
      <c r="D400" s="16">
        <v>78.408799999999999</v>
      </c>
      <c r="E400" s="16">
        <f t="shared" si="6"/>
        <v>79178.982461152322</v>
      </c>
    </row>
    <row r="401" spans="1:5" x14ac:dyDescent="0.25">
      <c r="A401" s="20" t="s">
        <v>923</v>
      </c>
      <c r="B401" s="13" t="s">
        <v>407</v>
      </c>
      <c r="C401" s="19">
        <v>37618598</v>
      </c>
      <c r="D401" s="16">
        <v>445.02190000000002</v>
      </c>
      <c r="E401" s="16">
        <f t="shared" si="6"/>
        <v>84532.015165995195</v>
      </c>
    </row>
    <row r="402" spans="1:5" x14ac:dyDescent="0.25">
      <c r="A402" s="20" t="s">
        <v>924</v>
      </c>
      <c r="B402" s="13" t="s">
        <v>408</v>
      </c>
      <c r="C402" s="19">
        <v>76308581</v>
      </c>
      <c r="D402" s="16">
        <v>227.3845</v>
      </c>
      <c r="E402" s="16">
        <f t="shared" si="6"/>
        <v>335592.71190428548</v>
      </c>
    </row>
    <row r="403" spans="1:5" x14ac:dyDescent="0.25">
      <c r="A403" s="20" t="s">
        <v>925</v>
      </c>
      <c r="B403" s="13" t="s">
        <v>409</v>
      </c>
      <c r="C403" s="19">
        <v>57748147</v>
      </c>
      <c r="D403" s="16">
        <v>223.37889999999999</v>
      </c>
      <c r="E403" s="16">
        <f t="shared" si="6"/>
        <v>258521.04652677581</v>
      </c>
    </row>
    <row r="404" spans="1:5" x14ac:dyDescent="0.25">
      <c r="A404" s="20" t="s">
        <v>926</v>
      </c>
      <c r="B404" s="13" t="s">
        <v>410</v>
      </c>
      <c r="C404" s="19">
        <v>10702740</v>
      </c>
      <c r="D404" s="16">
        <v>372.39949999999999</v>
      </c>
      <c r="E404" s="16">
        <f t="shared" si="6"/>
        <v>28739.941917215248</v>
      </c>
    </row>
    <row r="405" spans="1:5" x14ac:dyDescent="0.25">
      <c r="A405" s="20" t="s">
        <v>927</v>
      </c>
      <c r="B405" s="13" t="s">
        <v>411</v>
      </c>
      <c r="C405" s="19">
        <v>73467750</v>
      </c>
      <c r="D405" s="16">
        <v>1351.2408</v>
      </c>
      <c r="E405" s="16">
        <f t="shared" si="6"/>
        <v>54370.582948649862</v>
      </c>
    </row>
    <row r="406" spans="1:5" x14ac:dyDescent="0.25">
      <c r="A406" s="20" t="s">
        <v>928</v>
      </c>
      <c r="B406" s="13" t="s">
        <v>412</v>
      </c>
      <c r="C406" s="19">
        <v>6251786</v>
      </c>
      <c r="D406" s="16">
        <v>160.1926</v>
      </c>
      <c r="E406" s="16">
        <f t="shared" si="6"/>
        <v>39026.684128979738</v>
      </c>
    </row>
    <row r="407" spans="1:5" x14ac:dyDescent="0.25">
      <c r="A407" s="20" t="s">
        <v>929</v>
      </c>
      <c r="B407" s="13" t="s">
        <v>413</v>
      </c>
      <c r="C407" s="19">
        <v>5996681</v>
      </c>
      <c r="D407" s="16">
        <v>131.7594</v>
      </c>
      <c r="E407" s="16">
        <f t="shared" si="6"/>
        <v>45512.358131564048</v>
      </c>
    </row>
    <row r="408" spans="1:5" x14ac:dyDescent="0.25">
      <c r="A408" s="20" t="s">
        <v>930</v>
      </c>
      <c r="B408" s="13" t="s">
        <v>414</v>
      </c>
      <c r="C408" s="19">
        <v>2178895863</v>
      </c>
      <c r="D408" s="16">
        <v>17213.9902</v>
      </c>
      <c r="E408" s="16">
        <f t="shared" si="6"/>
        <v>126577.03633408598</v>
      </c>
    </row>
    <row r="409" spans="1:5" x14ac:dyDescent="0.25">
      <c r="A409" s="20" t="s">
        <v>931</v>
      </c>
      <c r="B409" s="13" t="s">
        <v>415</v>
      </c>
      <c r="C409" s="19">
        <v>2342454525</v>
      </c>
      <c r="D409" s="16">
        <v>16066.752699999999</v>
      </c>
      <c r="E409" s="16">
        <f t="shared" si="6"/>
        <v>145795.14409280726</v>
      </c>
    </row>
    <row r="410" spans="1:5" x14ac:dyDescent="0.25">
      <c r="A410" s="20" t="s">
        <v>932</v>
      </c>
      <c r="B410" s="13" t="s">
        <v>416</v>
      </c>
      <c r="C410" s="19">
        <v>1630683877</v>
      </c>
      <c r="D410" s="16">
        <v>14508.4056</v>
      </c>
      <c r="E410" s="16">
        <f t="shared" si="6"/>
        <v>112395.80157588095</v>
      </c>
    </row>
    <row r="411" spans="1:5" x14ac:dyDescent="0.25">
      <c r="A411" s="20" t="s">
        <v>933</v>
      </c>
      <c r="B411" s="13" t="s">
        <v>417</v>
      </c>
      <c r="C411" s="19">
        <v>909908773</v>
      </c>
      <c r="D411" s="16">
        <v>4646.4404999999997</v>
      </c>
      <c r="E411" s="16">
        <f t="shared" si="6"/>
        <v>195829.21012331915</v>
      </c>
    </row>
    <row r="412" spans="1:5" x14ac:dyDescent="0.25">
      <c r="A412" s="20" t="s">
        <v>934</v>
      </c>
      <c r="B412" s="13" t="s">
        <v>418</v>
      </c>
      <c r="C412" s="19">
        <v>284683015</v>
      </c>
      <c r="D412" s="16">
        <v>1702.2521999999999</v>
      </c>
      <c r="E412" s="16">
        <f t="shared" si="6"/>
        <v>167239.03485041758</v>
      </c>
    </row>
    <row r="413" spans="1:5" x14ac:dyDescent="0.25">
      <c r="A413" s="20" t="s">
        <v>935</v>
      </c>
      <c r="B413" s="13" t="s">
        <v>419</v>
      </c>
      <c r="C413" s="19">
        <v>26118824</v>
      </c>
      <c r="D413" s="16">
        <v>296.79610000000002</v>
      </c>
      <c r="E413" s="16">
        <f t="shared" si="6"/>
        <v>88002.58493962689</v>
      </c>
    </row>
    <row r="414" spans="1:5" x14ac:dyDescent="0.25">
      <c r="A414" s="20" t="s">
        <v>936</v>
      </c>
      <c r="B414" s="13" t="s">
        <v>420</v>
      </c>
      <c r="C414" s="19">
        <v>6736700</v>
      </c>
      <c r="D414" s="16">
        <v>75.363500000000002</v>
      </c>
      <c r="E414" s="16">
        <f t="shared" si="6"/>
        <v>89389.42591572844</v>
      </c>
    </row>
    <row r="415" spans="1:5" x14ac:dyDescent="0.25">
      <c r="A415" s="20" t="s">
        <v>937</v>
      </c>
      <c r="B415" s="13" t="s">
        <v>421</v>
      </c>
      <c r="C415" s="19">
        <v>31389995</v>
      </c>
      <c r="D415" s="16">
        <v>374.08300000000003</v>
      </c>
      <c r="E415" s="16">
        <f t="shared" si="6"/>
        <v>83911.845766848521</v>
      </c>
    </row>
    <row r="416" spans="1:5" x14ac:dyDescent="0.25">
      <c r="A416" s="20" t="s">
        <v>938</v>
      </c>
      <c r="B416" s="13" t="s">
        <v>422</v>
      </c>
      <c r="C416" s="19">
        <v>30809150</v>
      </c>
      <c r="D416" s="16">
        <v>454.60399999999998</v>
      </c>
      <c r="E416" s="16">
        <f t="shared" si="6"/>
        <v>67771.4010435456</v>
      </c>
    </row>
    <row r="417" spans="1:5" x14ac:dyDescent="0.25">
      <c r="A417" s="20" t="s">
        <v>939</v>
      </c>
      <c r="B417" s="13" t="s">
        <v>423</v>
      </c>
      <c r="C417" s="19">
        <v>28891338</v>
      </c>
      <c r="D417" s="16">
        <v>526.721</v>
      </c>
      <c r="E417" s="16">
        <f t="shared" si="6"/>
        <v>54851.312174756655</v>
      </c>
    </row>
    <row r="418" spans="1:5" x14ac:dyDescent="0.25">
      <c r="A418" s="20" t="s">
        <v>940</v>
      </c>
      <c r="B418" s="13" t="s">
        <v>424</v>
      </c>
      <c r="C418" s="19">
        <v>344796097</v>
      </c>
      <c r="D418" s="16">
        <v>3762.7460999999998</v>
      </c>
      <c r="E418" s="16">
        <f t="shared" si="6"/>
        <v>91634.165005180665</v>
      </c>
    </row>
    <row r="419" spans="1:5" x14ac:dyDescent="0.25">
      <c r="A419" s="20" t="s">
        <v>941</v>
      </c>
      <c r="B419" s="13" t="s">
        <v>425</v>
      </c>
      <c r="C419" s="19">
        <v>165627994</v>
      </c>
      <c r="D419" s="16">
        <v>2897.1961999999999</v>
      </c>
      <c r="E419" s="16">
        <f t="shared" si="6"/>
        <v>57168.373339713755</v>
      </c>
    </row>
    <row r="420" spans="1:5" x14ac:dyDescent="0.25">
      <c r="A420" s="20" t="s">
        <v>942</v>
      </c>
      <c r="B420" s="13" t="s">
        <v>426</v>
      </c>
      <c r="C420" s="19">
        <v>98061240</v>
      </c>
      <c r="D420" s="16">
        <v>2111.0486000000001</v>
      </c>
      <c r="E420" s="16">
        <f t="shared" si="6"/>
        <v>46451.436504114587</v>
      </c>
    </row>
    <row r="421" spans="1:5" x14ac:dyDescent="0.25">
      <c r="A421" s="20" t="s">
        <v>943</v>
      </c>
      <c r="B421" s="13" t="s">
        <v>427</v>
      </c>
      <c r="C421" s="19">
        <v>45307406</v>
      </c>
      <c r="D421" s="16">
        <v>1008.736</v>
      </c>
      <c r="E421" s="16">
        <f t="shared" si="6"/>
        <v>44915.028312660601</v>
      </c>
    </row>
    <row r="422" spans="1:5" x14ac:dyDescent="0.25">
      <c r="A422" s="20" t="s">
        <v>944</v>
      </c>
      <c r="B422" s="13" t="s">
        <v>428</v>
      </c>
      <c r="C422" s="19">
        <v>352366766</v>
      </c>
      <c r="D422" s="16">
        <v>1753.7919999999999</v>
      </c>
      <c r="E422" s="16">
        <f t="shared" si="6"/>
        <v>200917.07910630223</v>
      </c>
    </row>
    <row r="423" spans="1:5" x14ac:dyDescent="0.25">
      <c r="A423" s="20" t="s">
        <v>945</v>
      </c>
      <c r="B423" s="13" t="s">
        <v>429</v>
      </c>
      <c r="C423" s="19">
        <v>1591165380</v>
      </c>
      <c r="D423" s="16">
        <v>16795.5036</v>
      </c>
      <c r="E423" s="16">
        <f t="shared" si="6"/>
        <v>94737.58083681397</v>
      </c>
    </row>
    <row r="424" spans="1:5" x14ac:dyDescent="0.25">
      <c r="A424" s="20" t="s">
        <v>946</v>
      </c>
      <c r="B424" s="13" t="s">
        <v>430</v>
      </c>
      <c r="C424" s="19">
        <v>881611230</v>
      </c>
      <c r="D424" s="16">
        <v>9405.7126000000007</v>
      </c>
      <c r="E424" s="16">
        <f t="shared" si="6"/>
        <v>93731.465917850815</v>
      </c>
    </row>
    <row r="425" spans="1:5" x14ac:dyDescent="0.25">
      <c r="A425" s="20" t="s">
        <v>947</v>
      </c>
      <c r="B425" s="13" t="s">
        <v>431</v>
      </c>
      <c r="C425" s="19">
        <v>1287511380</v>
      </c>
      <c r="D425" s="16">
        <v>5187.4107999999997</v>
      </c>
      <c r="E425" s="16">
        <f t="shared" si="6"/>
        <v>248199.23264993783</v>
      </c>
    </row>
    <row r="426" spans="1:5" x14ac:dyDescent="0.25">
      <c r="A426" s="20" t="s">
        <v>948</v>
      </c>
      <c r="B426" s="13" t="s">
        <v>432</v>
      </c>
      <c r="C426" s="19">
        <v>3401452593</v>
      </c>
      <c r="D426" s="16">
        <v>20042.247899999998</v>
      </c>
      <c r="E426" s="16">
        <f t="shared" si="6"/>
        <v>169714.12637800974</v>
      </c>
    </row>
    <row r="427" spans="1:5" x14ac:dyDescent="0.25">
      <c r="A427" s="20" t="s">
        <v>949</v>
      </c>
      <c r="B427" s="13" t="s">
        <v>433</v>
      </c>
      <c r="C427" s="19">
        <v>1299598950</v>
      </c>
      <c r="D427" s="16">
        <v>5250.6881999999996</v>
      </c>
      <c r="E427" s="16">
        <f t="shared" si="6"/>
        <v>247510.21208991235</v>
      </c>
    </row>
    <row r="428" spans="1:5" x14ac:dyDescent="0.25">
      <c r="A428" s="20" t="s">
        <v>950</v>
      </c>
      <c r="B428" s="13" t="s">
        <v>434</v>
      </c>
      <c r="C428" s="19">
        <v>1255523810</v>
      </c>
      <c r="D428" s="16">
        <v>5974.2857000000004</v>
      </c>
      <c r="E428" s="16">
        <f t="shared" si="6"/>
        <v>210154.6315403028</v>
      </c>
    </row>
    <row r="429" spans="1:5" x14ac:dyDescent="0.25">
      <c r="A429" s="20" t="s">
        <v>951</v>
      </c>
      <c r="B429" s="13" t="s">
        <v>435</v>
      </c>
      <c r="C429" s="19">
        <v>1693438170</v>
      </c>
      <c r="D429" s="16">
        <v>9585.7978999999996</v>
      </c>
      <c r="E429" s="16">
        <f t="shared" si="6"/>
        <v>176661.15931778617</v>
      </c>
    </row>
    <row r="430" spans="1:5" x14ac:dyDescent="0.25">
      <c r="A430" s="20" t="s">
        <v>952</v>
      </c>
      <c r="B430" s="13" t="s">
        <v>436</v>
      </c>
      <c r="C430" s="19">
        <v>4336607760</v>
      </c>
      <c r="D430" s="16">
        <v>16710.667300000001</v>
      </c>
      <c r="E430" s="16">
        <f t="shared" si="6"/>
        <v>259511.3457856946</v>
      </c>
    </row>
    <row r="431" spans="1:5" x14ac:dyDescent="0.25">
      <c r="A431" s="20" t="s">
        <v>953</v>
      </c>
      <c r="B431" s="13" t="s">
        <v>437</v>
      </c>
      <c r="C431" s="19">
        <v>370026450</v>
      </c>
      <c r="D431" s="16">
        <v>2323.3836000000001</v>
      </c>
      <c r="E431" s="16">
        <f t="shared" si="6"/>
        <v>159261.88426224579</v>
      </c>
    </row>
    <row r="432" spans="1:5" x14ac:dyDescent="0.25">
      <c r="A432" s="20" t="s">
        <v>954</v>
      </c>
      <c r="B432" s="13" t="s">
        <v>438</v>
      </c>
      <c r="C432" s="19">
        <v>140961230</v>
      </c>
      <c r="D432" s="16">
        <v>1573.9123999999999</v>
      </c>
      <c r="E432" s="16">
        <f t="shared" si="6"/>
        <v>89561.039102303286</v>
      </c>
    </row>
    <row r="433" spans="1:5" x14ac:dyDescent="0.25">
      <c r="A433" s="20" t="s">
        <v>955</v>
      </c>
      <c r="B433" s="13" t="s">
        <v>439</v>
      </c>
      <c r="C433" s="19">
        <v>287302520</v>
      </c>
      <c r="D433" s="16">
        <v>736.71559999999999</v>
      </c>
      <c r="E433" s="16">
        <f t="shared" si="6"/>
        <v>389977.51642560575</v>
      </c>
    </row>
    <row r="434" spans="1:5" x14ac:dyDescent="0.25">
      <c r="A434" s="20" t="s">
        <v>956</v>
      </c>
      <c r="B434" s="13" t="s">
        <v>440</v>
      </c>
      <c r="C434" s="19">
        <v>1037313560</v>
      </c>
      <c r="D434" s="16">
        <v>2420.2411000000002</v>
      </c>
      <c r="E434" s="16">
        <f t="shared" si="6"/>
        <v>428599.26641192893</v>
      </c>
    </row>
    <row r="435" spans="1:5" x14ac:dyDescent="0.25">
      <c r="A435" s="20" t="s">
        <v>957</v>
      </c>
      <c r="B435" s="13" t="s">
        <v>441</v>
      </c>
      <c r="C435" s="19">
        <v>154362600</v>
      </c>
      <c r="D435" s="16">
        <v>1399.5144</v>
      </c>
      <c r="E435" s="16">
        <f t="shared" si="6"/>
        <v>110297.25739156382</v>
      </c>
    </row>
    <row r="436" spans="1:5" x14ac:dyDescent="0.25">
      <c r="A436" s="20" t="s">
        <v>958</v>
      </c>
      <c r="B436" s="13" t="s">
        <v>442</v>
      </c>
      <c r="C436" s="19">
        <v>92440290</v>
      </c>
      <c r="D436" s="16">
        <v>2394.8584999999998</v>
      </c>
      <c r="E436" s="16">
        <f t="shared" si="6"/>
        <v>38599.478841860597</v>
      </c>
    </row>
    <row r="437" spans="1:5" x14ac:dyDescent="0.25">
      <c r="A437" s="20" t="s">
        <v>959</v>
      </c>
      <c r="B437" s="13" t="s">
        <v>443</v>
      </c>
      <c r="C437" s="19">
        <v>1508769990</v>
      </c>
      <c r="D437" s="16">
        <v>3861.5686999999998</v>
      </c>
      <c r="E437" s="16">
        <f t="shared" si="6"/>
        <v>390714.26853029965</v>
      </c>
    </row>
    <row r="438" spans="1:5" x14ac:dyDescent="0.25">
      <c r="A438" s="20" t="s">
        <v>960</v>
      </c>
      <c r="B438" s="13" t="s">
        <v>444</v>
      </c>
      <c r="C438" s="19">
        <v>275964420</v>
      </c>
      <c r="D438" s="16">
        <v>1148.4443000000001</v>
      </c>
      <c r="E438" s="16">
        <f t="shared" si="6"/>
        <v>240294.12658498107</v>
      </c>
    </row>
    <row r="439" spans="1:5" x14ac:dyDescent="0.25">
      <c r="A439" s="20" t="s">
        <v>961</v>
      </c>
      <c r="B439" s="13" t="s">
        <v>521</v>
      </c>
      <c r="C439" s="19">
        <v>241087850</v>
      </c>
      <c r="D439" s="16">
        <v>3214.9616000000001</v>
      </c>
      <c r="E439" s="16">
        <f t="shared" si="6"/>
        <v>74989.340463662142</v>
      </c>
    </row>
    <row r="440" spans="1:5" x14ac:dyDescent="0.25">
      <c r="A440" s="20" t="s">
        <v>962</v>
      </c>
      <c r="B440" s="13" t="s">
        <v>445</v>
      </c>
      <c r="C440" s="19">
        <v>521125210</v>
      </c>
      <c r="D440" s="16">
        <v>5809.8186999999998</v>
      </c>
      <c r="E440" s="16">
        <f t="shared" si="6"/>
        <v>89697.32738820232</v>
      </c>
    </row>
    <row r="441" spans="1:5" x14ac:dyDescent="0.25">
      <c r="A441" s="20" t="s">
        <v>963</v>
      </c>
      <c r="B441" s="13" t="s">
        <v>446</v>
      </c>
      <c r="C441" s="19">
        <v>184297230</v>
      </c>
      <c r="D441" s="16">
        <v>5458.0816999999997</v>
      </c>
      <c r="E441" s="16">
        <f t="shared" si="6"/>
        <v>33765.934650630094</v>
      </c>
    </row>
    <row r="442" spans="1:5" x14ac:dyDescent="0.25">
      <c r="A442" s="20" t="s">
        <v>964</v>
      </c>
      <c r="B442" s="13" t="s">
        <v>447</v>
      </c>
      <c r="C442" s="19">
        <v>600174100</v>
      </c>
      <c r="D442" s="16">
        <v>2565.5644000000002</v>
      </c>
      <c r="E442" s="16">
        <f t="shared" si="6"/>
        <v>233934.52918196088</v>
      </c>
    </row>
    <row r="443" spans="1:5" x14ac:dyDescent="0.25">
      <c r="A443" s="20" t="s">
        <v>965</v>
      </c>
      <c r="B443" s="13" t="s">
        <v>448</v>
      </c>
      <c r="C443" s="19">
        <v>161550920</v>
      </c>
      <c r="D443" s="16">
        <v>886.27760000000001</v>
      </c>
      <c r="E443" s="16">
        <f t="shared" si="6"/>
        <v>182280.26974843998</v>
      </c>
    </row>
    <row r="444" spans="1:5" x14ac:dyDescent="0.25">
      <c r="A444" s="20" t="s">
        <v>966</v>
      </c>
      <c r="B444" s="13" t="s">
        <v>449</v>
      </c>
      <c r="C444" s="19">
        <v>735194030</v>
      </c>
      <c r="D444" s="16">
        <v>4220.7979999999998</v>
      </c>
      <c r="E444" s="16">
        <f t="shared" si="6"/>
        <v>174183.65673979186</v>
      </c>
    </row>
    <row r="445" spans="1:5" x14ac:dyDescent="0.25">
      <c r="A445" s="20" t="s">
        <v>967</v>
      </c>
      <c r="B445" s="13" t="s">
        <v>30</v>
      </c>
      <c r="C445" s="19">
        <v>10884090</v>
      </c>
      <c r="D445" s="16">
        <v>56.558500000000002</v>
      </c>
      <c r="E445" s="16">
        <f t="shared" si="6"/>
        <v>192439.50953437592</v>
      </c>
    </row>
    <row r="446" spans="1:5" x14ac:dyDescent="0.25">
      <c r="A446" s="20" t="s">
        <v>968</v>
      </c>
      <c r="B446" s="13" t="s">
        <v>450</v>
      </c>
      <c r="C446" s="19">
        <v>6981950</v>
      </c>
      <c r="D446" s="16">
        <v>64.752600000000001</v>
      </c>
      <c r="E446" s="16">
        <f t="shared" si="6"/>
        <v>107825.01397627276</v>
      </c>
    </row>
    <row r="447" spans="1:5" x14ac:dyDescent="0.25">
      <c r="A447" s="20" t="s">
        <v>969</v>
      </c>
      <c r="B447" s="13" t="s">
        <v>451</v>
      </c>
      <c r="C447" s="19">
        <v>12190390</v>
      </c>
      <c r="D447" s="16">
        <v>64.210700000000003</v>
      </c>
      <c r="E447" s="16">
        <f t="shared" si="6"/>
        <v>189849.82253736525</v>
      </c>
    </row>
    <row r="448" spans="1:5" x14ac:dyDescent="0.25">
      <c r="A448" s="20" t="s">
        <v>970</v>
      </c>
      <c r="B448" s="13" t="s">
        <v>452</v>
      </c>
      <c r="C448" s="19">
        <v>8588003</v>
      </c>
      <c r="D448" s="16">
        <v>73.331900000000005</v>
      </c>
      <c r="E448" s="16">
        <f t="shared" si="6"/>
        <v>117111.42081413409</v>
      </c>
    </row>
    <row r="449" spans="1:5" x14ac:dyDescent="0.25">
      <c r="A449" s="20" t="s">
        <v>971</v>
      </c>
      <c r="B449" s="13" t="s">
        <v>453</v>
      </c>
      <c r="C449" s="19">
        <v>3270041</v>
      </c>
      <c r="D449" s="16">
        <v>37.159199999999998</v>
      </c>
      <c r="E449" s="16">
        <f t="shared" si="6"/>
        <v>88000.845012809747</v>
      </c>
    </row>
    <row r="450" spans="1:5" x14ac:dyDescent="0.25">
      <c r="A450" s="20" t="s">
        <v>972</v>
      </c>
      <c r="B450" s="13" t="s">
        <v>454</v>
      </c>
      <c r="C450" s="19">
        <v>165192805</v>
      </c>
      <c r="D450" s="16">
        <v>2332.2552000000001</v>
      </c>
      <c r="E450" s="16">
        <f t="shared" si="6"/>
        <v>70829.643771402029</v>
      </c>
    </row>
    <row r="451" spans="1:5" x14ac:dyDescent="0.25">
      <c r="A451" s="20" t="s">
        <v>973</v>
      </c>
      <c r="B451" s="13" t="s">
        <v>455</v>
      </c>
      <c r="C451" s="19">
        <v>19619106</v>
      </c>
      <c r="D451" s="16">
        <v>309.91680000000002</v>
      </c>
      <c r="E451" s="16">
        <f t="shared" ref="E451:E514" si="7">C451/D451</f>
        <v>63304.428801536407</v>
      </c>
    </row>
    <row r="452" spans="1:5" x14ac:dyDescent="0.25">
      <c r="A452" s="20" t="s">
        <v>974</v>
      </c>
      <c r="B452" s="13" t="s">
        <v>456</v>
      </c>
      <c r="C452" s="19">
        <v>30488158</v>
      </c>
      <c r="D452" s="16">
        <v>396.39600000000002</v>
      </c>
      <c r="E452" s="16">
        <f t="shared" si="7"/>
        <v>76913.384595202777</v>
      </c>
    </row>
    <row r="453" spans="1:5" x14ac:dyDescent="0.25">
      <c r="A453" s="20" t="s">
        <v>975</v>
      </c>
      <c r="B453" s="13" t="s">
        <v>457</v>
      </c>
      <c r="C453" s="19">
        <v>42354530</v>
      </c>
      <c r="D453" s="16">
        <v>563.29160000000002</v>
      </c>
      <c r="E453" s="16">
        <f t="shared" si="7"/>
        <v>75191.126585235776</v>
      </c>
    </row>
    <row r="454" spans="1:5" x14ac:dyDescent="0.25">
      <c r="A454" s="20" t="s">
        <v>976</v>
      </c>
      <c r="B454" s="13" t="s">
        <v>458</v>
      </c>
      <c r="C454" s="19">
        <v>64338065</v>
      </c>
      <c r="D454" s="16">
        <v>578.64059999999995</v>
      </c>
      <c r="E454" s="16">
        <f t="shared" si="7"/>
        <v>111188.30064810524</v>
      </c>
    </row>
    <row r="455" spans="1:5" x14ac:dyDescent="0.25">
      <c r="A455" s="20" t="s">
        <v>977</v>
      </c>
      <c r="B455" s="13" t="s">
        <v>459</v>
      </c>
      <c r="C455" s="19">
        <v>58936120</v>
      </c>
      <c r="D455" s="16">
        <v>803.41129999999998</v>
      </c>
      <c r="E455" s="16">
        <f t="shared" si="7"/>
        <v>73357.345110779497</v>
      </c>
    </row>
    <row r="456" spans="1:5" x14ac:dyDescent="0.25">
      <c r="A456" s="20" t="s">
        <v>978</v>
      </c>
      <c r="B456" s="13" t="s">
        <v>460</v>
      </c>
      <c r="C456" s="19">
        <v>24545650</v>
      </c>
      <c r="D456" s="16">
        <v>626.2088</v>
      </c>
      <c r="E456" s="16">
        <f t="shared" si="7"/>
        <v>39197.229422518496</v>
      </c>
    </row>
    <row r="457" spans="1:5" x14ac:dyDescent="0.25">
      <c r="A457" s="20" t="s">
        <v>979</v>
      </c>
      <c r="B457" s="13" t="s">
        <v>461</v>
      </c>
      <c r="C457" s="19">
        <v>61548430</v>
      </c>
      <c r="D457" s="16">
        <v>939.34950000000003</v>
      </c>
      <c r="E457" s="16">
        <f t="shared" si="7"/>
        <v>65522.396083672793</v>
      </c>
    </row>
    <row r="458" spans="1:5" x14ac:dyDescent="0.25">
      <c r="A458" s="20" t="s">
        <v>980</v>
      </c>
      <c r="B458" s="13" t="s">
        <v>462</v>
      </c>
      <c r="C458" s="19">
        <v>17139990</v>
      </c>
      <c r="D458" s="16">
        <v>303.7396</v>
      </c>
      <c r="E458" s="16">
        <f t="shared" si="7"/>
        <v>56429.882702156719</v>
      </c>
    </row>
    <row r="459" spans="1:5" x14ac:dyDescent="0.25">
      <c r="A459" s="20" t="s">
        <v>981</v>
      </c>
      <c r="B459" s="13" t="s">
        <v>463</v>
      </c>
      <c r="C459" s="19">
        <v>250399404</v>
      </c>
      <c r="D459" s="16">
        <v>3138.8672000000001</v>
      </c>
      <c r="E459" s="16">
        <f t="shared" si="7"/>
        <v>79773.81266719407</v>
      </c>
    </row>
    <row r="460" spans="1:5" x14ac:dyDescent="0.25">
      <c r="A460" s="20" t="s">
        <v>982</v>
      </c>
      <c r="B460" s="13" t="s">
        <v>464</v>
      </c>
      <c r="C460" s="19">
        <v>26179100</v>
      </c>
      <c r="D460" s="16">
        <v>129.92699999999999</v>
      </c>
      <c r="E460" s="16">
        <f t="shared" si="7"/>
        <v>201490.83716240659</v>
      </c>
    </row>
    <row r="461" spans="1:5" x14ac:dyDescent="0.25">
      <c r="A461" s="20" t="s">
        <v>983</v>
      </c>
      <c r="B461" s="13" t="s">
        <v>465</v>
      </c>
      <c r="C461" s="19">
        <v>21702910</v>
      </c>
      <c r="D461" s="16">
        <v>342.38990000000001</v>
      </c>
      <c r="E461" s="16">
        <f t="shared" si="7"/>
        <v>63386.536810811296</v>
      </c>
    </row>
    <row r="462" spans="1:5" x14ac:dyDescent="0.25">
      <c r="A462" s="20" t="s">
        <v>984</v>
      </c>
      <c r="B462" s="13" t="s">
        <v>466</v>
      </c>
      <c r="C462" s="19">
        <v>17916261</v>
      </c>
      <c r="D462" s="16">
        <v>453.89659999999998</v>
      </c>
      <c r="E462" s="16">
        <f t="shared" si="7"/>
        <v>39472.119861660125</v>
      </c>
    </row>
    <row r="463" spans="1:5" x14ac:dyDescent="0.25">
      <c r="A463" s="20" t="s">
        <v>985</v>
      </c>
      <c r="B463" s="13" t="s">
        <v>467</v>
      </c>
      <c r="C463" s="19">
        <v>21458970</v>
      </c>
      <c r="D463" s="16">
        <v>261.48039999999997</v>
      </c>
      <c r="E463" s="16">
        <f t="shared" si="7"/>
        <v>82067.221864430379</v>
      </c>
    </row>
    <row r="464" spans="1:5" x14ac:dyDescent="0.25">
      <c r="A464" s="20" t="s">
        <v>986</v>
      </c>
      <c r="B464" s="13" t="s">
        <v>468</v>
      </c>
      <c r="C464" s="19">
        <v>34827316</v>
      </c>
      <c r="D464" s="16">
        <v>268.12479999999999</v>
      </c>
      <c r="E464" s="16">
        <f t="shared" si="7"/>
        <v>129892.18453496283</v>
      </c>
    </row>
    <row r="465" spans="1:5" x14ac:dyDescent="0.25">
      <c r="A465" s="20" t="s">
        <v>987</v>
      </c>
      <c r="B465" s="13" t="s">
        <v>469</v>
      </c>
      <c r="C465" s="19">
        <v>61150017</v>
      </c>
      <c r="D465" s="16">
        <v>699.01880000000006</v>
      </c>
      <c r="E465" s="16">
        <f t="shared" si="7"/>
        <v>87479.788812546947</v>
      </c>
    </row>
    <row r="466" spans="1:5" x14ac:dyDescent="0.25">
      <c r="A466" s="20" t="s">
        <v>988</v>
      </c>
      <c r="B466" s="13" t="s">
        <v>470</v>
      </c>
      <c r="C466" s="19">
        <v>27996297</v>
      </c>
      <c r="D466" s="16">
        <v>246.0318</v>
      </c>
      <c r="E466" s="16">
        <f t="shared" si="7"/>
        <v>113791.37574898855</v>
      </c>
    </row>
    <row r="467" spans="1:5" x14ac:dyDescent="0.25">
      <c r="A467" s="20" t="s">
        <v>989</v>
      </c>
      <c r="B467" s="13" t="s">
        <v>471</v>
      </c>
      <c r="C467" s="19">
        <v>34076441</v>
      </c>
      <c r="D467" s="16">
        <v>214.00290000000001</v>
      </c>
      <c r="E467" s="16">
        <f t="shared" si="7"/>
        <v>159233.54776967975</v>
      </c>
    </row>
    <row r="468" spans="1:5" x14ac:dyDescent="0.25">
      <c r="A468" s="20" t="s">
        <v>990</v>
      </c>
      <c r="B468" s="13" t="s">
        <v>472</v>
      </c>
      <c r="C468" s="19">
        <v>32574162</v>
      </c>
      <c r="D468" s="16">
        <v>424.99630000000002</v>
      </c>
      <c r="E468" s="16">
        <f t="shared" si="7"/>
        <v>76645.754327743562</v>
      </c>
    </row>
    <row r="469" spans="1:5" x14ac:dyDescent="0.25">
      <c r="A469" s="20" t="s">
        <v>991</v>
      </c>
      <c r="B469" s="13" t="s">
        <v>473</v>
      </c>
      <c r="C469" s="19">
        <v>44926816</v>
      </c>
      <c r="D469" s="16">
        <v>829.37630000000001</v>
      </c>
      <c r="E469" s="16">
        <f t="shared" si="7"/>
        <v>54169.399342614444</v>
      </c>
    </row>
    <row r="470" spans="1:5" x14ac:dyDescent="0.25">
      <c r="A470" s="20" t="s">
        <v>992</v>
      </c>
      <c r="B470" s="13" t="s">
        <v>474</v>
      </c>
      <c r="C470" s="19">
        <v>48603322</v>
      </c>
      <c r="D470" s="16">
        <v>659.62289999999996</v>
      </c>
      <c r="E470" s="16">
        <f t="shared" si="7"/>
        <v>73683.49704050603</v>
      </c>
    </row>
    <row r="471" spans="1:5" x14ac:dyDescent="0.25">
      <c r="A471" s="20" t="s">
        <v>993</v>
      </c>
      <c r="B471" s="13" t="s">
        <v>475</v>
      </c>
      <c r="C471" s="19">
        <v>178303427</v>
      </c>
      <c r="D471" s="16">
        <v>1977.9331999999999</v>
      </c>
      <c r="E471" s="16">
        <f t="shared" si="7"/>
        <v>90146.334062242342</v>
      </c>
    </row>
    <row r="472" spans="1:5" x14ac:dyDescent="0.25">
      <c r="A472" s="20" t="s">
        <v>994</v>
      </c>
      <c r="B472" s="13" t="s">
        <v>476</v>
      </c>
      <c r="C472" s="19">
        <v>35749348</v>
      </c>
      <c r="D472" s="16">
        <v>506.56279999999998</v>
      </c>
      <c r="E472" s="16">
        <f t="shared" si="7"/>
        <v>70572.391024370518</v>
      </c>
    </row>
    <row r="473" spans="1:5" x14ac:dyDescent="0.25">
      <c r="A473" s="20" t="s">
        <v>995</v>
      </c>
      <c r="B473" s="13" t="s">
        <v>477</v>
      </c>
      <c r="C473" s="19">
        <v>11640013</v>
      </c>
      <c r="D473" s="16">
        <v>250.3212</v>
      </c>
      <c r="E473" s="16">
        <f t="shared" si="7"/>
        <v>46500.308403762843</v>
      </c>
    </row>
    <row r="474" spans="1:5" x14ac:dyDescent="0.25">
      <c r="A474" s="20" t="s">
        <v>996</v>
      </c>
      <c r="B474" s="13" t="s">
        <v>478</v>
      </c>
      <c r="C474" s="19">
        <v>31675766</v>
      </c>
      <c r="D474" s="16">
        <v>460.87150000000003</v>
      </c>
      <c r="E474" s="16">
        <f t="shared" si="7"/>
        <v>68730.147123438961</v>
      </c>
    </row>
    <row r="475" spans="1:5" x14ac:dyDescent="0.25">
      <c r="A475" s="20" t="s">
        <v>997</v>
      </c>
      <c r="B475" s="13" t="s">
        <v>479</v>
      </c>
      <c r="C475" s="19">
        <v>26951209</v>
      </c>
      <c r="D475" s="16">
        <v>622.73180000000002</v>
      </c>
      <c r="E475" s="16">
        <f t="shared" si="7"/>
        <v>43278.999081145368</v>
      </c>
    </row>
    <row r="476" spans="1:5" x14ac:dyDescent="0.25">
      <c r="A476" s="20" t="s">
        <v>998</v>
      </c>
      <c r="B476" s="13" t="s">
        <v>480</v>
      </c>
      <c r="C476" s="19">
        <v>363762518</v>
      </c>
      <c r="D476" s="16">
        <v>1699.7765999999999</v>
      </c>
      <c r="E476" s="16">
        <f t="shared" si="7"/>
        <v>214006.07468063745</v>
      </c>
    </row>
    <row r="477" spans="1:5" x14ac:dyDescent="0.25">
      <c r="A477" s="20" t="s">
        <v>999</v>
      </c>
      <c r="B477" s="13" t="s">
        <v>481</v>
      </c>
      <c r="C477" s="19">
        <v>112469950</v>
      </c>
      <c r="D477" s="16">
        <v>516.29939999999999</v>
      </c>
      <c r="E477" s="16">
        <f t="shared" si="7"/>
        <v>217838.62231875537</v>
      </c>
    </row>
    <row r="478" spans="1:5" x14ac:dyDescent="0.25">
      <c r="A478" s="20" t="s">
        <v>1000</v>
      </c>
      <c r="B478" s="13" t="s">
        <v>482</v>
      </c>
      <c r="C478" s="19">
        <v>24498267</v>
      </c>
      <c r="D478" s="16">
        <v>250.2021</v>
      </c>
      <c r="E478" s="16">
        <f t="shared" si="7"/>
        <v>97913.914391605824</v>
      </c>
    </row>
    <row r="479" spans="1:5" x14ac:dyDescent="0.25">
      <c r="A479" s="20" t="s">
        <v>1001</v>
      </c>
      <c r="B479" s="13" t="s">
        <v>483</v>
      </c>
      <c r="C479" s="19">
        <v>43709836</v>
      </c>
      <c r="D479" s="16">
        <v>658.18349999999998</v>
      </c>
      <c r="E479" s="16">
        <f t="shared" si="7"/>
        <v>66409.802129649252</v>
      </c>
    </row>
    <row r="480" spans="1:5" x14ac:dyDescent="0.25">
      <c r="A480" s="20" t="s">
        <v>1002</v>
      </c>
      <c r="B480" s="13" t="s">
        <v>484</v>
      </c>
      <c r="C480" s="19">
        <v>10679406</v>
      </c>
      <c r="D480" s="16">
        <v>80.459000000000003</v>
      </c>
      <c r="E480" s="16">
        <f t="shared" si="7"/>
        <v>132731.03071129395</v>
      </c>
    </row>
    <row r="481" spans="1:5" x14ac:dyDescent="0.25">
      <c r="A481" s="20" t="s">
        <v>1003</v>
      </c>
      <c r="B481" s="13" t="s">
        <v>485</v>
      </c>
      <c r="C481" s="19">
        <v>8381378</v>
      </c>
      <c r="D481" s="16">
        <v>178.80670000000001</v>
      </c>
      <c r="E481" s="16">
        <f t="shared" si="7"/>
        <v>46873.959420983665</v>
      </c>
    </row>
    <row r="482" spans="1:5" x14ac:dyDescent="0.25">
      <c r="A482" s="20" t="s">
        <v>1004</v>
      </c>
      <c r="B482" s="13" t="s">
        <v>486</v>
      </c>
      <c r="C482" s="19">
        <v>11500345</v>
      </c>
      <c r="D482" s="16">
        <v>230.97620000000001</v>
      </c>
      <c r="E482" s="16">
        <f t="shared" si="7"/>
        <v>49790.173186674641</v>
      </c>
    </row>
    <row r="483" spans="1:5" x14ac:dyDescent="0.25">
      <c r="A483" s="20" t="s">
        <v>1005</v>
      </c>
      <c r="B483" s="13" t="s">
        <v>487</v>
      </c>
      <c r="C483" s="19">
        <v>76969040</v>
      </c>
      <c r="D483" s="16">
        <v>1076.0178000000001</v>
      </c>
      <c r="E483" s="16">
        <f t="shared" si="7"/>
        <v>71531.381729930479</v>
      </c>
    </row>
    <row r="484" spans="1:5" x14ac:dyDescent="0.25">
      <c r="A484" s="20" t="s">
        <v>1006</v>
      </c>
      <c r="B484" s="13" t="s">
        <v>488</v>
      </c>
      <c r="C484" s="19">
        <v>630116850</v>
      </c>
      <c r="D484" s="16">
        <v>4377.2847000000002</v>
      </c>
      <c r="E484" s="16">
        <f t="shared" si="7"/>
        <v>143951.53461231344</v>
      </c>
    </row>
    <row r="485" spans="1:5" x14ac:dyDescent="0.25">
      <c r="A485" s="20" t="s">
        <v>1007</v>
      </c>
      <c r="B485" s="13" t="s">
        <v>489</v>
      </c>
      <c r="C485" s="19">
        <v>195424941</v>
      </c>
      <c r="D485" s="16">
        <v>1265.3708999999999</v>
      </c>
      <c r="E485" s="16">
        <f t="shared" si="7"/>
        <v>154440.83706998479</v>
      </c>
    </row>
    <row r="486" spans="1:5" x14ac:dyDescent="0.25">
      <c r="A486" s="20" t="s">
        <v>1008</v>
      </c>
      <c r="B486" s="13" t="s">
        <v>490</v>
      </c>
      <c r="C486" s="19">
        <v>37361064</v>
      </c>
      <c r="D486" s="16">
        <v>387.12479999999999</v>
      </c>
      <c r="E486" s="16">
        <f t="shared" si="7"/>
        <v>96509.094741540714</v>
      </c>
    </row>
    <row r="487" spans="1:5" x14ac:dyDescent="0.25">
      <c r="A487" s="20" t="s">
        <v>1009</v>
      </c>
      <c r="B487" s="13" t="s">
        <v>491</v>
      </c>
      <c r="C487" s="19">
        <v>6884877</v>
      </c>
      <c r="D487" s="16">
        <v>55.254199999999997</v>
      </c>
      <c r="E487" s="16">
        <f t="shared" si="7"/>
        <v>124603.68623561648</v>
      </c>
    </row>
    <row r="488" spans="1:5" x14ac:dyDescent="0.25">
      <c r="A488" s="20" t="s">
        <v>1010</v>
      </c>
      <c r="B488" s="13" t="s">
        <v>492</v>
      </c>
      <c r="C488" s="19">
        <v>8264906</v>
      </c>
      <c r="D488" s="16">
        <v>130.99109999999999</v>
      </c>
      <c r="E488" s="16">
        <f t="shared" si="7"/>
        <v>63095.172114746732</v>
      </c>
    </row>
    <row r="489" spans="1:5" x14ac:dyDescent="0.25">
      <c r="A489" s="20" t="s">
        <v>1011</v>
      </c>
      <c r="B489" s="13" t="s">
        <v>493</v>
      </c>
      <c r="C489" s="19">
        <v>56609939</v>
      </c>
      <c r="D489" s="16">
        <v>916.40440000000001</v>
      </c>
      <c r="E489" s="16">
        <f t="shared" si="7"/>
        <v>61773.971185646857</v>
      </c>
    </row>
    <row r="490" spans="1:5" x14ac:dyDescent="0.25">
      <c r="A490" s="20" t="s">
        <v>1012</v>
      </c>
      <c r="B490" s="13" t="s">
        <v>494</v>
      </c>
      <c r="C490" s="19">
        <v>28283615</v>
      </c>
      <c r="D490" s="16">
        <v>398.33199999999999</v>
      </c>
      <c r="E490" s="16">
        <f t="shared" si="7"/>
        <v>71005.128887460713</v>
      </c>
    </row>
    <row r="491" spans="1:5" x14ac:dyDescent="0.25">
      <c r="A491" s="20" t="s">
        <v>1013</v>
      </c>
      <c r="B491" s="13" t="s">
        <v>495</v>
      </c>
      <c r="C491" s="19">
        <v>39313459</v>
      </c>
      <c r="D491" s="16">
        <v>780.77070000000003</v>
      </c>
      <c r="E491" s="16">
        <f t="shared" si="7"/>
        <v>50352.118746259301</v>
      </c>
    </row>
    <row r="492" spans="1:5" x14ac:dyDescent="0.25">
      <c r="A492" s="20" t="s">
        <v>1014</v>
      </c>
      <c r="B492" s="13" t="s">
        <v>496</v>
      </c>
      <c r="C492" s="19">
        <v>46071099</v>
      </c>
      <c r="D492" s="16">
        <v>731.09479999999996</v>
      </c>
      <c r="E492" s="16">
        <f t="shared" si="7"/>
        <v>63016.586905008764</v>
      </c>
    </row>
    <row r="493" spans="1:5" x14ac:dyDescent="0.25">
      <c r="A493" s="20" t="s">
        <v>1015</v>
      </c>
      <c r="B493" s="13" t="s">
        <v>497</v>
      </c>
      <c r="C493" s="19">
        <v>33150646</v>
      </c>
      <c r="D493" s="16">
        <v>550.38059999999996</v>
      </c>
      <c r="E493" s="16">
        <f t="shared" si="7"/>
        <v>60232.221121165974</v>
      </c>
    </row>
    <row r="494" spans="1:5" x14ac:dyDescent="0.25">
      <c r="A494" s="20" t="s">
        <v>1016</v>
      </c>
      <c r="B494" s="13" t="s">
        <v>498</v>
      </c>
      <c r="C494" s="19">
        <v>9194478</v>
      </c>
      <c r="D494" s="16">
        <v>191.37639999999999</v>
      </c>
      <c r="E494" s="16">
        <f t="shared" si="7"/>
        <v>48043.948992665762</v>
      </c>
    </row>
    <row r="495" spans="1:5" x14ac:dyDescent="0.25">
      <c r="A495" s="20" t="s">
        <v>1017</v>
      </c>
      <c r="B495" s="13" t="s">
        <v>499</v>
      </c>
      <c r="C495" s="19">
        <v>172708833</v>
      </c>
      <c r="D495" s="16">
        <v>2339.2660000000001</v>
      </c>
      <c r="E495" s="16">
        <f t="shared" si="7"/>
        <v>73830.352341289952</v>
      </c>
    </row>
    <row r="496" spans="1:5" x14ac:dyDescent="0.25">
      <c r="A496" s="20" t="s">
        <v>1018</v>
      </c>
      <c r="B496" s="13" t="s">
        <v>500</v>
      </c>
      <c r="C496" s="19">
        <v>13164578</v>
      </c>
      <c r="D496" s="16">
        <v>154.17590000000001</v>
      </c>
      <c r="E496" s="16">
        <f t="shared" si="7"/>
        <v>85386.743323697141</v>
      </c>
    </row>
    <row r="497" spans="1:5" x14ac:dyDescent="0.25">
      <c r="A497" s="20" t="s">
        <v>1019</v>
      </c>
      <c r="B497" s="13" t="s">
        <v>501</v>
      </c>
      <c r="C497" s="19">
        <v>11392953</v>
      </c>
      <c r="D497" s="16">
        <v>182.9665</v>
      </c>
      <c r="E497" s="16">
        <f t="shared" si="7"/>
        <v>62267.972552352483</v>
      </c>
    </row>
    <row r="498" spans="1:5" x14ac:dyDescent="0.25">
      <c r="A498" s="20" t="s">
        <v>1020</v>
      </c>
      <c r="B498" s="13" t="s">
        <v>502</v>
      </c>
      <c r="C498" s="19">
        <v>18577859</v>
      </c>
      <c r="D498" s="16">
        <v>193.7251</v>
      </c>
      <c r="E498" s="16">
        <f t="shared" si="7"/>
        <v>95898.048316919187</v>
      </c>
    </row>
    <row r="499" spans="1:5" x14ac:dyDescent="0.25">
      <c r="A499" s="20" t="s">
        <v>1021</v>
      </c>
      <c r="B499" s="13" t="s">
        <v>522</v>
      </c>
      <c r="C499" s="19">
        <v>182631578</v>
      </c>
      <c r="D499" s="16">
        <v>1519.25</v>
      </c>
      <c r="E499" s="16">
        <f t="shared" si="7"/>
        <v>120211.66891558334</v>
      </c>
    </row>
    <row r="500" spans="1:5" x14ac:dyDescent="0.25">
      <c r="A500" s="20" t="s">
        <v>1022</v>
      </c>
      <c r="B500" s="13" t="s">
        <v>503</v>
      </c>
      <c r="C500" s="19">
        <v>267637410</v>
      </c>
      <c r="D500" s="16">
        <v>3088.7334999999998</v>
      </c>
      <c r="E500" s="16">
        <f t="shared" si="7"/>
        <v>86649.56364801302</v>
      </c>
    </row>
    <row r="501" spans="1:5" x14ac:dyDescent="0.25">
      <c r="A501" s="20" t="s">
        <v>1023</v>
      </c>
      <c r="B501" s="13" t="s">
        <v>504</v>
      </c>
      <c r="C501" s="19">
        <v>29379813</v>
      </c>
      <c r="D501" s="16">
        <v>759.74639999999999</v>
      </c>
      <c r="E501" s="16">
        <f t="shared" si="7"/>
        <v>38670.552436971077</v>
      </c>
    </row>
    <row r="502" spans="1:5" x14ac:dyDescent="0.25">
      <c r="A502" s="20" t="s">
        <v>1024</v>
      </c>
      <c r="B502" s="13" t="s">
        <v>505</v>
      </c>
      <c r="C502" s="19">
        <v>84759022</v>
      </c>
      <c r="D502" s="16">
        <v>2154.5722999999998</v>
      </c>
      <c r="E502" s="16">
        <f t="shared" si="7"/>
        <v>39339.140301766623</v>
      </c>
    </row>
    <row r="503" spans="1:5" x14ac:dyDescent="0.25">
      <c r="A503" s="20" t="s">
        <v>1025</v>
      </c>
      <c r="B503" s="13" t="s">
        <v>506</v>
      </c>
      <c r="C503" s="19">
        <v>12827290</v>
      </c>
      <c r="D503" s="16">
        <v>208.81460000000001</v>
      </c>
      <c r="E503" s="16">
        <f t="shared" si="7"/>
        <v>61429.085897250479</v>
      </c>
    </row>
    <row r="504" spans="1:5" x14ac:dyDescent="0.25">
      <c r="A504" s="20" t="s">
        <v>1026</v>
      </c>
      <c r="B504" s="13" t="s">
        <v>507</v>
      </c>
      <c r="C504" s="19">
        <v>23632273</v>
      </c>
      <c r="D504" s="16">
        <v>355.71510000000001</v>
      </c>
      <c r="E504" s="16">
        <f t="shared" si="7"/>
        <v>66435.956753030725</v>
      </c>
    </row>
    <row r="505" spans="1:5" x14ac:dyDescent="0.25">
      <c r="A505" s="20" t="s">
        <v>1027</v>
      </c>
      <c r="B505" s="13" t="s">
        <v>508</v>
      </c>
      <c r="C505" s="19">
        <v>43103819</v>
      </c>
      <c r="D505" s="16">
        <v>744.70259999999996</v>
      </c>
      <c r="E505" s="16">
        <f t="shared" si="7"/>
        <v>57880.580784866339</v>
      </c>
    </row>
    <row r="506" spans="1:5" x14ac:dyDescent="0.25">
      <c r="A506" s="20" t="s">
        <v>1028</v>
      </c>
      <c r="B506" s="13" t="s">
        <v>509</v>
      </c>
      <c r="C506" s="19">
        <v>65888018</v>
      </c>
      <c r="D506" s="16">
        <v>927.15020000000004</v>
      </c>
      <c r="E506" s="16">
        <f t="shared" si="7"/>
        <v>71065.096032983653</v>
      </c>
    </row>
    <row r="507" spans="1:5" x14ac:dyDescent="0.25">
      <c r="A507" s="20" t="s">
        <v>1029</v>
      </c>
      <c r="B507" s="13" t="s">
        <v>510</v>
      </c>
      <c r="C507" s="19">
        <v>15197310</v>
      </c>
      <c r="D507" s="16">
        <v>245.55269999999999</v>
      </c>
      <c r="E507" s="16">
        <f t="shared" si="7"/>
        <v>61890.21745637495</v>
      </c>
    </row>
    <row r="508" spans="1:5" x14ac:dyDescent="0.25">
      <c r="A508" s="20" t="s">
        <v>1030</v>
      </c>
      <c r="B508" s="13" t="s">
        <v>511</v>
      </c>
      <c r="C508" s="19">
        <v>32158738</v>
      </c>
      <c r="D508" s="16">
        <v>541.53070000000002</v>
      </c>
      <c r="E508" s="16">
        <f t="shared" si="7"/>
        <v>59384.884365743252</v>
      </c>
    </row>
    <row r="509" spans="1:5" x14ac:dyDescent="0.25">
      <c r="A509" s="20" t="s">
        <v>1031</v>
      </c>
      <c r="B509" s="13" t="s">
        <v>512</v>
      </c>
      <c r="C509" s="19">
        <v>186265916</v>
      </c>
      <c r="D509" s="16">
        <v>2841.8117999999999</v>
      </c>
      <c r="E509" s="16">
        <f t="shared" si="7"/>
        <v>65544.775343673362</v>
      </c>
    </row>
    <row r="510" spans="1:5" x14ac:dyDescent="0.25">
      <c r="A510" s="20" t="s">
        <v>1032</v>
      </c>
      <c r="B510" s="13" t="s">
        <v>513</v>
      </c>
      <c r="C510" s="19">
        <v>46794500</v>
      </c>
      <c r="D510" s="16">
        <v>708.37810000000002</v>
      </c>
      <c r="E510" s="16">
        <f t="shared" si="7"/>
        <v>66058.648622818801</v>
      </c>
    </row>
    <row r="511" spans="1:5" x14ac:dyDescent="0.25">
      <c r="A511" s="20" t="s">
        <v>1033</v>
      </c>
      <c r="B511" s="13" t="s">
        <v>514</v>
      </c>
      <c r="C511" s="19">
        <v>28032450</v>
      </c>
      <c r="D511" s="16">
        <v>306.01190000000003</v>
      </c>
      <c r="E511" s="16">
        <f t="shared" si="7"/>
        <v>91605.751279607095</v>
      </c>
    </row>
    <row r="512" spans="1:5" x14ac:dyDescent="0.25">
      <c r="A512" s="20" t="s">
        <v>1034</v>
      </c>
      <c r="B512" s="13" t="s">
        <v>515</v>
      </c>
      <c r="C512" s="19">
        <v>19400421</v>
      </c>
      <c r="D512" s="16">
        <v>359.36259999999999</v>
      </c>
      <c r="E512" s="16">
        <f t="shared" si="7"/>
        <v>53985.642913313743</v>
      </c>
    </row>
    <row r="513" spans="1:5" x14ac:dyDescent="0.25">
      <c r="A513" s="20" t="s">
        <v>1035</v>
      </c>
      <c r="B513" s="13" t="s">
        <v>516</v>
      </c>
      <c r="C513" s="19">
        <v>36879228</v>
      </c>
      <c r="D513" s="16">
        <v>678.64440000000002</v>
      </c>
      <c r="E513" s="16">
        <f t="shared" si="7"/>
        <v>54342.49217999883</v>
      </c>
    </row>
    <row r="514" spans="1:5" x14ac:dyDescent="0.25">
      <c r="A514" s="20" t="s">
        <v>1036</v>
      </c>
      <c r="B514" s="13" t="s">
        <v>517</v>
      </c>
      <c r="C514" s="19">
        <v>91694658</v>
      </c>
      <c r="D514" s="16">
        <v>1379.3598</v>
      </c>
      <c r="E514" s="16">
        <f t="shared" si="7"/>
        <v>66476.243544287718</v>
      </c>
    </row>
    <row r="515" spans="1:5" x14ac:dyDescent="0.25">
      <c r="A515" s="20" t="s">
        <v>1037</v>
      </c>
      <c r="B515" s="13" t="s">
        <v>518</v>
      </c>
      <c r="C515" s="19">
        <v>36360903</v>
      </c>
      <c r="D515" s="16">
        <v>673.1404</v>
      </c>
      <c r="E515" s="16">
        <f>C515/D515</f>
        <v>54016.818779559209</v>
      </c>
    </row>
    <row r="516" spans="1:5" x14ac:dyDescent="0.25">
      <c r="A516" s="20" t="s">
        <v>1038</v>
      </c>
      <c r="B516" s="13" t="s">
        <v>519</v>
      </c>
      <c r="C516" s="19">
        <v>5075714</v>
      </c>
      <c r="D516" s="16">
        <v>67.679100000000005</v>
      </c>
      <c r="E516" s="16">
        <f>C516/D516</f>
        <v>74996.771529172227</v>
      </c>
    </row>
    <row r="517" spans="1:5" x14ac:dyDescent="0.25">
      <c r="A517" s="20" t="s">
        <v>1039</v>
      </c>
      <c r="B517" s="13" t="s">
        <v>1589</v>
      </c>
      <c r="C517" s="19">
        <v>4273669654</v>
      </c>
      <c r="D517" s="16">
        <v>31532.475299999998</v>
      </c>
      <c r="E517" s="16">
        <f>C517/D517</f>
        <v>135532.32384518828</v>
      </c>
    </row>
    <row r="518" spans="1:5" x14ac:dyDescent="0.25">
      <c r="A518" s="11"/>
      <c r="D518" s="12"/>
    </row>
    <row r="519" spans="1:5" ht="15.75" thickBot="1" x14ac:dyDescent="0.3">
      <c r="A519" s="11" t="s">
        <v>3</v>
      </c>
      <c r="B519" s="13"/>
      <c r="D519" s="4"/>
      <c r="E519" s="5">
        <f>AVERAGE(E2:E517)</f>
        <v>97411.758588376295</v>
      </c>
    </row>
    <row r="520" spans="1:5" s="13" customFormat="1" ht="15.75" thickTop="1" x14ac:dyDescent="0.25">
      <c r="A520" s="11"/>
      <c r="C520" s="22"/>
      <c r="D520" s="18"/>
      <c r="E520" s="23"/>
    </row>
    <row r="521" spans="1:5" x14ac:dyDescent="0.25">
      <c r="A521" s="11" t="s">
        <v>4</v>
      </c>
    </row>
    <row r="522" spans="1:5" x14ac:dyDescent="0.25">
      <c r="A522" s="11" t="s">
        <v>5</v>
      </c>
    </row>
    <row r="523" spans="1:5" x14ac:dyDescent="0.25">
      <c r="A523" s="11"/>
    </row>
    <row r="524" spans="1:5" x14ac:dyDescent="0.25">
      <c r="A524" s="11" t="s">
        <v>6</v>
      </c>
    </row>
    <row r="525" spans="1:5" x14ac:dyDescent="0.25">
      <c r="A525" s="11" t="s">
        <v>7</v>
      </c>
    </row>
    <row r="526" spans="1:5" x14ac:dyDescent="0.25">
      <c r="A526" s="11"/>
    </row>
    <row r="527" spans="1:5" x14ac:dyDescent="0.25">
      <c r="A527" s="11" t="s">
        <v>1041</v>
      </c>
    </row>
    <row r="528" spans="1:5" x14ac:dyDescent="0.25">
      <c r="A528" s="11"/>
    </row>
  </sheetData>
  <pageMargins left="0.7" right="0.7" top="1.15625" bottom="0.75" header="0.3" footer="0.3"/>
  <pageSetup orientation="portrait" r:id="rId1"/>
  <headerFooter>
    <oddHeader xml:space="preserve">&amp;C&amp;"-,Bold"Missouri Department of Elementary and Secondary Education
School Finance 
Assessed Valuation per ADA for 2015-2016
</oddHeader>
    <oddFooter>&amp;LDecember 11, 2018&amp;R&amp;P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529"/>
  <sheetViews>
    <sheetView view="pageLayout" zoomScaleNormal="100" workbookViewId="0">
      <selection activeCell="D6" sqref="D6"/>
    </sheetView>
  </sheetViews>
  <sheetFormatPr defaultColWidth="8.85546875" defaultRowHeight="15" x14ac:dyDescent="0.25"/>
  <cols>
    <col min="1" max="1" width="9.140625" style="15" customWidth="1"/>
    <col min="2" max="2" width="28.85546875" style="13" bestFit="1" customWidth="1"/>
    <col min="3" max="3" width="16.28515625" style="17" bestFit="1" customWidth="1"/>
    <col min="4" max="4" width="12.140625" style="14" bestFit="1" customWidth="1"/>
    <col min="5" max="5" width="15.42578125" style="16" customWidth="1"/>
    <col min="6" max="16384" width="8.85546875" style="13"/>
  </cols>
  <sheetData>
    <row r="1" spans="1:5" s="1" customFormat="1" ht="45.75" thickBot="1" x14ac:dyDescent="0.3">
      <c r="A1" s="6" t="s">
        <v>0</v>
      </c>
      <c r="B1" s="7" t="s">
        <v>1</v>
      </c>
      <c r="C1" s="8" t="s">
        <v>1042</v>
      </c>
      <c r="D1" s="9" t="s">
        <v>1590</v>
      </c>
      <c r="E1" s="10" t="s">
        <v>2</v>
      </c>
    </row>
    <row r="2" spans="1:5" x14ac:dyDescent="0.25">
      <c r="A2" s="20">
        <v>1090</v>
      </c>
      <c r="B2" s="13" t="s">
        <v>8</v>
      </c>
      <c r="C2" s="19">
        <v>15067725</v>
      </c>
      <c r="D2" s="16">
        <v>253.19280000000001</v>
      </c>
      <c r="E2" s="16">
        <f>C2/D2</f>
        <v>59510.874716816594</v>
      </c>
    </row>
    <row r="3" spans="1:5" x14ac:dyDescent="0.25">
      <c r="A3" s="20">
        <v>1091</v>
      </c>
      <c r="B3" s="13" t="s">
        <v>9</v>
      </c>
      <c r="C3" s="19">
        <v>208660927</v>
      </c>
      <c r="D3" s="16">
        <v>2245.2343000000001</v>
      </c>
      <c r="E3" s="16">
        <f t="shared" ref="E3:E66" si="0">C3/D3</f>
        <v>92935.03444161707</v>
      </c>
    </row>
    <row r="4" spans="1:5" x14ac:dyDescent="0.25">
      <c r="A4" s="20">
        <v>1092</v>
      </c>
      <c r="B4" s="13" t="s">
        <v>10</v>
      </c>
      <c r="C4" s="19">
        <v>13812905</v>
      </c>
      <c r="D4" s="16">
        <v>172.0694</v>
      </c>
      <c r="E4" s="16">
        <f t="shared" si="0"/>
        <v>80275.19710070471</v>
      </c>
    </row>
    <row r="5" spans="1:5" x14ac:dyDescent="0.25">
      <c r="A5" s="20">
        <v>2089</v>
      </c>
      <c r="B5" s="13" t="s">
        <v>11</v>
      </c>
      <c r="C5" s="19">
        <v>20686850</v>
      </c>
      <c r="D5" s="16">
        <v>319.46809999999999</v>
      </c>
      <c r="E5" s="16">
        <f t="shared" si="0"/>
        <v>64754.039605206279</v>
      </c>
    </row>
    <row r="6" spans="1:5" x14ac:dyDescent="0.25">
      <c r="A6" s="20">
        <v>2090</v>
      </c>
      <c r="B6" s="13" t="s">
        <v>12</v>
      </c>
      <c r="C6" s="19">
        <v>20771840</v>
      </c>
      <c r="D6" s="16">
        <v>215.98169999999999</v>
      </c>
      <c r="E6" s="16">
        <f t="shared" si="0"/>
        <v>96174.074007195988</v>
      </c>
    </row>
    <row r="7" spans="1:5" x14ac:dyDescent="0.25">
      <c r="A7" s="20">
        <v>2097</v>
      </c>
      <c r="B7" s="13" t="s">
        <v>13</v>
      </c>
      <c r="C7" s="19">
        <v>165127110</v>
      </c>
      <c r="D7" s="16">
        <v>2248.1385</v>
      </c>
      <c r="E7" s="16">
        <f t="shared" si="0"/>
        <v>73450.594792091317</v>
      </c>
    </row>
    <row r="8" spans="1:5" x14ac:dyDescent="0.25">
      <c r="A8" s="20">
        <v>3031</v>
      </c>
      <c r="B8" s="13" t="s">
        <v>14</v>
      </c>
      <c r="C8" s="19">
        <v>42978771</v>
      </c>
      <c r="D8" s="16">
        <v>284.39920000000001</v>
      </c>
      <c r="E8" s="16">
        <f t="shared" si="0"/>
        <v>151121.2795253995</v>
      </c>
    </row>
    <row r="9" spans="1:5" x14ac:dyDescent="0.25">
      <c r="A9" s="20">
        <v>3032</v>
      </c>
      <c r="B9" s="13" t="s">
        <v>15</v>
      </c>
      <c r="C9" s="19">
        <v>46491858</v>
      </c>
      <c r="D9" s="16">
        <v>319.42079999999999</v>
      </c>
      <c r="E9" s="16">
        <f t="shared" si="0"/>
        <v>145550.50265981426</v>
      </c>
    </row>
    <row r="10" spans="1:5" x14ac:dyDescent="0.25">
      <c r="A10" s="20">
        <v>3033</v>
      </c>
      <c r="B10" s="13" t="s">
        <v>16</v>
      </c>
      <c r="C10" s="19">
        <v>18105683</v>
      </c>
      <c r="D10" s="16">
        <v>121.91379999999999</v>
      </c>
      <c r="E10" s="16">
        <f t="shared" si="0"/>
        <v>148512.1700742656</v>
      </c>
    </row>
    <row r="11" spans="1:5" x14ac:dyDescent="0.25">
      <c r="A11" s="20">
        <v>4106</v>
      </c>
      <c r="B11" s="13" t="s">
        <v>17</v>
      </c>
      <c r="C11" s="19">
        <v>30593182</v>
      </c>
      <c r="D11" s="16">
        <v>266.73439999999999</v>
      </c>
      <c r="E11" s="16">
        <f t="shared" si="0"/>
        <v>114695.29989382697</v>
      </c>
    </row>
    <row r="12" spans="1:5" x14ac:dyDescent="0.25">
      <c r="A12" s="20">
        <v>4109</v>
      </c>
      <c r="B12" s="13" t="s">
        <v>18</v>
      </c>
      <c r="C12" s="19">
        <v>42241617</v>
      </c>
      <c r="D12" s="16">
        <v>578.26229999999998</v>
      </c>
      <c r="E12" s="16">
        <f t="shared" si="0"/>
        <v>73049.232156410682</v>
      </c>
    </row>
    <row r="13" spans="1:5" x14ac:dyDescent="0.25">
      <c r="A13" s="20">
        <v>4110</v>
      </c>
      <c r="B13" s="13" t="s">
        <v>19</v>
      </c>
      <c r="C13" s="19">
        <v>184857976</v>
      </c>
      <c r="D13" s="16">
        <v>2271.1891000000001</v>
      </c>
      <c r="E13" s="16">
        <f t="shared" si="0"/>
        <v>81392.595623147368</v>
      </c>
    </row>
    <row r="14" spans="1:5" x14ac:dyDescent="0.25">
      <c r="A14" s="20">
        <v>5120</v>
      </c>
      <c r="B14" s="13" t="s">
        <v>20</v>
      </c>
      <c r="C14" s="19">
        <v>19023738</v>
      </c>
      <c r="D14" s="16">
        <v>379.64370000000002</v>
      </c>
      <c r="E14" s="16">
        <f t="shared" si="0"/>
        <v>50109.452626238759</v>
      </c>
    </row>
    <row r="15" spans="1:5" x14ac:dyDescent="0.25">
      <c r="A15" s="20">
        <v>5121</v>
      </c>
      <c r="B15" s="13" t="s">
        <v>21</v>
      </c>
      <c r="C15" s="19">
        <v>34525804</v>
      </c>
      <c r="D15" s="16">
        <v>735.18020000000001</v>
      </c>
      <c r="E15" s="16">
        <f t="shared" si="0"/>
        <v>46962.369225939437</v>
      </c>
    </row>
    <row r="16" spans="1:5" x14ac:dyDescent="0.25">
      <c r="A16" s="20">
        <v>5122</v>
      </c>
      <c r="B16" s="13" t="s">
        <v>22</v>
      </c>
      <c r="C16" s="19">
        <v>13375715</v>
      </c>
      <c r="D16" s="16">
        <v>312.57400000000001</v>
      </c>
      <c r="E16" s="16">
        <f t="shared" si="0"/>
        <v>42792.15481773916</v>
      </c>
    </row>
    <row r="17" spans="1:5" x14ac:dyDescent="0.25">
      <c r="A17" s="20">
        <v>5123</v>
      </c>
      <c r="B17" s="13" t="s">
        <v>23</v>
      </c>
      <c r="C17" s="19">
        <v>162924116</v>
      </c>
      <c r="D17" s="16">
        <v>1770.1628000000001</v>
      </c>
      <c r="E17" s="16">
        <f t="shared" si="0"/>
        <v>92039.057650516668</v>
      </c>
    </row>
    <row r="18" spans="1:5" x14ac:dyDescent="0.25">
      <c r="A18" s="20">
        <v>5124</v>
      </c>
      <c r="B18" s="13" t="s">
        <v>24</v>
      </c>
      <c r="C18" s="19">
        <v>26140172</v>
      </c>
      <c r="D18" s="16">
        <v>677.97349999999994</v>
      </c>
      <c r="E18" s="16">
        <f t="shared" si="0"/>
        <v>38556.332954016645</v>
      </c>
    </row>
    <row r="19" spans="1:5" x14ac:dyDescent="0.25">
      <c r="A19" s="20">
        <v>5127</v>
      </c>
      <c r="B19" s="13" t="s">
        <v>25</v>
      </c>
      <c r="C19" s="19">
        <v>62770700</v>
      </c>
      <c r="D19" s="16">
        <v>121.3077</v>
      </c>
      <c r="E19" s="16">
        <f t="shared" si="0"/>
        <v>517450.25253961619</v>
      </c>
    </row>
    <row r="20" spans="1:5" x14ac:dyDescent="0.25">
      <c r="A20" s="20">
        <v>5128</v>
      </c>
      <c r="B20" s="13" t="s">
        <v>26</v>
      </c>
      <c r="C20" s="19">
        <v>155421488</v>
      </c>
      <c r="D20" s="16">
        <v>2248.6525000000001</v>
      </c>
      <c r="E20" s="16">
        <f t="shared" si="0"/>
        <v>69117.610657938465</v>
      </c>
    </row>
    <row r="21" spans="1:5" x14ac:dyDescent="0.25">
      <c r="A21" s="20">
        <v>6101</v>
      </c>
      <c r="B21" s="13" t="s">
        <v>27</v>
      </c>
      <c r="C21" s="19">
        <v>31716672</v>
      </c>
      <c r="D21" s="16">
        <v>427.72140000000002</v>
      </c>
      <c r="E21" s="16">
        <f t="shared" si="0"/>
        <v>74152.642350838651</v>
      </c>
    </row>
    <row r="22" spans="1:5" x14ac:dyDescent="0.25">
      <c r="A22" s="20">
        <v>6103</v>
      </c>
      <c r="B22" s="13" t="s">
        <v>28</v>
      </c>
      <c r="C22" s="19">
        <v>17616770</v>
      </c>
      <c r="D22" s="16">
        <v>203.3526</v>
      </c>
      <c r="E22" s="16">
        <f t="shared" si="0"/>
        <v>86631.64375572282</v>
      </c>
    </row>
    <row r="23" spans="1:5" x14ac:dyDescent="0.25">
      <c r="A23" s="20">
        <v>6104</v>
      </c>
      <c r="B23" s="13" t="s">
        <v>29</v>
      </c>
      <c r="C23" s="19">
        <v>97030903</v>
      </c>
      <c r="D23" s="16">
        <v>1243.5551</v>
      </c>
      <c r="E23" s="16">
        <f t="shared" si="0"/>
        <v>78027.023490957494</v>
      </c>
    </row>
    <row r="24" spans="1:5" x14ac:dyDescent="0.25">
      <c r="A24" s="20">
        <v>7121</v>
      </c>
      <c r="B24" s="13" t="s">
        <v>30</v>
      </c>
      <c r="C24" s="19">
        <v>21303695</v>
      </c>
      <c r="D24" s="16">
        <v>178.50980000000001</v>
      </c>
      <c r="E24" s="16">
        <f t="shared" si="0"/>
        <v>119341.87926937344</v>
      </c>
    </row>
    <row r="25" spans="1:5" x14ac:dyDescent="0.25">
      <c r="A25" s="20">
        <v>7122</v>
      </c>
      <c r="B25" s="13" t="s">
        <v>31</v>
      </c>
      <c r="C25" s="19">
        <v>9579613</v>
      </c>
      <c r="D25" s="16">
        <v>136.32339999999999</v>
      </c>
      <c r="E25" s="16">
        <f t="shared" si="0"/>
        <v>70271.230030941137</v>
      </c>
    </row>
    <row r="26" spans="1:5" x14ac:dyDescent="0.25">
      <c r="A26" s="20">
        <v>7123</v>
      </c>
      <c r="B26" s="13" t="s">
        <v>32</v>
      </c>
      <c r="C26" s="19">
        <v>44724387</v>
      </c>
      <c r="D26" s="16">
        <v>688.63210000000004</v>
      </c>
      <c r="E26" s="16">
        <f t="shared" si="0"/>
        <v>64946.706666738304</v>
      </c>
    </row>
    <row r="27" spans="1:5" x14ac:dyDescent="0.25">
      <c r="A27" s="20">
        <v>7124</v>
      </c>
      <c r="B27" s="13" t="s">
        <v>33</v>
      </c>
      <c r="C27" s="19">
        <v>22268177</v>
      </c>
      <c r="D27" s="16">
        <v>363.69200000000001</v>
      </c>
      <c r="E27" s="16">
        <f t="shared" si="0"/>
        <v>61228.11884781628</v>
      </c>
    </row>
    <row r="28" spans="1:5" x14ac:dyDescent="0.25">
      <c r="A28" s="20">
        <v>7125</v>
      </c>
      <c r="B28" s="13" t="s">
        <v>34</v>
      </c>
      <c r="C28" s="19">
        <v>8048931</v>
      </c>
      <c r="D28" s="16">
        <v>154.64359999999999</v>
      </c>
      <c r="E28" s="16">
        <f t="shared" si="0"/>
        <v>52048.264525657709</v>
      </c>
    </row>
    <row r="29" spans="1:5" x14ac:dyDescent="0.25">
      <c r="A29" s="20">
        <v>7126</v>
      </c>
      <c r="B29" s="13" t="s">
        <v>35</v>
      </c>
      <c r="C29" s="19">
        <v>7122373</v>
      </c>
      <c r="D29" s="16">
        <v>59.306199999999997</v>
      </c>
      <c r="E29" s="16">
        <f t="shared" si="0"/>
        <v>120094.91419109638</v>
      </c>
    </row>
    <row r="30" spans="1:5" x14ac:dyDescent="0.25">
      <c r="A30" s="20">
        <v>7129</v>
      </c>
      <c r="B30" s="13" t="s">
        <v>36</v>
      </c>
      <c r="C30" s="19">
        <v>72390646</v>
      </c>
      <c r="D30" s="16">
        <v>951.89689999999996</v>
      </c>
      <c r="E30" s="16">
        <f t="shared" si="0"/>
        <v>76048.830498344934</v>
      </c>
    </row>
    <row r="31" spans="1:5" x14ac:dyDescent="0.25">
      <c r="A31" s="20">
        <v>8106</v>
      </c>
      <c r="B31" s="13" t="s">
        <v>37</v>
      </c>
      <c r="C31" s="19">
        <v>42557291</v>
      </c>
      <c r="D31" s="16">
        <v>474.41359999999997</v>
      </c>
      <c r="E31" s="16">
        <f t="shared" si="0"/>
        <v>89705.040074736477</v>
      </c>
    </row>
    <row r="32" spans="1:5" x14ac:dyDescent="0.25">
      <c r="A32" s="20">
        <v>8107</v>
      </c>
      <c r="B32" s="13" t="s">
        <v>38</v>
      </c>
      <c r="C32" s="19">
        <v>144514441</v>
      </c>
      <c r="D32" s="16">
        <v>1186.5278000000001</v>
      </c>
      <c r="E32" s="16">
        <f t="shared" si="0"/>
        <v>121796.08518232779</v>
      </c>
    </row>
    <row r="33" spans="1:5" x14ac:dyDescent="0.25">
      <c r="A33" s="20">
        <v>8111</v>
      </c>
      <c r="B33" s="13" t="s">
        <v>39</v>
      </c>
      <c r="C33" s="19">
        <v>56384022</v>
      </c>
      <c r="D33" s="16">
        <v>683.70410000000004</v>
      </c>
      <c r="E33" s="16">
        <f t="shared" si="0"/>
        <v>82468.456749052697</v>
      </c>
    </row>
    <row r="34" spans="1:5" x14ac:dyDescent="0.25">
      <c r="A34" s="20">
        <v>9077</v>
      </c>
      <c r="B34" s="13" t="s">
        <v>40</v>
      </c>
      <c r="C34" s="19">
        <v>36204972</v>
      </c>
      <c r="D34" s="16">
        <v>496.23829999999998</v>
      </c>
      <c r="E34" s="16">
        <f t="shared" si="0"/>
        <v>72958.842556086471</v>
      </c>
    </row>
    <row r="35" spans="1:5" x14ac:dyDescent="0.25">
      <c r="A35" s="20">
        <v>9078</v>
      </c>
      <c r="B35" s="13" t="s">
        <v>41</v>
      </c>
      <c r="C35" s="19">
        <v>8820015</v>
      </c>
      <c r="D35" s="16">
        <v>174.14920000000001</v>
      </c>
      <c r="E35" s="16">
        <f t="shared" si="0"/>
        <v>50646.3136207344</v>
      </c>
    </row>
    <row r="36" spans="1:5" x14ac:dyDescent="0.25">
      <c r="A36" s="20">
        <v>9079</v>
      </c>
      <c r="B36" s="13" t="s">
        <v>42</v>
      </c>
      <c r="C36" s="19">
        <v>13049712</v>
      </c>
      <c r="D36" s="16">
        <v>242.12139999999999</v>
      </c>
      <c r="E36" s="16">
        <f t="shared" si="0"/>
        <v>53897.391969483077</v>
      </c>
    </row>
    <row r="37" spans="1:5" x14ac:dyDescent="0.25">
      <c r="A37" s="20">
        <v>9080</v>
      </c>
      <c r="B37" s="13" t="s">
        <v>43</v>
      </c>
      <c r="C37" s="19">
        <v>53308205</v>
      </c>
      <c r="D37" s="16">
        <v>867.0566</v>
      </c>
      <c r="E37" s="16">
        <f t="shared" si="0"/>
        <v>61481.805224710821</v>
      </c>
    </row>
    <row r="38" spans="1:5" x14ac:dyDescent="0.25">
      <c r="A38" s="20">
        <v>10087</v>
      </c>
      <c r="B38" s="13" t="s">
        <v>44</v>
      </c>
      <c r="C38" s="19">
        <v>115604598</v>
      </c>
      <c r="D38" s="16">
        <v>1500.0755999999999</v>
      </c>
      <c r="E38" s="16">
        <f t="shared" si="0"/>
        <v>77065.847881266789</v>
      </c>
    </row>
    <row r="39" spans="1:5" x14ac:dyDescent="0.25">
      <c r="A39" s="20">
        <v>10089</v>
      </c>
      <c r="B39" s="13" t="s">
        <v>45</v>
      </c>
      <c r="C39" s="19">
        <v>75276862</v>
      </c>
      <c r="D39" s="16">
        <v>1273.8074999999999</v>
      </c>
      <c r="E39" s="16">
        <f t="shared" si="0"/>
        <v>59095.948171132615</v>
      </c>
    </row>
    <row r="40" spans="1:5" x14ac:dyDescent="0.25">
      <c r="A40" s="20">
        <v>10090</v>
      </c>
      <c r="B40" s="13" t="s">
        <v>46</v>
      </c>
      <c r="C40" s="19">
        <v>34378454</v>
      </c>
      <c r="D40" s="16">
        <v>435.59140000000002</v>
      </c>
      <c r="E40" s="16">
        <f t="shared" si="0"/>
        <v>78923.628887071682</v>
      </c>
    </row>
    <row r="41" spans="1:5" x14ac:dyDescent="0.25">
      <c r="A41" s="20">
        <v>10091</v>
      </c>
      <c r="B41" s="13" t="s">
        <v>47</v>
      </c>
      <c r="C41" s="19">
        <v>93026137</v>
      </c>
      <c r="D41" s="16">
        <v>1370.6976</v>
      </c>
      <c r="E41" s="16">
        <f t="shared" si="0"/>
        <v>67867.731730178857</v>
      </c>
    </row>
    <row r="42" spans="1:5" x14ac:dyDescent="0.25">
      <c r="A42" s="20">
        <v>10092</v>
      </c>
      <c r="B42" s="13" t="s">
        <v>48</v>
      </c>
      <c r="C42" s="19">
        <v>37417905</v>
      </c>
      <c r="D42" s="16">
        <v>504.76850000000002</v>
      </c>
      <c r="E42" s="16">
        <f t="shared" si="0"/>
        <v>74128.843222189971</v>
      </c>
    </row>
    <row r="43" spans="1:5" x14ac:dyDescent="0.25">
      <c r="A43" s="20">
        <v>10093</v>
      </c>
      <c r="B43" s="13" t="s">
        <v>49</v>
      </c>
      <c r="C43" s="19">
        <v>2197321568</v>
      </c>
      <c r="D43" s="16">
        <v>16670.5893</v>
      </c>
      <c r="E43" s="16">
        <f t="shared" si="0"/>
        <v>131808.27194873069</v>
      </c>
    </row>
    <row r="44" spans="1:5" x14ac:dyDescent="0.25">
      <c r="A44" s="20">
        <v>11076</v>
      </c>
      <c r="B44" s="13" t="s">
        <v>50</v>
      </c>
      <c r="C44" s="19">
        <v>52717523</v>
      </c>
      <c r="D44" s="16">
        <v>712.89549999999997</v>
      </c>
      <c r="E44" s="16">
        <f t="shared" si="0"/>
        <v>73948.458083968828</v>
      </c>
    </row>
    <row r="45" spans="1:5" x14ac:dyDescent="0.25">
      <c r="A45" s="20">
        <v>11078</v>
      </c>
      <c r="B45" s="13" t="s">
        <v>51</v>
      </c>
      <c r="C45" s="19">
        <v>59565825</v>
      </c>
      <c r="D45" s="16">
        <v>659.74490000000003</v>
      </c>
      <c r="E45" s="16">
        <f t="shared" si="0"/>
        <v>90286.146963773412</v>
      </c>
    </row>
    <row r="46" spans="1:5" x14ac:dyDescent="0.25">
      <c r="A46" s="20">
        <v>11079</v>
      </c>
      <c r="B46" s="13" t="s">
        <v>52</v>
      </c>
      <c r="C46" s="19">
        <v>20394700</v>
      </c>
      <c r="D46" s="16">
        <v>292.02030000000002</v>
      </c>
      <c r="E46" s="16">
        <f t="shared" si="0"/>
        <v>69840.007698094953</v>
      </c>
    </row>
    <row r="47" spans="1:5" x14ac:dyDescent="0.25">
      <c r="A47" s="20">
        <v>11082</v>
      </c>
      <c r="B47" s="13" t="s">
        <v>53</v>
      </c>
      <c r="C47" s="19">
        <v>1021658198</v>
      </c>
      <c r="D47" s="16">
        <v>10891.361199999999</v>
      </c>
      <c r="E47" s="16">
        <f t="shared" si="0"/>
        <v>93804.454671836618</v>
      </c>
    </row>
    <row r="48" spans="1:5" x14ac:dyDescent="0.25">
      <c r="A48" s="20">
        <v>12108</v>
      </c>
      <c r="B48" s="13" t="s">
        <v>54</v>
      </c>
      <c r="C48" s="19">
        <v>35222271</v>
      </c>
      <c r="D48" s="16">
        <v>567.1979</v>
      </c>
      <c r="E48" s="16">
        <f t="shared" si="0"/>
        <v>62098.733087693028</v>
      </c>
    </row>
    <row r="49" spans="1:5" x14ac:dyDescent="0.25">
      <c r="A49" s="20">
        <v>12109</v>
      </c>
      <c r="B49" s="13" t="s">
        <v>55</v>
      </c>
      <c r="C49" s="19">
        <v>414772970</v>
      </c>
      <c r="D49" s="16">
        <v>4882.3414000000002</v>
      </c>
      <c r="E49" s="16">
        <f t="shared" si="0"/>
        <v>84953.70069778405</v>
      </c>
    </row>
    <row r="50" spans="1:5" x14ac:dyDescent="0.25">
      <c r="A50" s="20">
        <v>12110</v>
      </c>
      <c r="B50" s="13" t="s">
        <v>56</v>
      </c>
      <c r="C50" s="19">
        <v>61935047</v>
      </c>
      <c r="D50" s="16">
        <v>936.45579999999995</v>
      </c>
      <c r="E50" s="16">
        <f t="shared" si="0"/>
        <v>66137.715202361927</v>
      </c>
    </row>
    <row r="51" spans="1:5" x14ac:dyDescent="0.25">
      <c r="A51" s="20">
        <v>13054</v>
      </c>
      <c r="B51" s="13" t="s">
        <v>57</v>
      </c>
      <c r="C51" s="19">
        <v>6431030</v>
      </c>
      <c r="D51" s="16">
        <v>49.707099999999997</v>
      </c>
      <c r="E51" s="16">
        <f t="shared" si="0"/>
        <v>129378.49924859829</v>
      </c>
    </row>
    <row r="52" spans="1:5" x14ac:dyDescent="0.25">
      <c r="A52" s="20">
        <v>13055</v>
      </c>
      <c r="B52" s="13" t="s">
        <v>58</v>
      </c>
      <c r="C52" s="19">
        <v>36267601</v>
      </c>
      <c r="D52" s="16">
        <v>622.20730000000003</v>
      </c>
      <c r="E52" s="16">
        <f t="shared" si="0"/>
        <v>58288.613778719729</v>
      </c>
    </row>
    <row r="53" spans="1:5" x14ac:dyDescent="0.25">
      <c r="A53" s="20">
        <v>13057</v>
      </c>
      <c r="B53" s="13" t="s">
        <v>59</v>
      </c>
      <c r="C53" s="19">
        <v>3695040</v>
      </c>
      <c r="D53" s="16">
        <v>40.243200000000002</v>
      </c>
      <c r="E53" s="16">
        <f t="shared" si="0"/>
        <v>91817.748091603047</v>
      </c>
    </row>
    <row r="54" spans="1:5" x14ac:dyDescent="0.25">
      <c r="A54" s="20">
        <v>13058</v>
      </c>
      <c r="B54" s="13" t="s">
        <v>60</v>
      </c>
      <c r="C54" s="19">
        <v>4020990</v>
      </c>
      <c r="D54" s="16">
        <v>41.128100000000003</v>
      </c>
      <c r="E54" s="16">
        <f t="shared" si="0"/>
        <v>97767.463121320936</v>
      </c>
    </row>
    <row r="55" spans="1:5" x14ac:dyDescent="0.25">
      <c r="A55" s="20">
        <v>13059</v>
      </c>
      <c r="B55" s="13" t="s">
        <v>61</v>
      </c>
      <c r="C55" s="19">
        <v>23821845</v>
      </c>
      <c r="D55" s="16">
        <v>376.80680000000001</v>
      </c>
      <c r="E55" s="16">
        <f t="shared" si="0"/>
        <v>63220.316087713916</v>
      </c>
    </row>
    <row r="56" spans="1:5" x14ac:dyDescent="0.25">
      <c r="A56" s="20">
        <v>13060</v>
      </c>
      <c r="B56" s="13" t="s">
        <v>62</v>
      </c>
      <c r="C56" s="19">
        <v>4647480</v>
      </c>
      <c r="D56" s="16">
        <v>60.640999999999998</v>
      </c>
      <c r="E56" s="16">
        <f t="shared" si="0"/>
        <v>76639.237479593023</v>
      </c>
    </row>
    <row r="57" spans="1:5" x14ac:dyDescent="0.25">
      <c r="A57" s="20">
        <v>13061</v>
      </c>
      <c r="B57" s="13" t="s">
        <v>63</v>
      </c>
      <c r="C57" s="19">
        <v>18354855</v>
      </c>
      <c r="D57" s="16">
        <v>294.84949999999998</v>
      </c>
      <c r="E57" s="16">
        <f t="shared" si="0"/>
        <v>62251.606327974107</v>
      </c>
    </row>
    <row r="58" spans="1:5" x14ac:dyDescent="0.25">
      <c r="A58" s="20">
        <v>13062</v>
      </c>
      <c r="B58" s="13" t="s">
        <v>64</v>
      </c>
      <c r="C58" s="19">
        <v>4132240</v>
      </c>
      <c r="D58" s="16">
        <v>48.1402</v>
      </c>
      <c r="E58" s="16">
        <f t="shared" si="0"/>
        <v>85837.615963373639</v>
      </c>
    </row>
    <row r="59" spans="1:5" x14ac:dyDescent="0.25">
      <c r="A59" s="20">
        <v>14126</v>
      </c>
      <c r="B59" s="13" t="s">
        <v>65</v>
      </c>
      <c r="C59" s="19">
        <v>88350366</v>
      </c>
      <c r="D59" s="16">
        <v>1013.5891</v>
      </c>
      <c r="E59" s="16">
        <f t="shared" si="0"/>
        <v>87165.860406352032</v>
      </c>
    </row>
    <row r="60" spans="1:5" x14ac:dyDescent="0.25">
      <c r="A60" s="20">
        <v>14127</v>
      </c>
      <c r="B60" s="13" t="s">
        <v>66</v>
      </c>
      <c r="C60" s="19">
        <v>44518466</v>
      </c>
      <c r="D60" s="16">
        <v>656.66390000000001</v>
      </c>
      <c r="E60" s="16">
        <f t="shared" si="0"/>
        <v>67794.903907463158</v>
      </c>
    </row>
    <row r="61" spans="1:5" x14ac:dyDescent="0.25">
      <c r="A61" s="20">
        <v>14129</v>
      </c>
      <c r="B61" s="13" t="s">
        <v>67</v>
      </c>
      <c r="C61" s="19">
        <v>170710793</v>
      </c>
      <c r="D61" s="16">
        <v>2063.4303</v>
      </c>
      <c r="E61" s="16">
        <f t="shared" si="0"/>
        <v>82731.552890349631</v>
      </c>
    </row>
    <row r="62" spans="1:5" x14ac:dyDescent="0.25">
      <c r="A62" s="20">
        <v>14130</v>
      </c>
      <c r="B62" s="13" t="s">
        <v>68</v>
      </c>
      <c r="C62" s="19">
        <v>333189721</v>
      </c>
      <c r="D62" s="16">
        <v>747.20330000000001</v>
      </c>
      <c r="E62" s="16">
        <f t="shared" si="0"/>
        <v>445915.75144274655</v>
      </c>
    </row>
    <row r="63" spans="1:5" x14ac:dyDescent="0.25">
      <c r="A63" s="20">
        <v>15001</v>
      </c>
      <c r="B63" s="13" t="s">
        <v>69</v>
      </c>
      <c r="C63" s="19">
        <v>24710073</v>
      </c>
      <c r="D63" s="16">
        <v>463.22120000000001</v>
      </c>
      <c r="E63" s="16">
        <f t="shared" si="0"/>
        <v>53344.00282197792</v>
      </c>
    </row>
    <row r="64" spans="1:5" x14ac:dyDescent="0.25">
      <c r="A64" s="20">
        <v>15002</v>
      </c>
      <c r="B64" s="13" t="s">
        <v>70</v>
      </c>
      <c r="C64" s="19">
        <v>1116384997</v>
      </c>
      <c r="D64" s="16">
        <v>3878.4149000000002</v>
      </c>
      <c r="E64" s="16">
        <f t="shared" si="0"/>
        <v>287845.68587543326</v>
      </c>
    </row>
    <row r="65" spans="1:5" x14ac:dyDescent="0.25">
      <c r="A65" s="20">
        <v>15003</v>
      </c>
      <c r="B65" s="13" t="s">
        <v>71</v>
      </c>
      <c r="C65" s="19">
        <v>88461199</v>
      </c>
      <c r="D65" s="16">
        <v>200.55959999999999</v>
      </c>
      <c r="E65" s="16">
        <f t="shared" si="0"/>
        <v>441071.87589125626</v>
      </c>
    </row>
    <row r="66" spans="1:5" x14ac:dyDescent="0.25">
      <c r="A66" s="20">
        <v>15004</v>
      </c>
      <c r="B66" s="13" t="s">
        <v>72</v>
      </c>
      <c r="C66" s="19">
        <v>30803840</v>
      </c>
      <c r="D66" s="16">
        <v>305.48869999999999</v>
      </c>
      <c r="E66" s="16">
        <f t="shared" si="0"/>
        <v>100834.62988974716</v>
      </c>
    </row>
    <row r="67" spans="1:5" x14ac:dyDescent="0.25">
      <c r="A67" s="20">
        <v>16090</v>
      </c>
      <c r="B67" s="13" t="s">
        <v>73</v>
      </c>
      <c r="C67" s="19">
        <v>441891774</v>
      </c>
      <c r="D67" s="16">
        <v>4501.8562000000002</v>
      </c>
      <c r="E67" s="16">
        <f t="shared" ref="E67:E130" si="1">C67/D67</f>
        <v>98157.683046384293</v>
      </c>
    </row>
    <row r="68" spans="1:5" x14ac:dyDescent="0.25">
      <c r="A68" s="20">
        <v>16092</v>
      </c>
      <c r="B68" s="13" t="s">
        <v>74</v>
      </c>
      <c r="C68" s="19">
        <v>21686494</v>
      </c>
      <c r="D68" s="16">
        <v>261.24029999999999</v>
      </c>
      <c r="E68" s="16">
        <f t="shared" si="1"/>
        <v>83013.585576191734</v>
      </c>
    </row>
    <row r="69" spans="1:5" x14ac:dyDescent="0.25">
      <c r="A69" s="20">
        <v>16094</v>
      </c>
      <c r="B69" s="13" t="s">
        <v>75</v>
      </c>
      <c r="C69" s="19">
        <v>24821969</v>
      </c>
      <c r="D69" s="16">
        <v>334.29500000000002</v>
      </c>
      <c r="E69" s="16">
        <f t="shared" si="1"/>
        <v>74251.690871834755</v>
      </c>
    </row>
    <row r="70" spans="1:5" x14ac:dyDescent="0.25">
      <c r="A70" s="20">
        <v>16096</v>
      </c>
      <c r="B70" s="13" t="s">
        <v>76</v>
      </c>
      <c r="C70" s="19">
        <v>619519598</v>
      </c>
      <c r="D70" s="16">
        <v>3772.5389</v>
      </c>
      <c r="E70" s="16">
        <f t="shared" si="1"/>
        <v>164218.21336288936</v>
      </c>
    </row>
    <row r="71" spans="1:5" x14ac:dyDescent="0.25">
      <c r="A71" s="20">
        <v>16097</v>
      </c>
      <c r="B71" s="13" t="s">
        <v>77</v>
      </c>
      <c r="C71" s="19">
        <v>47957493</v>
      </c>
      <c r="D71" s="16">
        <v>373.57830000000001</v>
      </c>
      <c r="E71" s="16">
        <f t="shared" si="1"/>
        <v>128373.33699521626</v>
      </c>
    </row>
    <row r="72" spans="1:5" x14ac:dyDescent="0.25">
      <c r="A72" s="20">
        <v>17121</v>
      </c>
      <c r="B72" s="13" t="s">
        <v>78</v>
      </c>
      <c r="C72" s="19">
        <v>8559655</v>
      </c>
      <c r="D72" s="16">
        <v>125.5086</v>
      </c>
      <c r="E72" s="16">
        <f t="shared" si="1"/>
        <v>68199.748861830987</v>
      </c>
    </row>
    <row r="73" spans="1:5" x14ac:dyDescent="0.25">
      <c r="A73" s="20">
        <v>17122</v>
      </c>
      <c r="B73" s="13" t="s">
        <v>79</v>
      </c>
      <c r="C73" s="19">
        <v>10049110</v>
      </c>
      <c r="D73" s="16">
        <v>145.41849999999999</v>
      </c>
      <c r="E73" s="16">
        <f t="shared" si="1"/>
        <v>69104.756272413753</v>
      </c>
    </row>
    <row r="74" spans="1:5" x14ac:dyDescent="0.25">
      <c r="A74" s="20">
        <v>17124</v>
      </c>
      <c r="B74" s="13" t="s">
        <v>80</v>
      </c>
      <c r="C74" s="19">
        <v>8202340</v>
      </c>
      <c r="D74" s="16">
        <v>73.848299999999995</v>
      </c>
      <c r="E74" s="16">
        <f t="shared" si="1"/>
        <v>111070.12619112425</v>
      </c>
    </row>
    <row r="75" spans="1:5" x14ac:dyDescent="0.25">
      <c r="A75" s="20">
        <v>17125</v>
      </c>
      <c r="B75" s="13" t="s">
        <v>81</v>
      </c>
      <c r="C75" s="19">
        <v>66277140</v>
      </c>
      <c r="D75" s="16">
        <v>827.24530000000004</v>
      </c>
      <c r="E75" s="16">
        <f t="shared" si="1"/>
        <v>80117.88039170485</v>
      </c>
    </row>
    <row r="76" spans="1:5" x14ac:dyDescent="0.25">
      <c r="A76" s="20">
        <v>17126</v>
      </c>
      <c r="B76" s="13" t="s">
        <v>82</v>
      </c>
      <c r="C76" s="19">
        <v>16778575</v>
      </c>
      <c r="D76" s="16">
        <v>190.1919</v>
      </c>
      <c r="E76" s="16">
        <f t="shared" si="1"/>
        <v>88219.188093709556</v>
      </c>
    </row>
    <row r="77" spans="1:5" x14ac:dyDescent="0.25">
      <c r="A77" s="20">
        <v>18047</v>
      </c>
      <c r="B77" s="13" t="s">
        <v>83</v>
      </c>
      <c r="C77" s="19">
        <v>34383405</v>
      </c>
      <c r="D77" s="16">
        <v>657.20870000000002</v>
      </c>
      <c r="E77" s="16">
        <f t="shared" si="1"/>
        <v>52317.33085700174</v>
      </c>
    </row>
    <row r="78" spans="1:5" x14ac:dyDescent="0.25">
      <c r="A78" s="20">
        <v>18050</v>
      </c>
      <c r="B78" s="13" t="s">
        <v>84</v>
      </c>
      <c r="C78" s="19">
        <v>35397454</v>
      </c>
      <c r="D78" s="16">
        <v>509.178</v>
      </c>
      <c r="E78" s="16">
        <f t="shared" si="1"/>
        <v>69518.820530344994</v>
      </c>
    </row>
    <row r="79" spans="1:5" x14ac:dyDescent="0.25">
      <c r="A79" s="20">
        <v>19139</v>
      </c>
      <c r="B79" s="13" t="s">
        <v>85</v>
      </c>
      <c r="C79" s="19">
        <v>35770922</v>
      </c>
      <c r="D79" s="16">
        <v>509.3399</v>
      </c>
      <c r="E79" s="16">
        <f t="shared" si="1"/>
        <v>70229.962349307403</v>
      </c>
    </row>
    <row r="80" spans="1:5" x14ac:dyDescent="0.25">
      <c r="A80" s="20">
        <v>19140</v>
      </c>
      <c r="B80" s="13" t="s">
        <v>86</v>
      </c>
      <c r="C80" s="19">
        <v>11431478</v>
      </c>
      <c r="D80" s="16">
        <v>139.63329999999999</v>
      </c>
      <c r="E80" s="16">
        <f t="shared" si="1"/>
        <v>81867.849574564243</v>
      </c>
    </row>
    <row r="81" spans="1:5" x14ac:dyDescent="0.25">
      <c r="A81" s="20">
        <v>19142</v>
      </c>
      <c r="B81" s="13" t="s">
        <v>87</v>
      </c>
      <c r="C81" s="19">
        <v>470447485</v>
      </c>
      <c r="D81" s="16">
        <v>5730.9928</v>
      </c>
      <c r="E81" s="16">
        <f t="shared" si="1"/>
        <v>82088.305014098078</v>
      </c>
    </row>
    <row r="82" spans="1:5" x14ac:dyDescent="0.25">
      <c r="A82" s="20">
        <v>19144</v>
      </c>
      <c r="B82" s="13" t="s">
        <v>88</v>
      </c>
      <c r="C82" s="19">
        <v>59943525</v>
      </c>
      <c r="D82" s="16">
        <v>765.89459999999997</v>
      </c>
      <c r="E82" s="16">
        <f t="shared" si="1"/>
        <v>78266.023810586994</v>
      </c>
    </row>
    <row r="83" spans="1:5" x14ac:dyDescent="0.25">
      <c r="A83" s="20">
        <v>19147</v>
      </c>
      <c r="B83" s="13" t="s">
        <v>89</v>
      </c>
      <c r="C83" s="19">
        <v>15851791</v>
      </c>
      <c r="D83" s="16">
        <v>171.1046</v>
      </c>
      <c r="E83" s="16">
        <f t="shared" si="1"/>
        <v>92643.862292422287</v>
      </c>
    </row>
    <row r="84" spans="1:5" x14ac:dyDescent="0.25">
      <c r="A84" s="20">
        <v>19148</v>
      </c>
      <c r="B84" s="13" t="s">
        <v>90</v>
      </c>
      <c r="C84" s="19">
        <v>139863912</v>
      </c>
      <c r="D84" s="16">
        <v>1979.9268</v>
      </c>
      <c r="E84" s="16">
        <f t="shared" si="1"/>
        <v>70640.950968490346</v>
      </c>
    </row>
    <row r="85" spans="1:5" x14ac:dyDescent="0.25">
      <c r="A85" s="20">
        <v>19149</v>
      </c>
      <c r="B85" s="13" t="s">
        <v>91</v>
      </c>
      <c r="C85" s="19">
        <v>184362769</v>
      </c>
      <c r="D85" s="16">
        <v>2322.6142</v>
      </c>
      <c r="E85" s="16">
        <f t="shared" si="1"/>
        <v>79377.267649530433</v>
      </c>
    </row>
    <row r="86" spans="1:5" x14ac:dyDescent="0.25">
      <c r="A86" s="20">
        <v>19150</v>
      </c>
      <c r="B86" s="13" t="s">
        <v>92</v>
      </c>
      <c r="C86" s="19">
        <v>18296581</v>
      </c>
      <c r="D86" s="16">
        <v>305.58210000000003</v>
      </c>
      <c r="E86" s="16">
        <f t="shared" si="1"/>
        <v>59874.518173675744</v>
      </c>
    </row>
    <row r="87" spans="1:5" x14ac:dyDescent="0.25">
      <c r="A87" s="20">
        <v>19151</v>
      </c>
      <c r="B87" s="13" t="s">
        <v>93</v>
      </c>
      <c r="C87" s="19">
        <v>41744806</v>
      </c>
      <c r="D87" s="16">
        <v>414.18029999999999</v>
      </c>
      <c r="E87" s="16">
        <f t="shared" si="1"/>
        <v>100788.97040733226</v>
      </c>
    </row>
    <row r="88" spans="1:5" x14ac:dyDescent="0.25">
      <c r="A88" s="20">
        <v>19152</v>
      </c>
      <c r="B88" s="13" t="s">
        <v>94</v>
      </c>
      <c r="C88" s="19">
        <v>311248444</v>
      </c>
      <c r="D88" s="16">
        <v>4560.2003000000004</v>
      </c>
      <c r="E88" s="16">
        <f t="shared" si="1"/>
        <v>68253.239665810281</v>
      </c>
    </row>
    <row r="89" spans="1:5" x14ac:dyDescent="0.25">
      <c r="A89" s="20">
        <v>20001</v>
      </c>
      <c r="B89" s="13" t="s">
        <v>95</v>
      </c>
      <c r="C89" s="19">
        <v>87739268</v>
      </c>
      <c r="D89" s="16">
        <v>915.77089999999998</v>
      </c>
      <c r="E89" s="16">
        <f t="shared" si="1"/>
        <v>95809.189831212148</v>
      </c>
    </row>
    <row r="90" spans="1:5" x14ac:dyDescent="0.25">
      <c r="A90" s="20">
        <v>20002</v>
      </c>
      <c r="B90" s="13" t="s">
        <v>96</v>
      </c>
      <c r="C90" s="19">
        <v>84844810</v>
      </c>
      <c r="D90" s="16">
        <v>1174.3282999999999</v>
      </c>
      <c r="E90" s="16">
        <f t="shared" si="1"/>
        <v>72249.651140996953</v>
      </c>
    </row>
    <row r="91" spans="1:5" x14ac:dyDescent="0.25">
      <c r="A91" s="20">
        <v>21148</v>
      </c>
      <c r="B91" s="13" t="s">
        <v>97</v>
      </c>
      <c r="C91" s="19">
        <v>16494370</v>
      </c>
      <c r="D91" s="16">
        <v>151.17740000000001</v>
      </c>
      <c r="E91" s="16">
        <f t="shared" si="1"/>
        <v>109106.05685770491</v>
      </c>
    </row>
    <row r="92" spans="1:5" x14ac:dyDescent="0.25">
      <c r="A92" s="20">
        <v>21149</v>
      </c>
      <c r="B92" s="13" t="s">
        <v>98</v>
      </c>
      <c r="C92" s="19">
        <v>20839877</v>
      </c>
      <c r="D92" s="16">
        <v>250.8081</v>
      </c>
      <c r="E92" s="16">
        <f t="shared" si="1"/>
        <v>83090.924894371434</v>
      </c>
    </row>
    <row r="93" spans="1:5" x14ac:dyDescent="0.25">
      <c r="A93" s="20">
        <v>21150</v>
      </c>
      <c r="B93" s="13" t="s">
        <v>99</v>
      </c>
      <c r="C93" s="19">
        <v>19082697</v>
      </c>
      <c r="D93" s="16">
        <v>146.70840000000001</v>
      </c>
      <c r="E93" s="16">
        <f t="shared" si="1"/>
        <v>130072.28624945809</v>
      </c>
    </row>
    <row r="94" spans="1:5" x14ac:dyDescent="0.25">
      <c r="A94" s="20">
        <v>21151</v>
      </c>
      <c r="B94" s="13" t="s">
        <v>100</v>
      </c>
      <c r="C94" s="19">
        <v>71742640</v>
      </c>
      <c r="D94" s="16">
        <v>413.91460000000001</v>
      </c>
      <c r="E94" s="16">
        <f t="shared" si="1"/>
        <v>173327.15492519471</v>
      </c>
    </row>
    <row r="95" spans="1:5" x14ac:dyDescent="0.25">
      <c r="A95" s="20">
        <v>22088</v>
      </c>
      <c r="B95" s="13" t="s">
        <v>101</v>
      </c>
      <c r="C95" s="19">
        <v>11590715</v>
      </c>
      <c r="D95" s="16">
        <v>183.3031</v>
      </c>
      <c r="E95" s="16">
        <f t="shared" si="1"/>
        <v>63232.509433828454</v>
      </c>
    </row>
    <row r="96" spans="1:5" x14ac:dyDescent="0.25">
      <c r="A96" s="20">
        <v>22089</v>
      </c>
      <c r="B96" s="13" t="s">
        <v>102</v>
      </c>
      <c r="C96" s="19">
        <v>411704553</v>
      </c>
      <c r="D96" s="16">
        <v>5635.5815000000002</v>
      </c>
      <c r="E96" s="16">
        <f t="shared" si="1"/>
        <v>73054.493666713897</v>
      </c>
    </row>
    <row r="97" spans="1:5" x14ac:dyDescent="0.25">
      <c r="A97" s="20">
        <v>22090</v>
      </c>
      <c r="B97" s="13" t="s">
        <v>103</v>
      </c>
      <c r="C97" s="19">
        <v>38189876</v>
      </c>
      <c r="D97" s="16">
        <v>769.89469999999994</v>
      </c>
      <c r="E97" s="16">
        <f t="shared" si="1"/>
        <v>49604.025069921903</v>
      </c>
    </row>
    <row r="98" spans="1:5" x14ac:dyDescent="0.25">
      <c r="A98" s="20">
        <v>22091</v>
      </c>
      <c r="B98" s="13" t="s">
        <v>104</v>
      </c>
      <c r="C98" s="19">
        <v>32294938</v>
      </c>
      <c r="D98" s="16">
        <v>377.46159999999998</v>
      </c>
      <c r="E98" s="16">
        <f t="shared" si="1"/>
        <v>85558.207775307485</v>
      </c>
    </row>
    <row r="99" spans="1:5" x14ac:dyDescent="0.25">
      <c r="A99" s="20">
        <v>22092</v>
      </c>
      <c r="B99" s="13" t="s">
        <v>105</v>
      </c>
      <c r="C99" s="19">
        <v>62631127</v>
      </c>
      <c r="D99" s="16">
        <v>1041.2733000000001</v>
      </c>
      <c r="E99" s="16">
        <f t="shared" si="1"/>
        <v>60148.595954587516</v>
      </c>
    </row>
    <row r="100" spans="1:5" x14ac:dyDescent="0.25">
      <c r="A100" s="20">
        <v>22093</v>
      </c>
      <c r="B100" s="13" t="s">
        <v>106</v>
      </c>
      <c r="C100" s="19">
        <v>410637771</v>
      </c>
      <c r="D100" s="16">
        <v>5204.951</v>
      </c>
      <c r="E100" s="16">
        <f t="shared" si="1"/>
        <v>78893.686222982695</v>
      </c>
    </row>
    <row r="101" spans="1:5" x14ac:dyDescent="0.25">
      <c r="A101" s="20">
        <v>22094</v>
      </c>
      <c r="B101" s="13" t="s">
        <v>107</v>
      </c>
      <c r="C101" s="19">
        <v>59014767</v>
      </c>
      <c r="D101" s="16">
        <v>735.68119999999999</v>
      </c>
      <c r="E101" s="16">
        <f t="shared" si="1"/>
        <v>80217.853874749009</v>
      </c>
    </row>
    <row r="102" spans="1:5" x14ac:dyDescent="0.25">
      <c r="A102" s="20">
        <v>23099</v>
      </c>
      <c r="B102" s="13" t="s">
        <v>1044</v>
      </c>
      <c r="C102" s="19">
        <v>4720585</v>
      </c>
      <c r="D102" s="16">
        <v>45.167900000000003</v>
      </c>
      <c r="E102" s="16">
        <f t="shared" si="1"/>
        <v>104511.9432163107</v>
      </c>
    </row>
    <row r="103" spans="1:5" x14ac:dyDescent="0.25">
      <c r="A103" s="20">
        <v>23101</v>
      </c>
      <c r="B103" s="13" t="s">
        <v>108</v>
      </c>
      <c r="C103" s="19">
        <v>78971436</v>
      </c>
      <c r="D103" s="16">
        <v>945.93830000000003</v>
      </c>
      <c r="E103" s="16">
        <f t="shared" si="1"/>
        <v>83484.76428113757</v>
      </c>
    </row>
    <row r="104" spans="1:5" x14ac:dyDescent="0.25">
      <c r="A104" s="20">
        <v>24086</v>
      </c>
      <c r="B104" s="13" t="s">
        <v>109</v>
      </c>
      <c r="C104" s="19">
        <v>312374849</v>
      </c>
      <c r="D104" s="16">
        <v>3351.3199</v>
      </c>
      <c r="E104" s="16">
        <f t="shared" si="1"/>
        <v>93209.499039468006</v>
      </c>
    </row>
    <row r="105" spans="1:5" x14ac:dyDescent="0.25">
      <c r="A105" s="20">
        <v>24087</v>
      </c>
      <c r="B105" s="13" t="s">
        <v>110</v>
      </c>
      <c r="C105" s="19">
        <v>209540330</v>
      </c>
      <c r="D105" s="16">
        <v>2519.5099</v>
      </c>
      <c r="E105" s="16">
        <f t="shared" si="1"/>
        <v>83167.099283872623</v>
      </c>
    </row>
    <row r="106" spans="1:5" x14ac:dyDescent="0.25">
      <c r="A106" s="20">
        <v>24089</v>
      </c>
      <c r="B106" s="13" t="s">
        <v>111</v>
      </c>
      <c r="C106" s="19">
        <v>210136425</v>
      </c>
      <c r="D106" s="16">
        <v>2710.3117000000002</v>
      </c>
      <c r="E106" s="16">
        <f t="shared" si="1"/>
        <v>77532.198602839664</v>
      </c>
    </row>
    <row r="107" spans="1:5" x14ac:dyDescent="0.25">
      <c r="A107" s="20">
        <v>24090</v>
      </c>
      <c r="B107" s="13" t="s">
        <v>112</v>
      </c>
      <c r="C107" s="19">
        <v>790104452</v>
      </c>
      <c r="D107" s="16">
        <v>11470.0447</v>
      </c>
      <c r="E107" s="16">
        <f t="shared" si="1"/>
        <v>68884.16502858093</v>
      </c>
    </row>
    <row r="108" spans="1:5" x14ac:dyDescent="0.25">
      <c r="A108" s="20">
        <v>24091</v>
      </c>
      <c r="B108" s="13" t="s">
        <v>113</v>
      </c>
      <c r="C108" s="19">
        <v>6706269</v>
      </c>
      <c r="D108" s="16">
        <v>33.927199999999999</v>
      </c>
      <c r="E108" s="16">
        <f t="shared" si="1"/>
        <v>197666.44462260371</v>
      </c>
    </row>
    <row r="109" spans="1:5" x14ac:dyDescent="0.25">
      <c r="A109" s="20">
        <v>24093</v>
      </c>
      <c r="B109" s="13" t="s">
        <v>114</v>
      </c>
      <c r="C109" s="19">
        <v>1912540661</v>
      </c>
      <c r="D109" s="16">
        <v>18553.364399999999</v>
      </c>
      <c r="E109" s="16">
        <f t="shared" si="1"/>
        <v>103083.22629614282</v>
      </c>
    </row>
    <row r="110" spans="1:5" x14ac:dyDescent="0.25">
      <c r="A110" s="20">
        <v>25001</v>
      </c>
      <c r="B110" s="13" t="s">
        <v>115</v>
      </c>
      <c r="C110" s="19">
        <v>112214988</v>
      </c>
      <c r="D110" s="16">
        <v>1760.7056</v>
      </c>
      <c r="E110" s="16">
        <f t="shared" si="1"/>
        <v>63732.964784118369</v>
      </c>
    </row>
    <row r="111" spans="1:5" x14ac:dyDescent="0.25">
      <c r="A111" s="20">
        <v>25002</v>
      </c>
      <c r="B111" s="13" t="s">
        <v>116</v>
      </c>
      <c r="C111" s="19">
        <v>60082327</v>
      </c>
      <c r="D111" s="16">
        <v>902.52570000000003</v>
      </c>
      <c r="E111" s="16">
        <f t="shared" si="1"/>
        <v>66571.319797319898</v>
      </c>
    </row>
    <row r="112" spans="1:5" x14ac:dyDescent="0.25">
      <c r="A112" s="20">
        <v>25003</v>
      </c>
      <c r="B112" s="13" t="s">
        <v>117</v>
      </c>
      <c r="C112" s="19">
        <v>73118607</v>
      </c>
      <c r="D112" s="16">
        <v>623.20579999999995</v>
      </c>
      <c r="E112" s="16">
        <f t="shared" si="1"/>
        <v>117326.58296825865</v>
      </c>
    </row>
    <row r="113" spans="1:5" x14ac:dyDescent="0.25">
      <c r="A113" s="20">
        <v>26001</v>
      </c>
      <c r="B113" s="13" t="s">
        <v>118</v>
      </c>
      <c r="C113" s="19">
        <v>51671760</v>
      </c>
      <c r="D113" s="16">
        <v>531.34730000000002</v>
      </c>
      <c r="E113" s="16">
        <f t="shared" si="1"/>
        <v>97246.678396596719</v>
      </c>
    </row>
    <row r="114" spans="1:5" x14ac:dyDescent="0.25">
      <c r="A114" s="20">
        <v>26002</v>
      </c>
      <c r="B114" s="13" t="s">
        <v>119</v>
      </c>
      <c r="C114" s="19">
        <v>96717501</v>
      </c>
      <c r="D114" s="16">
        <v>1154.3981000000001</v>
      </c>
      <c r="E114" s="16">
        <f t="shared" si="1"/>
        <v>83781.756917306077</v>
      </c>
    </row>
    <row r="115" spans="1:5" x14ac:dyDescent="0.25">
      <c r="A115" s="20">
        <v>26005</v>
      </c>
      <c r="B115" s="13" t="s">
        <v>120</v>
      </c>
      <c r="C115" s="19">
        <v>63654311</v>
      </c>
      <c r="D115" s="16">
        <v>570.27760000000001</v>
      </c>
      <c r="E115" s="16">
        <f t="shared" si="1"/>
        <v>111619.8689901199</v>
      </c>
    </row>
    <row r="116" spans="1:5" x14ac:dyDescent="0.25">
      <c r="A116" s="20">
        <v>26006</v>
      </c>
      <c r="B116" s="13" t="s">
        <v>121</v>
      </c>
      <c r="C116" s="19">
        <v>1210397148</v>
      </c>
      <c r="D116" s="16">
        <v>8335.6587999999992</v>
      </c>
      <c r="E116" s="16">
        <f t="shared" si="1"/>
        <v>145207.13683722276</v>
      </c>
    </row>
    <row r="117" spans="1:5" x14ac:dyDescent="0.25">
      <c r="A117" s="20">
        <v>27055</v>
      </c>
      <c r="B117" s="13" t="s">
        <v>122</v>
      </c>
      <c r="C117" s="19">
        <v>8478744</v>
      </c>
      <c r="D117" s="16">
        <v>143.0778</v>
      </c>
      <c r="E117" s="16">
        <f t="shared" si="1"/>
        <v>59259.675505214647</v>
      </c>
    </row>
    <row r="118" spans="1:5" x14ac:dyDescent="0.25">
      <c r="A118" s="20">
        <v>27056</v>
      </c>
      <c r="B118" s="13" t="s">
        <v>123</v>
      </c>
      <c r="C118" s="19">
        <v>9007093</v>
      </c>
      <c r="D118" s="16">
        <v>123.2839</v>
      </c>
      <c r="E118" s="16">
        <f t="shared" si="1"/>
        <v>73059.766928203928</v>
      </c>
    </row>
    <row r="119" spans="1:5" x14ac:dyDescent="0.25">
      <c r="A119" s="20">
        <v>27057</v>
      </c>
      <c r="B119" s="13" t="s">
        <v>124</v>
      </c>
      <c r="C119" s="19">
        <v>12825104</v>
      </c>
      <c r="D119" s="16">
        <v>136.0181</v>
      </c>
      <c r="E119" s="16">
        <f t="shared" si="1"/>
        <v>94289.686446142092</v>
      </c>
    </row>
    <row r="120" spans="1:5" x14ac:dyDescent="0.25">
      <c r="A120" s="20">
        <v>27058</v>
      </c>
      <c r="B120" s="13" t="s">
        <v>125</v>
      </c>
      <c r="C120" s="19">
        <v>13599092</v>
      </c>
      <c r="D120" s="16">
        <v>223.51179999999999</v>
      </c>
      <c r="E120" s="16">
        <f t="shared" si="1"/>
        <v>60842.836932994142</v>
      </c>
    </row>
    <row r="121" spans="1:5" x14ac:dyDescent="0.25">
      <c r="A121" s="20">
        <v>27059</v>
      </c>
      <c r="B121" s="13" t="s">
        <v>126</v>
      </c>
      <c r="C121" s="19">
        <v>17899116</v>
      </c>
      <c r="D121" s="16">
        <v>258.17989999999998</v>
      </c>
      <c r="E121" s="16">
        <f t="shared" si="1"/>
        <v>69328.077050149921</v>
      </c>
    </row>
    <row r="122" spans="1:5" x14ac:dyDescent="0.25">
      <c r="A122" s="20">
        <v>27061</v>
      </c>
      <c r="B122" s="13" t="s">
        <v>127</v>
      </c>
      <c r="C122" s="19">
        <v>138287897</v>
      </c>
      <c r="D122" s="16">
        <v>1411.0558000000001</v>
      </c>
      <c r="E122" s="16">
        <f t="shared" si="1"/>
        <v>98003.138500972098</v>
      </c>
    </row>
    <row r="123" spans="1:5" x14ac:dyDescent="0.25">
      <c r="A123" s="20">
        <v>28101</v>
      </c>
      <c r="B123" s="13" t="s">
        <v>128</v>
      </c>
      <c r="C123" s="19">
        <v>63864226</v>
      </c>
      <c r="D123" s="16">
        <v>875.49789999999996</v>
      </c>
      <c r="E123" s="16">
        <f t="shared" si="1"/>
        <v>72946.178397458178</v>
      </c>
    </row>
    <row r="124" spans="1:5" x14ac:dyDescent="0.25">
      <c r="A124" s="20">
        <v>28102</v>
      </c>
      <c r="B124" s="13" t="s">
        <v>129</v>
      </c>
      <c r="C124" s="19">
        <v>115828253</v>
      </c>
      <c r="D124" s="16">
        <v>1495.0210999999999</v>
      </c>
      <c r="E124" s="16">
        <f t="shared" si="1"/>
        <v>77475.998833728838</v>
      </c>
    </row>
    <row r="125" spans="1:5" x14ac:dyDescent="0.25">
      <c r="A125" s="20">
        <v>28103</v>
      </c>
      <c r="B125" s="13" t="s">
        <v>130</v>
      </c>
      <c r="C125" s="19">
        <v>57016547</v>
      </c>
      <c r="D125" s="16">
        <v>916.1748</v>
      </c>
      <c r="E125" s="16">
        <f t="shared" si="1"/>
        <v>62233.262691792006</v>
      </c>
    </row>
    <row r="126" spans="1:5" x14ac:dyDescent="0.25">
      <c r="A126" s="20">
        <v>29001</v>
      </c>
      <c r="B126" s="13" t="s">
        <v>131</v>
      </c>
      <c r="C126" s="19">
        <v>30105424</v>
      </c>
      <c r="D126" s="16">
        <v>341.40609999999998</v>
      </c>
      <c r="E126" s="16">
        <f t="shared" si="1"/>
        <v>88180.685699523237</v>
      </c>
    </row>
    <row r="127" spans="1:5" x14ac:dyDescent="0.25">
      <c r="A127" s="20">
        <v>29002</v>
      </c>
      <c r="B127" s="13" t="s">
        <v>132</v>
      </c>
      <c r="C127" s="19">
        <v>10581078</v>
      </c>
      <c r="D127" s="16">
        <v>135.0454</v>
      </c>
      <c r="E127" s="16">
        <f t="shared" si="1"/>
        <v>78352.006066108137</v>
      </c>
    </row>
    <row r="128" spans="1:5" x14ac:dyDescent="0.25">
      <c r="A128" s="20">
        <v>29003</v>
      </c>
      <c r="B128" s="13" t="s">
        <v>133</v>
      </c>
      <c r="C128" s="19">
        <v>10523199</v>
      </c>
      <c r="D128" s="16">
        <v>150.69749999999999</v>
      </c>
      <c r="E128" s="16">
        <f t="shared" si="1"/>
        <v>69829.950729109638</v>
      </c>
    </row>
    <row r="129" spans="1:5" x14ac:dyDescent="0.25">
      <c r="A129" s="20">
        <v>29004</v>
      </c>
      <c r="B129" s="13" t="s">
        <v>134</v>
      </c>
      <c r="C129" s="19">
        <v>37318911</v>
      </c>
      <c r="D129" s="16">
        <v>400.42540000000002</v>
      </c>
      <c r="E129" s="16">
        <f t="shared" si="1"/>
        <v>93198.161255504761</v>
      </c>
    </row>
    <row r="130" spans="1:5" x14ac:dyDescent="0.25">
      <c r="A130" s="20">
        <v>30093</v>
      </c>
      <c r="B130" s="13" t="s">
        <v>135</v>
      </c>
      <c r="C130" s="19">
        <v>112020964</v>
      </c>
      <c r="D130" s="16">
        <v>1627.6231</v>
      </c>
      <c r="E130" s="16">
        <f t="shared" si="1"/>
        <v>68824.879666551788</v>
      </c>
    </row>
    <row r="131" spans="1:5" x14ac:dyDescent="0.25">
      <c r="A131" s="20">
        <v>31116</v>
      </c>
      <c r="B131" s="13" t="s">
        <v>136</v>
      </c>
      <c r="C131" s="19">
        <v>13282502</v>
      </c>
      <c r="D131" s="16">
        <v>190.3621</v>
      </c>
      <c r="E131" s="16">
        <f t="shared" ref="E131:E194" si="2">C131/D131</f>
        <v>69774.928938060679</v>
      </c>
    </row>
    <row r="132" spans="1:5" x14ac:dyDescent="0.25">
      <c r="A132" s="20">
        <v>31117</v>
      </c>
      <c r="B132" s="13" t="s">
        <v>137</v>
      </c>
      <c r="C132" s="19">
        <v>21999887</v>
      </c>
      <c r="D132" s="16">
        <v>161.90940000000001</v>
      </c>
      <c r="E132" s="16">
        <f t="shared" si="2"/>
        <v>135877.76250174479</v>
      </c>
    </row>
    <row r="133" spans="1:5" x14ac:dyDescent="0.25">
      <c r="A133" s="20">
        <v>31118</v>
      </c>
      <c r="B133" s="13" t="s">
        <v>138</v>
      </c>
      <c r="C133" s="19">
        <v>10097912</v>
      </c>
      <c r="D133" s="16">
        <v>65.405199999999994</v>
      </c>
      <c r="E133" s="16">
        <f t="shared" si="2"/>
        <v>154390.04849767298</v>
      </c>
    </row>
    <row r="134" spans="1:5" x14ac:dyDescent="0.25">
      <c r="A134" s="20">
        <v>31121</v>
      </c>
      <c r="B134" s="13" t="s">
        <v>139</v>
      </c>
      <c r="C134" s="19">
        <v>41890049</v>
      </c>
      <c r="D134" s="16">
        <v>593.24159999999995</v>
      </c>
      <c r="E134" s="16">
        <f t="shared" si="2"/>
        <v>70612.123290072719</v>
      </c>
    </row>
    <row r="135" spans="1:5" x14ac:dyDescent="0.25">
      <c r="A135" s="20">
        <v>31122</v>
      </c>
      <c r="B135" s="13" t="s">
        <v>140</v>
      </c>
      <c r="C135" s="19">
        <v>17512499</v>
      </c>
      <c r="D135" s="16">
        <v>162.87119999999999</v>
      </c>
      <c r="E135" s="16">
        <f t="shared" si="2"/>
        <v>107523.6076114132</v>
      </c>
    </row>
    <row r="136" spans="1:5" x14ac:dyDescent="0.25">
      <c r="A136" s="20">
        <v>32054</v>
      </c>
      <c r="B136" s="13" t="s">
        <v>141</v>
      </c>
      <c r="C136" s="19">
        <v>9246219</v>
      </c>
      <c r="D136" s="16">
        <v>117.31010000000001</v>
      </c>
      <c r="E136" s="16">
        <f t="shared" si="2"/>
        <v>78818.609821319726</v>
      </c>
    </row>
    <row r="137" spans="1:5" x14ac:dyDescent="0.25">
      <c r="A137" s="20">
        <v>32055</v>
      </c>
      <c r="B137" s="13" t="s">
        <v>142</v>
      </c>
      <c r="C137" s="19">
        <v>43723791</v>
      </c>
      <c r="D137" s="16">
        <v>556.18830000000003</v>
      </c>
      <c r="E137" s="16">
        <f t="shared" si="2"/>
        <v>78613.287981786023</v>
      </c>
    </row>
    <row r="138" spans="1:5" x14ac:dyDescent="0.25">
      <c r="A138" s="20">
        <v>32056</v>
      </c>
      <c r="B138" s="13" t="s">
        <v>143</v>
      </c>
      <c r="C138" s="19">
        <v>25364977</v>
      </c>
      <c r="D138" s="16">
        <v>120.9666</v>
      </c>
      <c r="E138" s="16">
        <f t="shared" si="2"/>
        <v>209685.78930051767</v>
      </c>
    </row>
    <row r="139" spans="1:5" x14ac:dyDescent="0.25">
      <c r="A139" s="20">
        <v>32058</v>
      </c>
      <c r="B139" s="13" t="s">
        <v>144</v>
      </c>
      <c r="C139" s="19">
        <v>14395073</v>
      </c>
      <c r="D139" s="16">
        <v>192.90289999999999</v>
      </c>
      <c r="E139" s="16">
        <f t="shared" si="2"/>
        <v>74623.414163291483</v>
      </c>
    </row>
    <row r="140" spans="1:5" x14ac:dyDescent="0.25">
      <c r="A140" s="20">
        <v>33090</v>
      </c>
      <c r="B140" s="13" t="s">
        <v>145</v>
      </c>
      <c r="C140" s="19">
        <v>66414108</v>
      </c>
      <c r="D140" s="16">
        <v>1010.0762</v>
      </c>
      <c r="E140" s="16">
        <f t="shared" si="2"/>
        <v>65751.581910354886</v>
      </c>
    </row>
    <row r="141" spans="1:5" x14ac:dyDescent="0.25">
      <c r="A141" s="20">
        <v>33091</v>
      </c>
      <c r="B141" s="13" t="s">
        <v>146</v>
      </c>
      <c r="C141" s="19">
        <v>13731355</v>
      </c>
      <c r="D141" s="16">
        <v>162.39019999999999</v>
      </c>
      <c r="E141" s="16">
        <f t="shared" si="2"/>
        <v>84557.781196155935</v>
      </c>
    </row>
    <row r="142" spans="1:5" x14ac:dyDescent="0.25">
      <c r="A142" s="20">
        <v>33092</v>
      </c>
      <c r="B142" s="13" t="s">
        <v>147</v>
      </c>
      <c r="C142" s="19">
        <v>18497610</v>
      </c>
      <c r="D142" s="16">
        <v>249.4238</v>
      </c>
      <c r="E142" s="16">
        <f t="shared" si="2"/>
        <v>74161.367118935726</v>
      </c>
    </row>
    <row r="143" spans="1:5" x14ac:dyDescent="0.25">
      <c r="A143" s="20">
        <v>33093</v>
      </c>
      <c r="B143" s="13" t="s">
        <v>148</v>
      </c>
      <c r="C143" s="19">
        <v>29444577</v>
      </c>
      <c r="D143" s="16">
        <v>364.01960000000003</v>
      </c>
      <c r="E143" s="16">
        <f t="shared" si="2"/>
        <v>80887.339582813671</v>
      </c>
    </row>
    <row r="144" spans="1:5" x14ac:dyDescent="0.25">
      <c r="A144" s="20">
        <v>33094</v>
      </c>
      <c r="B144" s="13" t="s">
        <v>149</v>
      </c>
      <c r="C144" s="19">
        <v>18229740</v>
      </c>
      <c r="D144" s="16">
        <v>250.80350000000001</v>
      </c>
      <c r="E144" s="16">
        <f t="shared" si="2"/>
        <v>72685.349287390331</v>
      </c>
    </row>
    <row r="145" spans="1:5" x14ac:dyDescent="0.25">
      <c r="A145" s="20">
        <v>34121</v>
      </c>
      <c r="B145" s="13" t="s">
        <v>150</v>
      </c>
      <c r="C145" s="19">
        <v>9045551</v>
      </c>
      <c r="D145" s="16">
        <v>120.15989999999999</v>
      </c>
      <c r="E145" s="16">
        <f t="shared" si="2"/>
        <v>75279.282023370528</v>
      </c>
    </row>
    <row r="146" spans="1:5" x14ac:dyDescent="0.25">
      <c r="A146" s="20">
        <v>34122</v>
      </c>
      <c r="B146" s="13" t="s">
        <v>151</v>
      </c>
      <c r="C146" s="19">
        <v>6305893</v>
      </c>
      <c r="D146" s="16">
        <v>111.6156</v>
      </c>
      <c r="E146" s="16">
        <f t="shared" si="2"/>
        <v>56496.52019968535</v>
      </c>
    </row>
    <row r="147" spans="1:5" x14ac:dyDescent="0.25">
      <c r="A147" s="20">
        <v>34124</v>
      </c>
      <c r="B147" s="13" t="s">
        <v>152</v>
      </c>
      <c r="C147" s="19">
        <v>92838937</v>
      </c>
      <c r="D147" s="16">
        <v>1203.7298000000001</v>
      </c>
      <c r="E147" s="16">
        <f t="shared" si="2"/>
        <v>77126.060183938287</v>
      </c>
    </row>
    <row r="148" spans="1:5" x14ac:dyDescent="0.25">
      <c r="A148" s="20">
        <v>35092</v>
      </c>
      <c r="B148" s="13" t="s">
        <v>153</v>
      </c>
      <c r="C148" s="19">
        <v>46853732</v>
      </c>
      <c r="D148" s="16">
        <v>969.89160000000004</v>
      </c>
      <c r="E148" s="16">
        <f t="shared" si="2"/>
        <v>48308.21506238429</v>
      </c>
    </row>
    <row r="149" spans="1:5" x14ac:dyDescent="0.25">
      <c r="A149" s="20">
        <v>35093</v>
      </c>
      <c r="B149" s="13" t="s">
        <v>154</v>
      </c>
      <c r="C149" s="19">
        <v>49124565</v>
      </c>
      <c r="D149" s="16">
        <v>592.06979999999999</v>
      </c>
      <c r="E149" s="16">
        <f t="shared" si="2"/>
        <v>82970.901403854747</v>
      </c>
    </row>
    <row r="150" spans="1:5" x14ac:dyDescent="0.25">
      <c r="A150" s="20">
        <v>35094</v>
      </c>
      <c r="B150" s="13" t="s">
        <v>155</v>
      </c>
      <c r="C150" s="19">
        <v>23312270</v>
      </c>
      <c r="D150" s="16">
        <v>484.98140000000001</v>
      </c>
      <c r="E150" s="16">
        <f t="shared" si="2"/>
        <v>48068.379529606704</v>
      </c>
    </row>
    <row r="151" spans="1:5" x14ac:dyDescent="0.25">
      <c r="A151" s="20">
        <v>35097</v>
      </c>
      <c r="B151" s="13" t="s">
        <v>156</v>
      </c>
      <c r="C151" s="19">
        <v>13659830</v>
      </c>
      <c r="D151" s="16">
        <v>306.87889999999999</v>
      </c>
      <c r="E151" s="16">
        <f t="shared" si="2"/>
        <v>44512.118623991417</v>
      </c>
    </row>
    <row r="152" spans="1:5" x14ac:dyDescent="0.25">
      <c r="A152" s="20">
        <v>35098</v>
      </c>
      <c r="B152" s="13" t="s">
        <v>157</v>
      </c>
      <c r="C152" s="19">
        <v>50840180</v>
      </c>
      <c r="D152" s="16">
        <v>750.00080000000003</v>
      </c>
      <c r="E152" s="16">
        <f t="shared" si="2"/>
        <v>67786.834360710011</v>
      </c>
    </row>
    <row r="153" spans="1:5" x14ac:dyDescent="0.25">
      <c r="A153" s="20">
        <v>35099</v>
      </c>
      <c r="B153" s="13" t="s">
        <v>158</v>
      </c>
      <c r="C153" s="19">
        <v>16564645</v>
      </c>
      <c r="D153" s="16">
        <v>275.71269999999998</v>
      </c>
      <c r="E153" s="16">
        <f t="shared" si="2"/>
        <v>60079.368850256084</v>
      </c>
    </row>
    <row r="154" spans="1:5" x14ac:dyDescent="0.25">
      <c r="A154" s="20">
        <v>35102</v>
      </c>
      <c r="B154" s="13" t="s">
        <v>159</v>
      </c>
      <c r="C154" s="19">
        <v>94799040</v>
      </c>
      <c r="D154" s="16">
        <v>1827.8422</v>
      </c>
      <c r="E154" s="16">
        <f t="shared" si="2"/>
        <v>51863.908164501292</v>
      </c>
    </row>
    <row r="155" spans="1:5" x14ac:dyDescent="0.25">
      <c r="A155" s="20">
        <v>36123</v>
      </c>
      <c r="B155" s="13" t="s">
        <v>160</v>
      </c>
      <c r="C155" s="19">
        <v>29995842</v>
      </c>
      <c r="D155" s="16">
        <v>179.75399999999999</v>
      </c>
      <c r="E155" s="16">
        <f t="shared" si="2"/>
        <v>166871.62455355652</v>
      </c>
    </row>
    <row r="156" spans="1:5" x14ac:dyDescent="0.25">
      <c r="A156" s="20">
        <v>36126</v>
      </c>
      <c r="B156" s="13" t="s">
        <v>161</v>
      </c>
      <c r="C156" s="19">
        <v>305071424</v>
      </c>
      <c r="D156" s="16">
        <v>3039.8472999999999</v>
      </c>
      <c r="E156" s="16">
        <f t="shared" si="2"/>
        <v>100357.48308804854</v>
      </c>
    </row>
    <row r="157" spans="1:5" x14ac:dyDescent="0.25">
      <c r="A157" s="20">
        <v>36131</v>
      </c>
      <c r="B157" s="13" t="s">
        <v>162</v>
      </c>
      <c r="C157" s="19">
        <v>293797610</v>
      </c>
      <c r="D157" s="16">
        <v>2991.2233999999999</v>
      </c>
      <c r="E157" s="16">
        <f t="shared" si="2"/>
        <v>98219.882206056558</v>
      </c>
    </row>
    <row r="158" spans="1:5" x14ac:dyDescent="0.25">
      <c r="A158" s="20">
        <v>36133</v>
      </c>
      <c r="B158" s="13" t="s">
        <v>163</v>
      </c>
      <c r="C158" s="19">
        <v>36008976</v>
      </c>
      <c r="D158" s="16">
        <v>459.79219999999998</v>
      </c>
      <c r="E158" s="16">
        <f t="shared" si="2"/>
        <v>78315.760902425056</v>
      </c>
    </row>
    <row r="159" spans="1:5" x14ac:dyDescent="0.25">
      <c r="A159" s="20">
        <v>36134</v>
      </c>
      <c r="B159" s="13" t="s">
        <v>164</v>
      </c>
      <c r="C159" s="19">
        <v>23985884</v>
      </c>
      <c r="D159" s="16">
        <v>327.03980000000001</v>
      </c>
      <c r="E159" s="16">
        <f t="shared" si="2"/>
        <v>73342.400527397578</v>
      </c>
    </row>
    <row r="160" spans="1:5" x14ac:dyDescent="0.25">
      <c r="A160" s="20">
        <v>36135</v>
      </c>
      <c r="B160" s="13" t="s">
        <v>165</v>
      </c>
      <c r="C160" s="19">
        <v>11065514</v>
      </c>
      <c r="D160" s="16">
        <v>114.5136</v>
      </c>
      <c r="E160" s="16">
        <f t="shared" si="2"/>
        <v>96630.566151094725</v>
      </c>
    </row>
    <row r="161" spans="1:5" x14ac:dyDescent="0.25">
      <c r="A161" s="20">
        <v>36136</v>
      </c>
      <c r="B161" s="13" t="s">
        <v>166</v>
      </c>
      <c r="C161" s="19">
        <v>139655125</v>
      </c>
      <c r="D161" s="16">
        <v>1978.2828</v>
      </c>
      <c r="E161" s="16">
        <f t="shared" si="2"/>
        <v>70594.115765450726</v>
      </c>
    </row>
    <row r="162" spans="1:5" x14ac:dyDescent="0.25">
      <c r="A162" s="20">
        <v>36137</v>
      </c>
      <c r="B162" s="13" t="s">
        <v>167</v>
      </c>
      <c r="C162" s="19">
        <v>160893762</v>
      </c>
      <c r="D162" s="16">
        <v>1949.7898</v>
      </c>
      <c r="E162" s="16">
        <f t="shared" si="2"/>
        <v>82518.516611380372</v>
      </c>
    </row>
    <row r="163" spans="1:5" x14ac:dyDescent="0.25">
      <c r="A163" s="20">
        <v>36138</v>
      </c>
      <c r="B163" s="13" t="s">
        <v>168</v>
      </c>
      <c r="C163" s="19">
        <v>35876433</v>
      </c>
      <c r="D163" s="16">
        <v>458.42610000000002</v>
      </c>
      <c r="E163" s="16">
        <f t="shared" si="2"/>
        <v>78260.013991349959</v>
      </c>
    </row>
    <row r="164" spans="1:5" x14ac:dyDescent="0.25">
      <c r="A164" s="20">
        <v>36139</v>
      </c>
      <c r="B164" s="13" t="s">
        <v>169</v>
      </c>
      <c r="C164" s="19">
        <v>749868345</v>
      </c>
      <c r="D164" s="16">
        <v>3753.1475</v>
      </c>
      <c r="E164" s="16">
        <f t="shared" si="2"/>
        <v>199797.19555386511</v>
      </c>
    </row>
    <row r="165" spans="1:5" x14ac:dyDescent="0.25">
      <c r="A165" s="20">
        <v>37037</v>
      </c>
      <c r="B165" s="13" t="s">
        <v>170</v>
      </c>
      <c r="C165" s="19">
        <v>148424773</v>
      </c>
      <c r="D165" s="16">
        <v>1762.4407000000001</v>
      </c>
      <c r="E165" s="16">
        <f t="shared" si="2"/>
        <v>84215.470625479764</v>
      </c>
    </row>
    <row r="166" spans="1:5" x14ac:dyDescent="0.25">
      <c r="A166" s="20">
        <v>37039</v>
      </c>
      <c r="B166" s="13" t="s">
        <v>171</v>
      </c>
      <c r="C166" s="19">
        <v>114309422</v>
      </c>
      <c r="D166" s="16">
        <v>927.45399999999995</v>
      </c>
      <c r="E166" s="16">
        <f t="shared" si="2"/>
        <v>123250.77254505345</v>
      </c>
    </row>
    <row r="167" spans="1:5" x14ac:dyDescent="0.25">
      <c r="A167" s="20">
        <v>38044</v>
      </c>
      <c r="B167" s="13" t="s">
        <v>172</v>
      </c>
      <c r="C167" s="19">
        <v>44798055</v>
      </c>
      <c r="D167" s="16">
        <v>299.09890000000001</v>
      </c>
      <c r="E167" s="16">
        <f t="shared" si="2"/>
        <v>149776.72936944937</v>
      </c>
    </row>
    <row r="168" spans="1:5" x14ac:dyDescent="0.25">
      <c r="A168" s="20">
        <v>38045</v>
      </c>
      <c r="B168" s="13" t="s">
        <v>173</v>
      </c>
      <c r="C168" s="19">
        <v>25309650</v>
      </c>
      <c r="D168" s="16">
        <v>299.6422</v>
      </c>
      <c r="E168" s="16">
        <f t="shared" si="2"/>
        <v>84466.240068988947</v>
      </c>
    </row>
    <row r="169" spans="1:5" x14ac:dyDescent="0.25">
      <c r="A169" s="20">
        <v>38046</v>
      </c>
      <c r="B169" s="13" t="s">
        <v>174</v>
      </c>
      <c r="C169" s="19">
        <v>36975158</v>
      </c>
      <c r="D169" s="16">
        <v>440.63200000000001</v>
      </c>
      <c r="E169" s="16">
        <f t="shared" si="2"/>
        <v>83913.919098022845</v>
      </c>
    </row>
    <row r="170" spans="1:5" x14ac:dyDescent="0.25">
      <c r="A170" s="20">
        <v>39133</v>
      </c>
      <c r="B170" s="13" t="s">
        <v>175</v>
      </c>
      <c r="C170" s="19">
        <v>339387690</v>
      </c>
      <c r="D170" s="16">
        <v>4364.1760999999997</v>
      </c>
      <c r="E170" s="16">
        <f t="shared" si="2"/>
        <v>77766.726690978408</v>
      </c>
    </row>
    <row r="171" spans="1:5" x14ac:dyDescent="0.25">
      <c r="A171" s="20">
        <v>39134</v>
      </c>
      <c r="B171" s="13" t="s">
        <v>176</v>
      </c>
      <c r="C171" s="19">
        <v>324476820</v>
      </c>
      <c r="D171" s="16">
        <v>4469.0825000000004</v>
      </c>
      <c r="E171" s="16">
        <f t="shared" si="2"/>
        <v>72604.795279568003</v>
      </c>
    </row>
    <row r="172" spans="1:5" x14ac:dyDescent="0.25">
      <c r="A172" s="20">
        <v>39135</v>
      </c>
      <c r="B172" s="13" t="s">
        <v>177</v>
      </c>
      <c r="C172" s="19">
        <v>55704586</v>
      </c>
      <c r="D172" s="16">
        <v>675.96550000000002</v>
      </c>
      <c r="E172" s="16">
        <f t="shared" si="2"/>
        <v>82407.439432929634</v>
      </c>
    </row>
    <row r="173" spans="1:5" x14ac:dyDescent="0.25">
      <c r="A173" s="20">
        <v>39136</v>
      </c>
      <c r="B173" s="13" t="s">
        <v>178</v>
      </c>
      <c r="C173" s="19">
        <v>17978835</v>
      </c>
      <c r="D173" s="16">
        <v>220.44159999999999</v>
      </c>
      <c r="E173" s="16">
        <f t="shared" si="2"/>
        <v>81558.26758651725</v>
      </c>
    </row>
    <row r="174" spans="1:5" x14ac:dyDescent="0.25">
      <c r="A174" s="20">
        <v>39137</v>
      </c>
      <c r="B174" s="13" t="s">
        <v>179</v>
      </c>
      <c r="C174" s="19">
        <v>166410052</v>
      </c>
      <c r="D174" s="16">
        <v>1115.4689000000001</v>
      </c>
      <c r="E174" s="16">
        <f t="shared" si="2"/>
        <v>149183.94587244879</v>
      </c>
    </row>
    <row r="175" spans="1:5" x14ac:dyDescent="0.25">
      <c r="A175" s="20">
        <v>39139</v>
      </c>
      <c r="B175" s="13" t="s">
        <v>180</v>
      </c>
      <c r="C175" s="19">
        <v>227377405</v>
      </c>
      <c r="D175" s="16">
        <v>2106.0630999999998</v>
      </c>
      <c r="E175" s="16">
        <f t="shared" si="2"/>
        <v>107963.24431115099</v>
      </c>
    </row>
    <row r="176" spans="1:5" x14ac:dyDescent="0.25">
      <c r="A176" s="20">
        <v>39141</v>
      </c>
      <c r="B176" s="13" t="s">
        <v>181</v>
      </c>
      <c r="C176" s="19">
        <v>3273354825</v>
      </c>
      <c r="D176" s="16">
        <v>23223.2958</v>
      </c>
      <c r="E176" s="16">
        <f t="shared" si="2"/>
        <v>140951.34700906664</v>
      </c>
    </row>
    <row r="177" spans="1:5" x14ac:dyDescent="0.25">
      <c r="A177" s="20">
        <v>39142</v>
      </c>
      <c r="B177" s="13" t="s">
        <v>182</v>
      </c>
      <c r="C177" s="19">
        <v>62472150</v>
      </c>
      <c r="D177" s="16">
        <v>1055.5596</v>
      </c>
      <c r="E177" s="16">
        <f t="shared" si="2"/>
        <v>59183.915337419123</v>
      </c>
    </row>
    <row r="178" spans="1:5" x14ac:dyDescent="0.25">
      <c r="A178" s="20">
        <v>40100</v>
      </c>
      <c r="B178" s="13" t="s">
        <v>183</v>
      </c>
      <c r="C178" s="19">
        <v>11674934</v>
      </c>
      <c r="D178" s="16">
        <v>134.85589999999999</v>
      </c>
      <c r="E178" s="16">
        <f t="shared" si="2"/>
        <v>86573.401682833311</v>
      </c>
    </row>
    <row r="179" spans="1:5" x14ac:dyDescent="0.25">
      <c r="A179" s="20">
        <v>40101</v>
      </c>
      <c r="B179" s="13" t="s">
        <v>184</v>
      </c>
      <c r="C179" s="19">
        <v>4015624</v>
      </c>
      <c r="D179" s="16">
        <v>52.3399</v>
      </c>
      <c r="E179" s="16">
        <f t="shared" si="2"/>
        <v>76722.041883916478</v>
      </c>
    </row>
    <row r="180" spans="1:5" x14ac:dyDescent="0.25">
      <c r="A180" s="20">
        <v>40103</v>
      </c>
      <c r="B180" s="13" t="s">
        <v>185</v>
      </c>
      <c r="C180" s="19">
        <v>7452411</v>
      </c>
      <c r="D180" s="16">
        <v>68.863500000000002</v>
      </c>
      <c r="E180" s="16">
        <f t="shared" si="2"/>
        <v>108220.04400008713</v>
      </c>
    </row>
    <row r="181" spans="1:5" x14ac:dyDescent="0.25">
      <c r="A181" s="20">
        <v>40104</v>
      </c>
      <c r="B181" s="13" t="s">
        <v>186</v>
      </c>
      <c r="C181" s="19">
        <v>5767750</v>
      </c>
      <c r="D181" s="16">
        <v>67.818799999999996</v>
      </c>
      <c r="E181" s="16">
        <f t="shared" si="2"/>
        <v>85046.476788147251</v>
      </c>
    </row>
    <row r="182" spans="1:5" x14ac:dyDescent="0.25">
      <c r="A182" s="20">
        <v>40107</v>
      </c>
      <c r="B182" s="13" t="s">
        <v>187</v>
      </c>
      <c r="C182" s="19">
        <v>73763308</v>
      </c>
      <c r="D182" s="16">
        <v>1073.5676000000001</v>
      </c>
      <c r="E182" s="16">
        <f t="shared" si="2"/>
        <v>68708.582487027365</v>
      </c>
    </row>
    <row r="183" spans="1:5" x14ac:dyDescent="0.25">
      <c r="A183" s="20">
        <v>41001</v>
      </c>
      <c r="B183" s="13" t="s">
        <v>188</v>
      </c>
      <c r="C183" s="19">
        <v>8617584</v>
      </c>
      <c r="D183" s="16">
        <v>86.868300000000005</v>
      </c>
      <c r="E183" s="16">
        <f t="shared" si="2"/>
        <v>99202.862263909847</v>
      </c>
    </row>
    <row r="184" spans="1:5" x14ac:dyDescent="0.25">
      <c r="A184" s="20">
        <v>41002</v>
      </c>
      <c r="B184" s="13" t="s">
        <v>189</v>
      </c>
      <c r="C184" s="19">
        <v>59385294</v>
      </c>
      <c r="D184" s="16">
        <v>850.48900000000003</v>
      </c>
      <c r="E184" s="16">
        <f t="shared" si="2"/>
        <v>69824.881920871398</v>
      </c>
    </row>
    <row r="185" spans="1:5" x14ac:dyDescent="0.25">
      <c r="A185" s="20">
        <v>41003</v>
      </c>
      <c r="B185" s="13" t="s">
        <v>190</v>
      </c>
      <c r="C185" s="19">
        <v>17644555</v>
      </c>
      <c r="D185" s="16">
        <v>204.60579999999999</v>
      </c>
      <c r="E185" s="16">
        <f t="shared" si="2"/>
        <v>86236.827108517944</v>
      </c>
    </row>
    <row r="186" spans="1:5" x14ac:dyDescent="0.25">
      <c r="A186" s="20">
        <v>41004</v>
      </c>
      <c r="B186" s="13" t="s">
        <v>191</v>
      </c>
      <c r="C186" s="19">
        <v>10501104</v>
      </c>
      <c r="D186" s="16">
        <v>131.31039999999999</v>
      </c>
      <c r="E186" s="16">
        <f t="shared" si="2"/>
        <v>79971.609255626376</v>
      </c>
    </row>
    <row r="187" spans="1:5" x14ac:dyDescent="0.25">
      <c r="A187" s="20">
        <v>41005</v>
      </c>
      <c r="B187" s="13" t="s">
        <v>192</v>
      </c>
      <c r="C187" s="19">
        <v>6937125</v>
      </c>
      <c r="D187" s="16">
        <v>77.898099999999999</v>
      </c>
      <c r="E187" s="16">
        <f t="shared" si="2"/>
        <v>89053.840851060551</v>
      </c>
    </row>
    <row r="188" spans="1:5" x14ac:dyDescent="0.25">
      <c r="A188" s="20">
        <v>42111</v>
      </c>
      <c r="B188" s="13" t="s">
        <v>193</v>
      </c>
      <c r="C188" s="19">
        <v>43324832</v>
      </c>
      <c r="D188" s="16">
        <v>672.01840000000004</v>
      </c>
      <c r="E188" s="16">
        <f t="shared" si="2"/>
        <v>64469.710948390697</v>
      </c>
    </row>
    <row r="189" spans="1:5" x14ac:dyDescent="0.25">
      <c r="A189" s="20">
        <v>42113</v>
      </c>
      <c r="B189" s="13" t="s">
        <v>194</v>
      </c>
      <c r="C189" s="19">
        <v>9599479</v>
      </c>
      <c r="D189" s="16">
        <v>75.846500000000006</v>
      </c>
      <c r="E189" s="16">
        <f t="shared" si="2"/>
        <v>126564.56131792501</v>
      </c>
    </row>
    <row r="190" spans="1:5" x14ac:dyDescent="0.25">
      <c r="A190" s="20">
        <v>42117</v>
      </c>
      <c r="B190" s="13" t="s">
        <v>195</v>
      </c>
      <c r="C190" s="19">
        <v>10312630</v>
      </c>
      <c r="D190" s="16">
        <v>115.5757</v>
      </c>
      <c r="E190" s="16">
        <f t="shared" si="2"/>
        <v>89228.358556340128</v>
      </c>
    </row>
    <row r="191" spans="1:5" x14ac:dyDescent="0.25">
      <c r="A191" s="20">
        <v>42118</v>
      </c>
      <c r="B191" s="13" t="s">
        <v>196</v>
      </c>
      <c r="C191" s="19">
        <v>15749905</v>
      </c>
      <c r="D191" s="16">
        <v>112.7831</v>
      </c>
      <c r="E191" s="16">
        <f t="shared" si="2"/>
        <v>139647.73977661546</v>
      </c>
    </row>
    <row r="192" spans="1:5" x14ac:dyDescent="0.25">
      <c r="A192" s="20">
        <v>42119</v>
      </c>
      <c r="B192" s="13" t="s">
        <v>197</v>
      </c>
      <c r="C192" s="19">
        <v>18034230</v>
      </c>
      <c r="D192" s="16">
        <v>61.132100000000001</v>
      </c>
      <c r="E192" s="16">
        <f t="shared" si="2"/>
        <v>295004.26126372232</v>
      </c>
    </row>
    <row r="193" spans="1:5" x14ac:dyDescent="0.25">
      <c r="A193" s="20">
        <v>42121</v>
      </c>
      <c r="B193" s="13" t="s">
        <v>198</v>
      </c>
      <c r="C193" s="19">
        <v>10368501</v>
      </c>
      <c r="D193" s="16">
        <v>92.635999999999996</v>
      </c>
      <c r="E193" s="16">
        <f t="shared" si="2"/>
        <v>111927.33926335335</v>
      </c>
    </row>
    <row r="194" spans="1:5" x14ac:dyDescent="0.25">
      <c r="A194" s="20">
        <v>42124</v>
      </c>
      <c r="B194" s="13" t="s">
        <v>199</v>
      </c>
      <c r="C194" s="19">
        <v>163642615</v>
      </c>
      <c r="D194" s="16">
        <v>1553.2832000000001</v>
      </c>
      <c r="E194" s="16">
        <f t="shared" si="2"/>
        <v>105352.72318660241</v>
      </c>
    </row>
    <row r="195" spans="1:5" x14ac:dyDescent="0.25">
      <c r="A195" s="20">
        <v>43001</v>
      </c>
      <c r="B195" s="13" t="s">
        <v>200</v>
      </c>
      <c r="C195" s="19">
        <v>41493913</v>
      </c>
      <c r="D195" s="16">
        <v>685.61890000000005</v>
      </c>
      <c r="E195" s="16">
        <f t="shared" ref="E195:E258" si="3">C195/D195</f>
        <v>60520.375094677227</v>
      </c>
    </row>
    <row r="196" spans="1:5" x14ac:dyDescent="0.25">
      <c r="A196" s="20">
        <v>43002</v>
      </c>
      <c r="B196" s="13" t="s">
        <v>201</v>
      </c>
      <c r="C196" s="19">
        <v>35780369</v>
      </c>
      <c r="D196" s="16">
        <v>283.41969999999998</v>
      </c>
      <c r="E196" s="16">
        <f t="shared" si="3"/>
        <v>126245.17279497509</v>
      </c>
    </row>
    <row r="197" spans="1:5" x14ac:dyDescent="0.25">
      <c r="A197" s="20">
        <v>43003</v>
      </c>
      <c r="B197" s="13" t="s">
        <v>202</v>
      </c>
      <c r="C197" s="19">
        <v>22784866</v>
      </c>
      <c r="D197" s="16">
        <v>292.036</v>
      </c>
      <c r="E197" s="16">
        <f t="shared" si="3"/>
        <v>78020.744017860809</v>
      </c>
    </row>
    <row r="198" spans="1:5" x14ac:dyDescent="0.25">
      <c r="A198" s="20">
        <v>43004</v>
      </c>
      <c r="B198" s="13" t="s">
        <v>203</v>
      </c>
      <c r="C198" s="19">
        <v>40588851</v>
      </c>
      <c r="D198" s="16">
        <v>243.86359999999999</v>
      </c>
      <c r="E198" s="16">
        <f t="shared" si="3"/>
        <v>166440.79313189833</v>
      </c>
    </row>
    <row r="199" spans="1:5" x14ac:dyDescent="0.25">
      <c r="A199" s="20">
        <v>44078</v>
      </c>
      <c r="B199" s="13" t="s">
        <v>204</v>
      </c>
      <c r="C199" s="19">
        <v>24591512</v>
      </c>
      <c r="D199" s="16">
        <v>67.324399999999997</v>
      </c>
      <c r="E199" s="16">
        <f t="shared" si="3"/>
        <v>365268.93667080585</v>
      </c>
    </row>
    <row r="200" spans="1:5" x14ac:dyDescent="0.25">
      <c r="A200" s="20">
        <v>44083</v>
      </c>
      <c r="B200" s="13" t="s">
        <v>205</v>
      </c>
      <c r="C200" s="19">
        <v>29879961</v>
      </c>
      <c r="D200" s="16">
        <v>243.50819999999999</v>
      </c>
      <c r="E200" s="16">
        <f t="shared" si="3"/>
        <v>122706.17991509115</v>
      </c>
    </row>
    <row r="201" spans="1:5" x14ac:dyDescent="0.25">
      <c r="A201" s="20">
        <v>44084</v>
      </c>
      <c r="B201" s="13" t="s">
        <v>206</v>
      </c>
      <c r="C201" s="19">
        <v>31347399</v>
      </c>
      <c r="D201" s="16">
        <v>240.12960000000001</v>
      </c>
      <c r="E201" s="16">
        <f t="shared" si="3"/>
        <v>130543.66891878385</v>
      </c>
    </row>
    <row r="202" spans="1:5" x14ac:dyDescent="0.25">
      <c r="A202" s="20">
        <v>45076</v>
      </c>
      <c r="B202" s="13" t="s">
        <v>207</v>
      </c>
      <c r="C202" s="19">
        <v>26460037</v>
      </c>
      <c r="D202" s="16">
        <v>424.18439999999998</v>
      </c>
      <c r="E202" s="16">
        <f t="shared" si="3"/>
        <v>62378.618827095008</v>
      </c>
    </row>
    <row r="203" spans="1:5" x14ac:dyDescent="0.25">
      <c r="A203" s="20">
        <v>45077</v>
      </c>
      <c r="B203" s="13" t="s">
        <v>208</v>
      </c>
      <c r="C203" s="19">
        <v>49509899</v>
      </c>
      <c r="D203" s="16">
        <v>574.24649999999997</v>
      </c>
      <c r="E203" s="16">
        <f t="shared" si="3"/>
        <v>86217.154131544565</v>
      </c>
    </row>
    <row r="204" spans="1:5" x14ac:dyDescent="0.25">
      <c r="A204" s="20">
        <v>45078</v>
      </c>
      <c r="B204" s="13" t="s">
        <v>209</v>
      </c>
      <c r="C204" s="19">
        <v>24692009</v>
      </c>
      <c r="D204" s="16">
        <v>252.4341</v>
      </c>
      <c r="E204" s="16">
        <f t="shared" si="3"/>
        <v>97815.66357318603</v>
      </c>
    </row>
    <row r="205" spans="1:5" x14ac:dyDescent="0.25">
      <c r="A205" s="20">
        <v>46128</v>
      </c>
      <c r="B205" s="13" t="s">
        <v>210</v>
      </c>
      <c r="C205" s="19">
        <v>23762180</v>
      </c>
      <c r="D205" s="16">
        <v>289.45589999999999</v>
      </c>
      <c r="E205" s="16">
        <f t="shared" si="3"/>
        <v>82092.574378342266</v>
      </c>
    </row>
    <row r="206" spans="1:5" x14ac:dyDescent="0.25">
      <c r="A206" s="20">
        <v>46130</v>
      </c>
      <c r="B206" s="13" t="s">
        <v>211</v>
      </c>
      <c r="C206" s="19">
        <v>67078016</v>
      </c>
      <c r="D206" s="16">
        <v>1104.7701</v>
      </c>
      <c r="E206" s="16">
        <f t="shared" si="3"/>
        <v>60716.719252267962</v>
      </c>
    </row>
    <row r="207" spans="1:5" x14ac:dyDescent="0.25">
      <c r="A207" s="20">
        <v>46131</v>
      </c>
      <c r="B207" s="13" t="s">
        <v>212</v>
      </c>
      <c r="C207" s="19">
        <v>69037159</v>
      </c>
      <c r="D207" s="16">
        <v>1255.2433000000001</v>
      </c>
      <c r="E207" s="16">
        <f t="shared" si="3"/>
        <v>54999.026085221878</v>
      </c>
    </row>
    <row r="208" spans="1:5" x14ac:dyDescent="0.25">
      <c r="A208" s="20">
        <v>46132</v>
      </c>
      <c r="B208" s="13" t="s">
        <v>213</v>
      </c>
      <c r="C208" s="19">
        <v>39904160</v>
      </c>
      <c r="D208" s="16">
        <v>580.93939999999998</v>
      </c>
      <c r="E208" s="16">
        <f t="shared" si="3"/>
        <v>68689.023330144249</v>
      </c>
    </row>
    <row r="209" spans="1:5" x14ac:dyDescent="0.25">
      <c r="A209" s="20">
        <v>46134</v>
      </c>
      <c r="B209" s="13" t="s">
        <v>214</v>
      </c>
      <c r="C209" s="19">
        <v>155240510</v>
      </c>
      <c r="D209" s="16">
        <v>1863.9912999999999</v>
      </c>
      <c r="E209" s="16">
        <f t="shared" si="3"/>
        <v>83283.924125611535</v>
      </c>
    </row>
    <row r="210" spans="1:5" x14ac:dyDescent="0.25">
      <c r="A210" s="20">
        <v>46135</v>
      </c>
      <c r="B210" s="13" t="s">
        <v>215</v>
      </c>
      <c r="C210" s="19">
        <v>26652328</v>
      </c>
      <c r="D210" s="16">
        <v>321.59339999999997</v>
      </c>
      <c r="E210" s="16">
        <f t="shared" si="3"/>
        <v>82875.855039313625</v>
      </c>
    </row>
    <row r="211" spans="1:5" x14ac:dyDescent="0.25">
      <c r="A211" s="20">
        <v>46137</v>
      </c>
      <c r="B211" s="13" t="s">
        <v>216</v>
      </c>
      <c r="C211" s="19">
        <v>17486170</v>
      </c>
      <c r="D211" s="16">
        <v>286.3449</v>
      </c>
      <c r="E211" s="16">
        <f t="shared" si="3"/>
        <v>61066.811387246642</v>
      </c>
    </row>
    <row r="212" spans="1:5" x14ac:dyDescent="0.25">
      <c r="A212" s="20">
        <v>46140</v>
      </c>
      <c r="B212" s="13" t="s">
        <v>217</v>
      </c>
      <c r="C212" s="19">
        <v>44377620</v>
      </c>
      <c r="D212" s="16">
        <v>655.66189999999995</v>
      </c>
      <c r="E212" s="16">
        <f t="shared" si="3"/>
        <v>67683.694904340184</v>
      </c>
    </row>
    <row r="213" spans="1:5" x14ac:dyDescent="0.25">
      <c r="A213" s="20">
        <v>47060</v>
      </c>
      <c r="B213" s="13" t="s">
        <v>218</v>
      </c>
      <c r="C213" s="19">
        <v>32776524</v>
      </c>
      <c r="D213" s="16">
        <v>295.22559999999999</v>
      </c>
      <c r="E213" s="16">
        <f t="shared" si="3"/>
        <v>111021.95744542479</v>
      </c>
    </row>
    <row r="214" spans="1:5" x14ac:dyDescent="0.25">
      <c r="A214" s="20">
        <v>47062</v>
      </c>
      <c r="B214" s="13" t="s">
        <v>219</v>
      </c>
      <c r="C214" s="19">
        <v>48242990</v>
      </c>
      <c r="D214" s="16">
        <v>974.92690000000005</v>
      </c>
      <c r="E214" s="16">
        <f t="shared" si="3"/>
        <v>49483.699752258348</v>
      </c>
    </row>
    <row r="215" spans="1:5" x14ac:dyDescent="0.25">
      <c r="A215" s="20">
        <v>47064</v>
      </c>
      <c r="B215" s="13" t="s">
        <v>220</v>
      </c>
      <c r="C215" s="19">
        <v>10995360</v>
      </c>
      <c r="D215" s="16">
        <v>174.71510000000001</v>
      </c>
      <c r="E215" s="16">
        <f t="shared" si="3"/>
        <v>62933.083631580783</v>
      </c>
    </row>
    <row r="216" spans="1:5" x14ac:dyDescent="0.25">
      <c r="A216" s="20">
        <v>47065</v>
      </c>
      <c r="B216" s="13" t="s">
        <v>221</v>
      </c>
      <c r="C216" s="19">
        <v>99428054</v>
      </c>
      <c r="D216" s="16">
        <v>383.3014</v>
      </c>
      <c r="E216" s="16">
        <f t="shared" si="3"/>
        <v>259399.14125020153</v>
      </c>
    </row>
    <row r="217" spans="1:5" x14ac:dyDescent="0.25">
      <c r="A217" s="20">
        <v>48066</v>
      </c>
      <c r="B217" s="13" t="s">
        <v>222</v>
      </c>
      <c r="C217" s="19">
        <v>256106755</v>
      </c>
      <c r="D217" s="16">
        <v>4842.5502999999999</v>
      </c>
      <c r="E217" s="16">
        <f t="shared" si="3"/>
        <v>52886.751635806446</v>
      </c>
    </row>
    <row r="218" spans="1:5" x14ac:dyDescent="0.25">
      <c r="A218" s="20">
        <v>48068</v>
      </c>
      <c r="B218" s="13" t="s">
        <v>223</v>
      </c>
      <c r="C218" s="19">
        <v>1222331628</v>
      </c>
      <c r="D218" s="16">
        <v>13859.418299999999</v>
      </c>
      <c r="E218" s="16">
        <f t="shared" si="3"/>
        <v>88195.016669639022</v>
      </c>
    </row>
    <row r="219" spans="1:5" x14ac:dyDescent="0.25">
      <c r="A219" s="20">
        <v>48069</v>
      </c>
      <c r="B219" s="13" t="s">
        <v>224</v>
      </c>
      <c r="C219" s="19">
        <v>256128432</v>
      </c>
      <c r="D219" s="16">
        <v>3821.4814000000001</v>
      </c>
      <c r="E219" s="16">
        <f t="shared" si="3"/>
        <v>67023.336028797625</v>
      </c>
    </row>
    <row r="220" spans="1:5" x14ac:dyDescent="0.25">
      <c r="A220" s="20">
        <v>48070</v>
      </c>
      <c r="B220" s="13" t="s">
        <v>225</v>
      </c>
      <c r="C220" s="19">
        <v>119761442</v>
      </c>
      <c r="D220" s="16">
        <v>1928.4454000000001</v>
      </c>
      <c r="E220" s="16">
        <f t="shared" si="3"/>
        <v>62102.583770326084</v>
      </c>
    </row>
    <row r="221" spans="1:5" x14ac:dyDescent="0.25">
      <c r="A221" s="20">
        <v>48071</v>
      </c>
      <c r="B221" s="13" t="s">
        <v>226</v>
      </c>
      <c r="C221" s="19">
        <v>1670330858</v>
      </c>
      <c r="D221" s="16">
        <v>16823.061600000001</v>
      </c>
      <c r="E221" s="16">
        <f t="shared" si="3"/>
        <v>99288.161555563696</v>
      </c>
    </row>
    <row r="222" spans="1:5" x14ac:dyDescent="0.25">
      <c r="A222" s="20">
        <v>48072</v>
      </c>
      <c r="B222" s="13" t="s">
        <v>227</v>
      </c>
      <c r="C222" s="19">
        <v>332604283</v>
      </c>
      <c r="D222" s="16">
        <v>5848.5456999999997</v>
      </c>
      <c r="E222" s="16">
        <f t="shared" si="3"/>
        <v>56869.570669508495</v>
      </c>
    </row>
    <row r="223" spans="1:5" x14ac:dyDescent="0.25">
      <c r="A223" s="20">
        <v>48073</v>
      </c>
      <c r="B223" s="13" t="s">
        <v>228</v>
      </c>
      <c r="C223" s="19">
        <v>603697214</v>
      </c>
      <c r="D223" s="16">
        <v>8642.2477999999992</v>
      </c>
      <c r="E223" s="16">
        <f t="shared" si="3"/>
        <v>69854.189323291575</v>
      </c>
    </row>
    <row r="224" spans="1:5" x14ac:dyDescent="0.25">
      <c r="A224" s="20">
        <v>48074</v>
      </c>
      <c r="B224" s="13" t="s">
        <v>229</v>
      </c>
      <c r="C224" s="19">
        <v>402355290</v>
      </c>
      <c r="D224" s="16">
        <v>3977.8915000000002</v>
      </c>
      <c r="E224" s="16">
        <f t="shared" si="3"/>
        <v>101147.87947333405</v>
      </c>
    </row>
    <row r="225" spans="1:5" x14ac:dyDescent="0.25">
      <c r="A225" s="20">
        <v>48075</v>
      </c>
      <c r="B225" s="13" t="s">
        <v>230</v>
      </c>
      <c r="C225" s="19">
        <v>49487338</v>
      </c>
      <c r="D225" s="16">
        <v>554.65800000000002</v>
      </c>
      <c r="E225" s="16">
        <f t="shared" si="3"/>
        <v>89221.354420201271</v>
      </c>
    </row>
    <row r="226" spans="1:5" x14ac:dyDescent="0.25">
      <c r="A226" s="20">
        <v>48077</v>
      </c>
      <c r="B226" s="13" t="s">
        <v>231</v>
      </c>
      <c r="C226" s="19">
        <v>914202317</v>
      </c>
      <c r="D226" s="16">
        <v>13893.394399999999</v>
      </c>
      <c r="E226" s="16">
        <f t="shared" si="3"/>
        <v>65801.221118433095</v>
      </c>
    </row>
    <row r="227" spans="1:5" x14ac:dyDescent="0.25">
      <c r="A227" s="20">
        <v>48078</v>
      </c>
      <c r="B227" s="13" t="s">
        <v>1588</v>
      </c>
      <c r="C227" s="19">
        <v>2735470548</v>
      </c>
      <c r="D227" s="16">
        <v>24205.659199999998</v>
      </c>
      <c r="E227" s="16">
        <f t="shared" si="3"/>
        <v>113009.5456355099</v>
      </c>
    </row>
    <row r="228" spans="1:5" x14ac:dyDescent="0.25">
      <c r="A228" s="20">
        <v>48080</v>
      </c>
      <c r="B228" s="13" t="s">
        <v>233</v>
      </c>
      <c r="C228" s="19">
        <v>368999363</v>
      </c>
      <c r="D228" s="16">
        <v>2306.4708000000001</v>
      </c>
      <c r="E228" s="16">
        <f t="shared" si="3"/>
        <v>159984.40691293383</v>
      </c>
    </row>
    <row r="229" spans="1:5" x14ac:dyDescent="0.25">
      <c r="A229" s="20">
        <v>49132</v>
      </c>
      <c r="B229" s="13" t="s">
        <v>234</v>
      </c>
      <c r="C229" s="19">
        <v>260260548</v>
      </c>
      <c r="D229" s="16">
        <v>3144.3642</v>
      </c>
      <c r="E229" s="16">
        <f t="shared" si="3"/>
        <v>82770.484411443176</v>
      </c>
    </row>
    <row r="230" spans="1:5" x14ac:dyDescent="0.25">
      <c r="A230" s="20">
        <v>49135</v>
      </c>
      <c r="B230" s="13" t="s">
        <v>235</v>
      </c>
      <c r="C230" s="19">
        <v>19208565</v>
      </c>
      <c r="D230" s="16">
        <v>216.2516</v>
      </c>
      <c r="E230" s="16">
        <f t="shared" si="3"/>
        <v>88825.076901165128</v>
      </c>
    </row>
    <row r="231" spans="1:5" x14ac:dyDescent="0.25">
      <c r="A231" s="20">
        <v>49137</v>
      </c>
      <c r="B231" s="13" t="s">
        <v>236</v>
      </c>
      <c r="C231" s="19">
        <v>37988786</v>
      </c>
      <c r="D231" s="16">
        <v>465.7937</v>
      </c>
      <c r="E231" s="16">
        <f t="shared" si="3"/>
        <v>81557.105645696793</v>
      </c>
    </row>
    <row r="232" spans="1:5" x14ac:dyDescent="0.25">
      <c r="A232" s="20">
        <v>49140</v>
      </c>
      <c r="B232" s="13" t="s">
        <v>237</v>
      </c>
      <c r="C232" s="19">
        <v>34461273</v>
      </c>
      <c r="D232" s="16">
        <v>790.25480000000005</v>
      </c>
      <c r="E232" s="16">
        <f t="shared" si="3"/>
        <v>43607.799661577505</v>
      </c>
    </row>
    <row r="233" spans="1:5" x14ac:dyDescent="0.25">
      <c r="A233" s="20">
        <v>49142</v>
      </c>
      <c r="B233" s="13" t="s">
        <v>238</v>
      </c>
      <c r="C233" s="19">
        <v>301835711</v>
      </c>
      <c r="D233" s="16">
        <v>4360.9569000000001</v>
      </c>
      <c r="E233" s="16">
        <f t="shared" si="3"/>
        <v>69213.183693698054</v>
      </c>
    </row>
    <row r="234" spans="1:5" x14ac:dyDescent="0.25">
      <c r="A234" s="20">
        <v>49144</v>
      </c>
      <c r="B234" s="13" t="s">
        <v>239</v>
      </c>
      <c r="C234" s="19">
        <v>230164326</v>
      </c>
      <c r="D234" s="16">
        <v>4118.0528999999997</v>
      </c>
      <c r="E234" s="16">
        <f t="shared" si="3"/>
        <v>55891.541849790228</v>
      </c>
    </row>
    <row r="235" spans="1:5" x14ac:dyDescent="0.25">
      <c r="A235" s="20">
        <v>49148</v>
      </c>
      <c r="B235" s="13" t="s">
        <v>240</v>
      </c>
      <c r="C235" s="19">
        <v>863115902</v>
      </c>
      <c r="D235" s="16">
        <v>7273.2316000000001</v>
      </c>
      <c r="E235" s="16">
        <f t="shared" si="3"/>
        <v>118670.20733947205</v>
      </c>
    </row>
    <row r="236" spans="1:5" x14ac:dyDescent="0.25">
      <c r="A236" s="20">
        <v>50001</v>
      </c>
      <c r="B236" s="13" t="s">
        <v>241</v>
      </c>
      <c r="C236" s="19">
        <v>546617693</v>
      </c>
      <c r="D236" s="16">
        <v>6380.3465999999999</v>
      </c>
      <c r="E236" s="16">
        <f t="shared" si="3"/>
        <v>85672.100164589807</v>
      </c>
    </row>
    <row r="237" spans="1:5" x14ac:dyDescent="0.25">
      <c r="A237" s="20">
        <v>50002</v>
      </c>
      <c r="B237" s="13" t="s">
        <v>242</v>
      </c>
      <c r="C237" s="19">
        <v>49886214</v>
      </c>
      <c r="D237" s="16">
        <v>711.76229999999998</v>
      </c>
      <c r="E237" s="16">
        <f t="shared" si="3"/>
        <v>70088.306166258029</v>
      </c>
    </row>
    <row r="238" spans="1:5" x14ac:dyDescent="0.25">
      <c r="A238" s="20">
        <v>50003</v>
      </c>
      <c r="B238" s="13" t="s">
        <v>243</v>
      </c>
      <c r="C238" s="19">
        <v>241622448</v>
      </c>
      <c r="D238" s="16">
        <v>3275.3076000000001</v>
      </c>
      <c r="E238" s="16">
        <f t="shared" si="3"/>
        <v>73770.917882644062</v>
      </c>
    </row>
    <row r="239" spans="1:5" x14ac:dyDescent="0.25">
      <c r="A239" s="20">
        <v>50005</v>
      </c>
      <c r="B239" s="13" t="s">
        <v>244</v>
      </c>
      <c r="C239" s="19">
        <v>148961565</v>
      </c>
      <c r="D239" s="16">
        <v>1530.4487999999999</v>
      </c>
      <c r="E239" s="16">
        <f t="shared" si="3"/>
        <v>97331.949294873513</v>
      </c>
    </row>
    <row r="240" spans="1:5" x14ac:dyDescent="0.25">
      <c r="A240" s="20">
        <v>50006</v>
      </c>
      <c r="B240" s="13" t="s">
        <v>245</v>
      </c>
      <c r="C240" s="19">
        <v>241091713</v>
      </c>
      <c r="D240" s="16">
        <v>2898.8467999999998</v>
      </c>
      <c r="E240" s="16">
        <f t="shared" si="3"/>
        <v>83168.145691590194</v>
      </c>
    </row>
    <row r="241" spans="1:5" x14ac:dyDescent="0.25">
      <c r="A241" s="20">
        <v>50007</v>
      </c>
      <c r="B241" s="13" t="s">
        <v>246</v>
      </c>
      <c r="C241" s="19">
        <v>179304384</v>
      </c>
      <c r="D241" s="16">
        <v>967.45100000000002</v>
      </c>
      <c r="E241" s="16">
        <f t="shared" si="3"/>
        <v>185336.9152546227</v>
      </c>
    </row>
    <row r="242" spans="1:5" x14ac:dyDescent="0.25">
      <c r="A242" s="20">
        <v>50009</v>
      </c>
      <c r="B242" s="13" t="s">
        <v>247</v>
      </c>
      <c r="C242" s="19">
        <v>33553726</v>
      </c>
      <c r="D242" s="16">
        <v>380.74090000000001</v>
      </c>
      <c r="E242" s="16">
        <f t="shared" si="3"/>
        <v>88127.453604275244</v>
      </c>
    </row>
    <row r="243" spans="1:5" x14ac:dyDescent="0.25">
      <c r="A243" s="20">
        <v>50010</v>
      </c>
      <c r="B243" s="13" t="s">
        <v>248</v>
      </c>
      <c r="C243" s="19">
        <v>206417064</v>
      </c>
      <c r="D243" s="16">
        <v>2972.8269</v>
      </c>
      <c r="E243" s="16">
        <f t="shared" si="3"/>
        <v>69434.605829219319</v>
      </c>
    </row>
    <row r="244" spans="1:5" x14ac:dyDescent="0.25">
      <c r="A244" s="20">
        <v>50012</v>
      </c>
      <c r="B244" s="13" t="s">
        <v>249</v>
      </c>
      <c r="C244" s="19">
        <v>846523814</v>
      </c>
      <c r="D244" s="16">
        <v>11097.5924</v>
      </c>
      <c r="E244" s="16">
        <f t="shared" si="3"/>
        <v>76279.951856945117</v>
      </c>
    </row>
    <row r="245" spans="1:5" x14ac:dyDescent="0.25">
      <c r="A245" s="20">
        <v>50013</v>
      </c>
      <c r="B245" s="13" t="s">
        <v>250</v>
      </c>
      <c r="C245" s="19">
        <v>57154649</v>
      </c>
      <c r="D245" s="16">
        <v>579.94820000000004</v>
      </c>
      <c r="E245" s="16">
        <f t="shared" si="3"/>
        <v>98551.299926441701</v>
      </c>
    </row>
    <row r="246" spans="1:5" x14ac:dyDescent="0.25">
      <c r="A246" s="20">
        <v>50014</v>
      </c>
      <c r="B246" s="13" t="s">
        <v>251</v>
      </c>
      <c r="C246" s="19">
        <v>179699351</v>
      </c>
      <c r="D246" s="16">
        <v>2813.2222999999999</v>
      </c>
      <c r="E246" s="16">
        <f t="shared" si="3"/>
        <v>63876.697906169735</v>
      </c>
    </row>
    <row r="247" spans="1:5" x14ac:dyDescent="0.25">
      <c r="A247" s="20">
        <v>51150</v>
      </c>
      <c r="B247" s="13" t="s">
        <v>252</v>
      </c>
      <c r="C247" s="19">
        <v>23503463</v>
      </c>
      <c r="D247" s="16">
        <v>252.57929999999999</v>
      </c>
      <c r="E247" s="16">
        <f t="shared" si="3"/>
        <v>93053.797361858247</v>
      </c>
    </row>
    <row r="248" spans="1:5" x14ac:dyDescent="0.25">
      <c r="A248" s="20">
        <v>51152</v>
      </c>
      <c r="B248" s="13" t="s">
        <v>253</v>
      </c>
      <c r="C248" s="19">
        <v>98931724</v>
      </c>
      <c r="D248" s="16">
        <v>1178.998</v>
      </c>
      <c r="E248" s="16">
        <f t="shared" si="3"/>
        <v>83911.697899402716</v>
      </c>
    </row>
    <row r="249" spans="1:5" x14ac:dyDescent="0.25">
      <c r="A249" s="20">
        <v>51153</v>
      </c>
      <c r="B249" s="13" t="s">
        <v>254</v>
      </c>
      <c r="C249" s="19">
        <v>9406805</v>
      </c>
      <c r="D249" s="16">
        <v>144.8912</v>
      </c>
      <c r="E249" s="16">
        <f t="shared" si="3"/>
        <v>64923.232052740263</v>
      </c>
    </row>
    <row r="250" spans="1:5" x14ac:dyDescent="0.25">
      <c r="A250" s="20">
        <v>51154</v>
      </c>
      <c r="B250" s="13" t="s">
        <v>255</v>
      </c>
      <c r="C250" s="19">
        <v>44582370</v>
      </c>
      <c r="D250" s="16">
        <v>578.96</v>
      </c>
      <c r="E250" s="16">
        <f t="shared" si="3"/>
        <v>77004.231725853242</v>
      </c>
    </row>
    <row r="251" spans="1:5" x14ac:dyDescent="0.25">
      <c r="A251" s="20">
        <v>51155</v>
      </c>
      <c r="B251" s="13" t="s">
        <v>256</v>
      </c>
      <c r="C251" s="19">
        <v>59559102</v>
      </c>
      <c r="D251" s="16">
        <v>1426.3632</v>
      </c>
      <c r="E251" s="16">
        <f t="shared" si="3"/>
        <v>41755.916024754428</v>
      </c>
    </row>
    <row r="252" spans="1:5" x14ac:dyDescent="0.25">
      <c r="A252" s="20">
        <v>51156</v>
      </c>
      <c r="B252" s="13" t="s">
        <v>257</v>
      </c>
      <c r="C252" s="19">
        <v>15757856</v>
      </c>
      <c r="D252" s="16">
        <v>301.44659999999999</v>
      </c>
      <c r="E252" s="16">
        <f t="shared" si="3"/>
        <v>52274.12085589952</v>
      </c>
    </row>
    <row r="253" spans="1:5" x14ac:dyDescent="0.25">
      <c r="A253" s="20">
        <v>51159</v>
      </c>
      <c r="B253" s="13" t="s">
        <v>258</v>
      </c>
      <c r="C253" s="19">
        <v>270678605</v>
      </c>
      <c r="D253" s="16">
        <v>3075.2352999999998</v>
      </c>
      <c r="E253" s="16">
        <f t="shared" si="3"/>
        <v>88018.827372331478</v>
      </c>
    </row>
    <row r="254" spans="1:5" x14ac:dyDescent="0.25">
      <c r="A254" s="20">
        <v>52096</v>
      </c>
      <c r="B254" s="13" t="s">
        <v>259</v>
      </c>
      <c r="C254" s="19">
        <v>64342167</v>
      </c>
      <c r="D254" s="16">
        <v>463.56909999999999</v>
      </c>
      <c r="E254" s="16">
        <f t="shared" si="3"/>
        <v>138797.3594443633</v>
      </c>
    </row>
    <row r="255" spans="1:5" x14ac:dyDescent="0.25">
      <c r="A255" s="20">
        <v>53111</v>
      </c>
      <c r="B255" s="13" t="s">
        <v>260</v>
      </c>
      <c r="C255" s="19">
        <v>35406576</v>
      </c>
      <c r="D255" s="16">
        <v>737.46289999999999</v>
      </c>
      <c r="E255" s="16">
        <f t="shared" si="3"/>
        <v>48011.331824285669</v>
      </c>
    </row>
    <row r="256" spans="1:5" x14ac:dyDescent="0.25">
      <c r="A256" s="20">
        <v>53112</v>
      </c>
      <c r="B256" s="13" t="s">
        <v>261</v>
      </c>
      <c r="C256" s="19">
        <v>8774207</v>
      </c>
      <c r="D256" s="16">
        <v>81.1524</v>
      </c>
      <c r="E256" s="16">
        <f t="shared" si="3"/>
        <v>108120.11721156737</v>
      </c>
    </row>
    <row r="257" spans="1:5" x14ac:dyDescent="0.25">
      <c r="A257" s="20">
        <v>53113</v>
      </c>
      <c r="B257" s="13" t="s">
        <v>262</v>
      </c>
      <c r="C257" s="19">
        <v>300833083</v>
      </c>
      <c r="D257" s="16">
        <v>4129.49</v>
      </c>
      <c r="E257" s="16">
        <f t="shared" si="3"/>
        <v>72849.93619066762</v>
      </c>
    </row>
    <row r="258" spans="1:5" x14ac:dyDescent="0.25">
      <c r="A258" s="20">
        <v>53114</v>
      </c>
      <c r="B258" s="13" t="s">
        <v>263</v>
      </c>
      <c r="C258" s="19">
        <v>28919338</v>
      </c>
      <c r="D258" s="16">
        <v>576.89480000000003</v>
      </c>
      <c r="E258" s="16">
        <f t="shared" si="3"/>
        <v>50129.30953789148</v>
      </c>
    </row>
    <row r="259" spans="1:5" x14ac:dyDescent="0.25">
      <c r="A259" s="20">
        <v>54037</v>
      </c>
      <c r="B259" s="13" t="s">
        <v>264</v>
      </c>
      <c r="C259" s="19">
        <v>62148407</v>
      </c>
      <c r="D259" s="16">
        <v>401.17570000000001</v>
      </c>
      <c r="E259" s="16">
        <f t="shared" ref="E259:E322" si="4">C259/D259</f>
        <v>154915.68158290745</v>
      </c>
    </row>
    <row r="260" spans="1:5" x14ac:dyDescent="0.25">
      <c r="A260" s="20">
        <v>54039</v>
      </c>
      <c r="B260" s="13" t="s">
        <v>265</v>
      </c>
      <c r="C260" s="19">
        <v>68625106</v>
      </c>
      <c r="D260" s="16">
        <v>953.49469999999997</v>
      </c>
      <c r="E260" s="16">
        <f t="shared" si="4"/>
        <v>71972.194496728727</v>
      </c>
    </row>
    <row r="261" spans="1:5" x14ac:dyDescent="0.25">
      <c r="A261" s="20">
        <v>54041</v>
      </c>
      <c r="B261" s="13" t="s">
        <v>266</v>
      </c>
      <c r="C261" s="19">
        <v>123669112</v>
      </c>
      <c r="D261" s="16">
        <v>1986.3869999999999</v>
      </c>
      <c r="E261" s="16">
        <f t="shared" si="4"/>
        <v>62258.317236268667</v>
      </c>
    </row>
    <row r="262" spans="1:5" x14ac:dyDescent="0.25">
      <c r="A262" s="20">
        <v>54042</v>
      </c>
      <c r="B262" s="13" t="s">
        <v>267</v>
      </c>
      <c r="C262" s="19">
        <v>35163769</v>
      </c>
      <c r="D262" s="16">
        <v>313.61860000000001</v>
      </c>
      <c r="E262" s="16">
        <f t="shared" si="4"/>
        <v>112122.71529813601</v>
      </c>
    </row>
    <row r="263" spans="1:5" x14ac:dyDescent="0.25">
      <c r="A263" s="20">
        <v>54043</v>
      </c>
      <c r="B263" s="13" t="s">
        <v>268</v>
      </c>
      <c r="C263" s="19">
        <v>25677569</v>
      </c>
      <c r="D263" s="16">
        <v>376.41219999999998</v>
      </c>
      <c r="E263" s="16">
        <f t="shared" si="4"/>
        <v>68216.622628065728</v>
      </c>
    </row>
    <row r="264" spans="1:5" x14ac:dyDescent="0.25">
      <c r="A264" s="20">
        <v>54045</v>
      </c>
      <c r="B264" s="13" t="s">
        <v>269</v>
      </c>
      <c r="C264" s="19">
        <v>53159374</v>
      </c>
      <c r="D264" s="16">
        <v>892.27319999999997</v>
      </c>
      <c r="E264" s="16">
        <f t="shared" si="4"/>
        <v>59577.463494364732</v>
      </c>
    </row>
    <row r="265" spans="1:5" x14ac:dyDescent="0.25">
      <c r="A265" s="20">
        <v>55104</v>
      </c>
      <c r="B265" s="13" t="s">
        <v>270</v>
      </c>
      <c r="C265" s="19">
        <v>44083246</v>
      </c>
      <c r="D265" s="16">
        <v>509.9375</v>
      </c>
      <c r="E265" s="16">
        <f t="shared" si="4"/>
        <v>86448.331413163382</v>
      </c>
    </row>
    <row r="266" spans="1:5" x14ac:dyDescent="0.25">
      <c r="A266" s="20">
        <v>55105</v>
      </c>
      <c r="B266" s="13" t="s">
        <v>271</v>
      </c>
      <c r="C266" s="19">
        <v>38104560</v>
      </c>
      <c r="D266" s="16">
        <v>662.43579999999997</v>
      </c>
      <c r="E266" s="16">
        <f t="shared" si="4"/>
        <v>57521.891177982834</v>
      </c>
    </row>
    <row r="267" spans="1:5" x14ac:dyDescent="0.25">
      <c r="A267" s="20">
        <v>55106</v>
      </c>
      <c r="B267" s="13" t="s">
        <v>272</v>
      </c>
      <c r="C267" s="19">
        <v>36962796</v>
      </c>
      <c r="D267" s="16">
        <v>681.33910000000003</v>
      </c>
      <c r="E267" s="16">
        <f t="shared" si="4"/>
        <v>54250.219897845287</v>
      </c>
    </row>
    <row r="268" spans="1:5" x14ac:dyDescent="0.25">
      <c r="A268" s="20">
        <v>55108</v>
      </c>
      <c r="B268" s="13" t="s">
        <v>273</v>
      </c>
      <c r="C268" s="19">
        <v>103839243</v>
      </c>
      <c r="D268" s="16">
        <v>1399.106</v>
      </c>
      <c r="E268" s="16">
        <f t="shared" si="4"/>
        <v>74218.281531206361</v>
      </c>
    </row>
    <row r="269" spans="1:5" x14ac:dyDescent="0.25">
      <c r="A269" s="20">
        <v>55110</v>
      </c>
      <c r="B269" s="13" t="s">
        <v>274</v>
      </c>
      <c r="C269" s="19">
        <v>109820139</v>
      </c>
      <c r="D269" s="16">
        <v>1972.5103999999999</v>
      </c>
      <c r="E269" s="16">
        <f t="shared" si="4"/>
        <v>55675.315577550318</v>
      </c>
    </row>
    <row r="270" spans="1:5" x14ac:dyDescent="0.25">
      <c r="A270" s="20">
        <v>55111</v>
      </c>
      <c r="B270" s="13" t="s">
        <v>275</v>
      </c>
      <c r="C270" s="19">
        <v>24626358</v>
      </c>
      <c r="D270" s="16">
        <v>400.7611</v>
      </c>
      <c r="E270" s="16">
        <f t="shared" si="4"/>
        <v>61448.972966687637</v>
      </c>
    </row>
    <row r="271" spans="1:5" x14ac:dyDescent="0.25">
      <c r="A271" s="20">
        <v>56015</v>
      </c>
      <c r="B271" s="13" t="s">
        <v>276</v>
      </c>
      <c r="C271" s="19">
        <v>35746790</v>
      </c>
      <c r="D271" s="16">
        <v>500.38150000000002</v>
      </c>
      <c r="E271" s="16">
        <f t="shared" si="4"/>
        <v>71439.071988073105</v>
      </c>
    </row>
    <row r="272" spans="1:5" x14ac:dyDescent="0.25">
      <c r="A272" s="20">
        <v>56017</v>
      </c>
      <c r="B272" s="13" t="s">
        <v>277</v>
      </c>
      <c r="C272" s="19">
        <v>73382652</v>
      </c>
      <c r="D272" s="16">
        <v>938.29819999999995</v>
      </c>
      <c r="E272" s="16">
        <f t="shared" si="4"/>
        <v>78208.241260614173</v>
      </c>
    </row>
    <row r="273" spans="1:5" x14ac:dyDescent="0.25">
      <c r="A273" s="20">
        <v>57001</v>
      </c>
      <c r="B273" s="13" t="s">
        <v>278</v>
      </c>
      <c r="C273" s="19">
        <v>30320415</v>
      </c>
      <c r="D273" s="16">
        <v>358.6472</v>
      </c>
      <c r="E273" s="16">
        <f t="shared" si="4"/>
        <v>84541.061522298231</v>
      </c>
    </row>
    <row r="274" spans="1:5" x14ac:dyDescent="0.25">
      <c r="A274" s="20">
        <v>57002</v>
      </c>
      <c r="B274" s="13" t="s">
        <v>279</v>
      </c>
      <c r="C274" s="19">
        <v>43495078</v>
      </c>
      <c r="D274" s="16">
        <v>736.01289999999995</v>
      </c>
      <c r="E274" s="16">
        <f t="shared" si="4"/>
        <v>59095.537591800363</v>
      </c>
    </row>
    <row r="275" spans="1:5" x14ac:dyDescent="0.25">
      <c r="A275" s="20">
        <v>57003</v>
      </c>
      <c r="B275" s="13" t="s">
        <v>280</v>
      </c>
      <c r="C275" s="19">
        <v>431618538</v>
      </c>
      <c r="D275" s="16">
        <v>5798.2240000000002</v>
      </c>
      <c r="E275" s="16">
        <f t="shared" si="4"/>
        <v>74439.783285364625</v>
      </c>
    </row>
    <row r="276" spans="1:5" x14ac:dyDescent="0.25">
      <c r="A276" s="20">
        <v>57004</v>
      </c>
      <c r="B276" s="13" t="s">
        <v>281</v>
      </c>
      <c r="C276" s="19">
        <v>93784858</v>
      </c>
      <c r="D276" s="16">
        <v>1421.9603999999999</v>
      </c>
      <c r="E276" s="16">
        <f t="shared" si="4"/>
        <v>65954.620114596721</v>
      </c>
    </row>
    <row r="277" spans="1:5" x14ac:dyDescent="0.25">
      <c r="A277" s="20">
        <v>58106</v>
      </c>
      <c r="B277" s="13" t="s">
        <v>282</v>
      </c>
      <c r="C277" s="19">
        <v>16827488</v>
      </c>
      <c r="D277" s="16">
        <v>220.7979</v>
      </c>
      <c r="E277" s="16">
        <f t="shared" si="4"/>
        <v>76212.174119409654</v>
      </c>
    </row>
    <row r="278" spans="1:5" x14ac:dyDescent="0.25">
      <c r="A278" s="20">
        <v>58107</v>
      </c>
      <c r="B278" s="13" t="s">
        <v>283</v>
      </c>
      <c r="C278" s="19">
        <v>10765495</v>
      </c>
      <c r="D278" s="16">
        <v>122.7315</v>
      </c>
      <c r="E278" s="16">
        <f t="shared" si="4"/>
        <v>87715.826825224169</v>
      </c>
    </row>
    <row r="279" spans="1:5" x14ac:dyDescent="0.25">
      <c r="A279" s="20">
        <v>58108</v>
      </c>
      <c r="B279" s="13" t="s">
        <v>284</v>
      </c>
      <c r="C279" s="19">
        <v>15991438</v>
      </c>
      <c r="D279" s="16">
        <v>230.27940000000001</v>
      </c>
      <c r="E279" s="16">
        <f t="shared" si="4"/>
        <v>69443.632387438905</v>
      </c>
    </row>
    <row r="280" spans="1:5" x14ac:dyDescent="0.25">
      <c r="A280" s="20">
        <v>58109</v>
      </c>
      <c r="B280" s="13" t="s">
        <v>285</v>
      </c>
      <c r="C280" s="19">
        <v>37316815</v>
      </c>
      <c r="D280" s="16">
        <v>620.81330000000003</v>
      </c>
      <c r="E280" s="16">
        <f t="shared" si="4"/>
        <v>60109.561119260812</v>
      </c>
    </row>
    <row r="281" spans="1:5" x14ac:dyDescent="0.25">
      <c r="A281" s="20">
        <v>58112</v>
      </c>
      <c r="B281" s="13" t="s">
        <v>286</v>
      </c>
      <c r="C281" s="19">
        <v>60202262</v>
      </c>
      <c r="D281" s="16">
        <v>968.31799999999998</v>
      </c>
      <c r="E281" s="16">
        <f t="shared" si="4"/>
        <v>62171.995150353498</v>
      </c>
    </row>
    <row r="282" spans="1:5" x14ac:dyDescent="0.25">
      <c r="A282" s="20">
        <v>59113</v>
      </c>
      <c r="B282" s="13" t="s">
        <v>287</v>
      </c>
      <c r="C282" s="19">
        <v>11200388</v>
      </c>
      <c r="D282" s="16">
        <v>160.3964</v>
      </c>
      <c r="E282" s="16">
        <f t="shared" si="4"/>
        <v>69829.422605494881</v>
      </c>
    </row>
    <row r="283" spans="1:5" x14ac:dyDescent="0.25">
      <c r="A283" s="20">
        <v>59114</v>
      </c>
      <c r="B283" s="13" t="s">
        <v>288</v>
      </c>
      <c r="C283" s="19">
        <v>7179729</v>
      </c>
      <c r="D283" s="16">
        <v>69.009900000000002</v>
      </c>
      <c r="E283" s="16">
        <f t="shared" si="4"/>
        <v>104039.11612681659</v>
      </c>
    </row>
    <row r="284" spans="1:5" x14ac:dyDescent="0.25">
      <c r="A284" s="20">
        <v>59117</v>
      </c>
      <c r="B284" s="13" t="s">
        <v>289</v>
      </c>
      <c r="C284" s="19">
        <v>137183551</v>
      </c>
      <c r="D284" s="16">
        <v>1795.5681</v>
      </c>
      <c r="E284" s="16">
        <f t="shared" si="4"/>
        <v>76401.19636787934</v>
      </c>
    </row>
    <row r="285" spans="1:5" x14ac:dyDescent="0.25">
      <c r="A285" s="20">
        <v>60077</v>
      </c>
      <c r="B285" s="13" t="s">
        <v>290</v>
      </c>
      <c r="C285" s="19">
        <v>208638379</v>
      </c>
      <c r="D285" s="16">
        <v>3790.4567000000002</v>
      </c>
      <c r="E285" s="16">
        <f t="shared" si="4"/>
        <v>55043.071458908897</v>
      </c>
    </row>
    <row r="286" spans="1:5" x14ac:dyDescent="0.25">
      <c r="A286" s="20">
        <v>61150</v>
      </c>
      <c r="B286" s="13" t="s">
        <v>291</v>
      </c>
      <c r="C286" s="19">
        <v>14597485</v>
      </c>
      <c r="D286" s="16">
        <v>183.1233</v>
      </c>
      <c r="E286" s="16">
        <f t="shared" si="4"/>
        <v>79713.968675750162</v>
      </c>
    </row>
    <row r="287" spans="1:5" x14ac:dyDescent="0.25">
      <c r="A287" s="20">
        <v>61151</v>
      </c>
      <c r="B287" s="13" t="s">
        <v>292</v>
      </c>
      <c r="C287" s="19">
        <v>12141252</v>
      </c>
      <c r="D287" s="16">
        <v>182.7148</v>
      </c>
      <c r="E287" s="16">
        <f t="shared" si="4"/>
        <v>66449.198422897331</v>
      </c>
    </row>
    <row r="288" spans="1:5" x14ac:dyDescent="0.25">
      <c r="A288" s="20">
        <v>61154</v>
      </c>
      <c r="B288" s="13" t="s">
        <v>293</v>
      </c>
      <c r="C288" s="19">
        <v>24228652</v>
      </c>
      <c r="D288" s="16">
        <v>351.02190000000002</v>
      </c>
      <c r="E288" s="16">
        <f t="shared" si="4"/>
        <v>69023.1920002712</v>
      </c>
    </row>
    <row r="289" spans="1:5" x14ac:dyDescent="0.25">
      <c r="A289" s="20">
        <v>61156</v>
      </c>
      <c r="B289" s="13" t="s">
        <v>294</v>
      </c>
      <c r="C289" s="19">
        <v>101141466</v>
      </c>
      <c r="D289" s="16">
        <v>1307.2268999999999</v>
      </c>
      <c r="E289" s="16">
        <f t="shared" si="4"/>
        <v>77371.010342580936</v>
      </c>
    </row>
    <row r="290" spans="1:5" x14ac:dyDescent="0.25">
      <c r="A290" s="20">
        <v>61157</v>
      </c>
      <c r="B290" s="13" t="s">
        <v>295</v>
      </c>
      <c r="C290" s="19">
        <v>5962393</v>
      </c>
      <c r="D290" s="16">
        <v>93.943899999999999</v>
      </c>
      <c r="E290" s="16">
        <f t="shared" si="4"/>
        <v>63467.590764275272</v>
      </c>
    </row>
    <row r="291" spans="1:5" x14ac:dyDescent="0.25">
      <c r="A291" s="20">
        <v>61158</v>
      </c>
      <c r="B291" s="13" t="s">
        <v>296</v>
      </c>
      <c r="C291" s="19">
        <v>11594533</v>
      </c>
      <c r="D291" s="16">
        <v>94.864900000000006</v>
      </c>
      <c r="E291" s="16">
        <f t="shared" si="4"/>
        <v>122221.52766724046</v>
      </c>
    </row>
    <row r="292" spans="1:5" x14ac:dyDescent="0.25">
      <c r="A292" s="20">
        <v>62070</v>
      </c>
      <c r="B292" s="13" t="s">
        <v>297</v>
      </c>
      <c r="C292" s="19">
        <v>10893272</v>
      </c>
      <c r="D292" s="16">
        <v>168.94900000000001</v>
      </c>
      <c r="E292" s="16">
        <f t="shared" si="4"/>
        <v>64476.688231359753</v>
      </c>
    </row>
    <row r="293" spans="1:5" x14ac:dyDescent="0.25">
      <c r="A293" s="20">
        <v>62072</v>
      </c>
      <c r="B293" s="13" t="s">
        <v>298</v>
      </c>
      <c r="C293" s="19">
        <v>98636047</v>
      </c>
      <c r="D293" s="16">
        <v>1820.2302</v>
      </c>
      <c r="E293" s="16">
        <f t="shared" si="4"/>
        <v>54188.776232808355</v>
      </c>
    </row>
    <row r="294" spans="1:5" x14ac:dyDescent="0.25">
      <c r="A294" s="20">
        <v>63066</v>
      </c>
      <c r="B294" s="13" t="s">
        <v>299</v>
      </c>
      <c r="C294" s="19">
        <v>48526570</v>
      </c>
      <c r="D294" s="16">
        <v>477.81139999999999</v>
      </c>
      <c r="E294" s="16">
        <f t="shared" si="4"/>
        <v>101560.09253860415</v>
      </c>
    </row>
    <row r="295" spans="1:5" x14ac:dyDescent="0.25">
      <c r="A295" s="20">
        <v>63067</v>
      </c>
      <c r="B295" s="13" t="s">
        <v>300</v>
      </c>
      <c r="C295" s="19">
        <v>62220026</v>
      </c>
      <c r="D295" s="16">
        <v>730.62</v>
      </c>
      <c r="E295" s="16">
        <f t="shared" si="4"/>
        <v>85160.584161397172</v>
      </c>
    </row>
    <row r="296" spans="1:5" x14ac:dyDescent="0.25">
      <c r="A296" s="20">
        <v>64072</v>
      </c>
      <c r="B296" s="13" t="s">
        <v>301</v>
      </c>
      <c r="C296" s="19">
        <v>19748576</v>
      </c>
      <c r="D296" s="16">
        <v>214.3049</v>
      </c>
      <c r="E296" s="16">
        <f t="shared" si="4"/>
        <v>92151.770678131943</v>
      </c>
    </row>
    <row r="297" spans="1:5" x14ac:dyDescent="0.25">
      <c r="A297" s="20">
        <v>64074</v>
      </c>
      <c r="B297" s="13" t="s">
        <v>302</v>
      </c>
      <c r="C297" s="19">
        <v>126530699</v>
      </c>
      <c r="D297" s="16">
        <v>1084.0232000000001</v>
      </c>
      <c r="E297" s="16">
        <f t="shared" si="4"/>
        <v>116723.23894912949</v>
      </c>
    </row>
    <row r="298" spans="1:5" x14ac:dyDescent="0.25">
      <c r="A298" s="20">
        <v>64075</v>
      </c>
      <c r="B298" s="13" t="s">
        <v>303</v>
      </c>
      <c r="C298" s="19">
        <v>314448758</v>
      </c>
      <c r="D298" s="16">
        <v>3375.3285999999998</v>
      </c>
      <c r="E298" s="16">
        <f t="shared" si="4"/>
        <v>93160.931946003722</v>
      </c>
    </row>
    <row r="299" spans="1:5" x14ac:dyDescent="0.25">
      <c r="A299" s="20">
        <v>65096</v>
      </c>
      <c r="B299" s="13" t="s">
        <v>304</v>
      </c>
      <c r="C299" s="19">
        <v>13404339</v>
      </c>
      <c r="D299" s="16">
        <v>189.86320000000001</v>
      </c>
      <c r="E299" s="16">
        <f t="shared" si="4"/>
        <v>70599.984620505711</v>
      </c>
    </row>
    <row r="300" spans="1:5" x14ac:dyDescent="0.25">
      <c r="A300" s="20">
        <v>65098</v>
      </c>
      <c r="B300" s="13" t="s">
        <v>305</v>
      </c>
      <c r="C300" s="19">
        <v>37110695</v>
      </c>
      <c r="D300" s="16">
        <v>349.77480000000003</v>
      </c>
      <c r="E300" s="16">
        <f t="shared" si="4"/>
        <v>106098.82415771518</v>
      </c>
    </row>
    <row r="301" spans="1:5" x14ac:dyDescent="0.25">
      <c r="A301" s="20">
        <v>66102</v>
      </c>
      <c r="B301" s="13" t="s">
        <v>306</v>
      </c>
      <c r="C301" s="19">
        <v>174562332</v>
      </c>
      <c r="D301" s="16">
        <v>1739.1895999999999</v>
      </c>
      <c r="E301" s="16">
        <f t="shared" si="4"/>
        <v>100369.92631510676</v>
      </c>
    </row>
    <row r="302" spans="1:5" x14ac:dyDescent="0.25">
      <c r="A302" s="20">
        <v>66103</v>
      </c>
      <c r="B302" s="13" t="s">
        <v>307</v>
      </c>
      <c r="C302" s="19">
        <v>11015890</v>
      </c>
      <c r="D302" s="16">
        <v>195.57130000000001</v>
      </c>
      <c r="E302" s="16">
        <f t="shared" si="4"/>
        <v>56326.720740722179</v>
      </c>
    </row>
    <row r="303" spans="1:5" x14ac:dyDescent="0.25">
      <c r="A303" s="20">
        <v>66104</v>
      </c>
      <c r="B303" s="13" t="s">
        <v>308</v>
      </c>
      <c r="C303" s="19">
        <v>15953289</v>
      </c>
      <c r="D303" s="16">
        <v>243.89949999999999</v>
      </c>
      <c r="E303" s="16">
        <f t="shared" si="4"/>
        <v>65409.273081740641</v>
      </c>
    </row>
    <row r="304" spans="1:5" x14ac:dyDescent="0.25">
      <c r="A304" s="20">
        <v>66105</v>
      </c>
      <c r="B304" s="13" t="s">
        <v>309</v>
      </c>
      <c r="C304" s="19">
        <v>536833711</v>
      </c>
      <c r="D304" s="16">
        <v>1731.9960000000001</v>
      </c>
      <c r="E304" s="16">
        <f t="shared" si="4"/>
        <v>309950.89538313018</v>
      </c>
    </row>
    <row r="305" spans="1:5" x14ac:dyDescent="0.25">
      <c r="A305" s="20">
        <v>66107</v>
      </c>
      <c r="B305" s="13" t="s">
        <v>310</v>
      </c>
      <c r="C305" s="19">
        <v>34209001</v>
      </c>
      <c r="D305" s="16">
        <v>711.78579999999999</v>
      </c>
      <c r="E305" s="16">
        <f t="shared" si="4"/>
        <v>48060.808462321111</v>
      </c>
    </row>
    <row r="306" spans="1:5" x14ac:dyDescent="0.25">
      <c r="A306" s="20">
        <v>67055</v>
      </c>
      <c r="B306" s="13" t="s">
        <v>311</v>
      </c>
      <c r="C306" s="19">
        <v>65932347</v>
      </c>
      <c r="D306" s="16">
        <v>1093.7167999999999</v>
      </c>
      <c r="E306" s="16">
        <f t="shared" si="4"/>
        <v>60282.832813759473</v>
      </c>
    </row>
    <row r="307" spans="1:5" x14ac:dyDescent="0.25">
      <c r="A307" s="20">
        <v>67061</v>
      </c>
      <c r="B307" s="13" t="s">
        <v>312</v>
      </c>
      <c r="C307" s="19">
        <v>81645014</v>
      </c>
      <c r="D307" s="16">
        <v>884.52239999999995</v>
      </c>
      <c r="E307" s="16">
        <f t="shared" si="4"/>
        <v>92304.066013478019</v>
      </c>
    </row>
    <row r="308" spans="1:5" x14ac:dyDescent="0.25">
      <c r="A308" s="20">
        <v>68070</v>
      </c>
      <c r="B308" s="13" t="s">
        <v>313</v>
      </c>
      <c r="C308" s="19">
        <v>85616480</v>
      </c>
      <c r="D308" s="16">
        <v>1230.6741</v>
      </c>
      <c r="E308" s="16">
        <f t="shared" si="4"/>
        <v>69568.767230902158</v>
      </c>
    </row>
    <row r="309" spans="1:5" x14ac:dyDescent="0.25">
      <c r="A309" s="20">
        <v>68071</v>
      </c>
      <c r="B309" s="13" t="s">
        <v>314</v>
      </c>
      <c r="C309" s="19">
        <v>9728191</v>
      </c>
      <c r="D309" s="16">
        <v>95.881900000000002</v>
      </c>
      <c r="E309" s="16">
        <f t="shared" si="4"/>
        <v>101460.14002642834</v>
      </c>
    </row>
    <row r="310" spans="1:5" x14ac:dyDescent="0.25">
      <c r="A310" s="20">
        <v>68072</v>
      </c>
      <c r="B310" s="13" t="s">
        <v>315</v>
      </c>
      <c r="C310" s="19">
        <v>9073359</v>
      </c>
      <c r="D310" s="16">
        <v>82.852500000000006</v>
      </c>
      <c r="E310" s="16">
        <f t="shared" si="4"/>
        <v>109512.19335566217</v>
      </c>
    </row>
    <row r="311" spans="1:5" x14ac:dyDescent="0.25">
      <c r="A311" s="20">
        <v>68073</v>
      </c>
      <c r="B311" s="13" t="s">
        <v>316</v>
      </c>
      <c r="C311" s="19">
        <v>45289859</v>
      </c>
      <c r="D311" s="16">
        <v>572.50009999999997</v>
      </c>
      <c r="E311" s="16">
        <f t="shared" si="4"/>
        <v>79108.910199317004</v>
      </c>
    </row>
    <row r="312" spans="1:5" x14ac:dyDescent="0.25">
      <c r="A312" s="20">
        <v>68074</v>
      </c>
      <c r="B312" s="13" t="s">
        <v>317</v>
      </c>
      <c r="C312" s="19">
        <v>16124194</v>
      </c>
      <c r="D312" s="16">
        <v>207.024</v>
      </c>
      <c r="E312" s="16">
        <f t="shared" si="4"/>
        <v>77885.626787232395</v>
      </c>
    </row>
    <row r="313" spans="1:5" x14ac:dyDescent="0.25">
      <c r="A313" s="20">
        <v>68075</v>
      </c>
      <c r="B313" s="13" t="s">
        <v>318</v>
      </c>
      <c r="C313" s="19">
        <v>6815420</v>
      </c>
      <c r="D313" s="16">
        <v>90.657300000000006</v>
      </c>
      <c r="E313" s="16">
        <f t="shared" si="4"/>
        <v>75177.840063624215</v>
      </c>
    </row>
    <row r="314" spans="1:5" x14ac:dyDescent="0.25">
      <c r="A314" s="20">
        <v>69104</v>
      </c>
      <c r="B314" s="13" t="s">
        <v>319</v>
      </c>
      <c r="C314" s="19">
        <v>4200268</v>
      </c>
      <c r="D314" s="16">
        <v>47.398899999999998</v>
      </c>
      <c r="E314" s="16">
        <f t="shared" si="4"/>
        <v>88615.305418480173</v>
      </c>
    </row>
    <row r="315" spans="1:5" x14ac:dyDescent="0.25">
      <c r="A315" s="20">
        <v>69106</v>
      </c>
      <c r="B315" s="13" t="s">
        <v>320</v>
      </c>
      <c r="C315" s="19">
        <v>75535242</v>
      </c>
      <c r="D315" s="16">
        <v>648.02599999999995</v>
      </c>
      <c r="E315" s="16">
        <f t="shared" si="4"/>
        <v>116562.05460892002</v>
      </c>
    </row>
    <row r="316" spans="1:5" x14ac:dyDescent="0.25">
      <c r="A316" s="20">
        <v>69107</v>
      </c>
      <c r="B316" s="13" t="s">
        <v>321</v>
      </c>
      <c r="C316" s="19">
        <v>7306063</v>
      </c>
      <c r="D316" s="16">
        <v>70.518900000000002</v>
      </c>
      <c r="E316" s="16">
        <f t="shared" si="4"/>
        <v>103604.32451442095</v>
      </c>
    </row>
    <row r="317" spans="1:5" x14ac:dyDescent="0.25">
      <c r="A317" s="20">
        <v>69108</v>
      </c>
      <c r="B317" s="13" t="s">
        <v>322</v>
      </c>
      <c r="C317" s="19">
        <v>12897692</v>
      </c>
      <c r="D317" s="16">
        <v>208.19649999999999</v>
      </c>
      <c r="E317" s="16">
        <f t="shared" si="4"/>
        <v>61949.610103916253</v>
      </c>
    </row>
    <row r="318" spans="1:5" x14ac:dyDescent="0.25">
      <c r="A318" s="20">
        <v>69109</v>
      </c>
      <c r="B318" s="13" t="s">
        <v>323</v>
      </c>
      <c r="C318" s="19">
        <v>41606919</v>
      </c>
      <c r="D318" s="16">
        <v>352.49700000000001</v>
      </c>
      <c r="E318" s="16">
        <f t="shared" si="4"/>
        <v>118034.81731759419</v>
      </c>
    </row>
    <row r="319" spans="1:5" x14ac:dyDescent="0.25">
      <c r="A319" s="20">
        <v>70092</v>
      </c>
      <c r="B319" s="13" t="s">
        <v>324</v>
      </c>
      <c r="C319" s="19">
        <v>28738466</v>
      </c>
      <c r="D319" s="16">
        <v>348.2919</v>
      </c>
      <c r="E319" s="16">
        <f t="shared" si="4"/>
        <v>82512.587860929299</v>
      </c>
    </row>
    <row r="320" spans="1:5" x14ac:dyDescent="0.25">
      <c r="A320" s="20">
        <v>70093</v>
      </c>
      <c r="B320" s="13" t="s">
        <v>325</v>
      </c>
      <c r="C320" s="19">
        <v>130285011</v>
      </c>
      <c r="D320" s="16">
        <v>1157.9698000000001</v>
      </c>
      <c r="E320" s="16">
        <f t="shared" si="4"/>
        <v>112511.57931752624</v>
      </c>
    </row>
    <row r="321" spans="1:5" x14ac:dyDescent="0.25">
      <c r="A321" s="20">
        <v>71091</v>
      </c>
      <c r="B321" s="13" t="s">
        <v>326</v>
      </c>
      <c r="C321" s="19">
        <v>83533022</v>
      </c>
      <c r="D321" s="16">
        <v>586.14559999999994</v>
      </c>
      <c r="E321" s="16">
        <f t="shared" si="4"/>
        <v>142512.40988587137</v>
      </c>
    </row>
    <row r="322" spans="1:5" x14ac:dyDescent="0.25">
      <c r="A322" s="20">
        <v>71092</v>
      </c>
      <c r="B322" s="13" t="s">
        <v>327</v>
      </c>
      <c r="C322" s="19">
        <v>256010459</v>
      </c>
      <c r="D322" s="16">
        <v>1233.7086999999999</v>
      </c>
      <c r="E322" s="16">
        <f t="shared" si="4"/>
        <v>207512.89100903642</v>
      </c>
    </row>
    <row r="323" spans="1:5" x14ac:dyDescent="0.25">
      <c r="A323" s="20">
        <v>72066</v>
      </c>
      <c r="B323" s="13" t="s">
        <v>328</v>
      </c>
      <c r="C323" s="19">
        <v>10709396</v>
      </c>
      <c r="D323" s="16">
        <v>133.81989999999999</v>
      </c>
      <c r="E323" s="16">
        <f t="shared" ref="E323:E386" si="5">C323/D323</f>
        <v>80028.426265450806</v>
      </c>
    </row>
    <row r="324" spans="1:5" x14ac:dyDescent="0.25">
      <c r="A324" s="20">
        <v>72068</v>
      </c>
      <c r="B324" s="13" t="s">
        <v>329</v>
      </c>
      <c r="C324" s="19">
        <v>49842903</v>
      </c>
      <c r="D324" s="16">
        <v>713.53359999999998</v>
      </c>
      <c r="E324" s="16">
        <f t="shared" si="5"/>
        <v>69853.617264835179</v>
      </c>
    </row>
    <row r="325" spans="1:5" x14ac:dyDescent="0.25">
      <c r="A325" s="20">
        <v>72073</v>
      </c>
      <c r="B325" s="13" t="s">
        <v>330</v>
      </c>
      <c r="C325" s="19">
        <v>14079529</v>
      </c>
      <c r="D325" s="16">
        <v>258.99529999999999</v>
      </c>
      <c r="E325" s="16">
        <f t="shared" si="5"/>
        <v>54362.102323864565</v>
      </c>
    </row>
    <row r="326" spans="1:5" x14ac:dyDescent="0.25">
      <c r="A326" s="20">
        <v>72074</v>
      </c>
      <c r="B326" s="13" t="s">
        <v>331</v>
      </c>
      <c r="C326" s="19">
        <v>299092026</v>
      </c>
      <c r="D326" s="16">
        <v>1340.114</v>
      </c>
      <c r="E326" s="16">
        <f t="shared" si="5"/>
        <v>223184.01718062791</v>
      </c>
    </row>
    <row r="327" spans="1:5" x14ac:dyDescent="0.25">
      <c r="A327" s="20">
        <v>73099</v>
      </c>
      <c r="B327" s="13" t="s">
        <v>332</v>
      </c>
      <c r="C327" s="19">
        <v>68160630</v>
      </c>
      <c r="D327" s="16">
        <v>1381.0064</v>
      </c>
      <c r="E327" s="16">
        <f t="shared" si="5"/>
        <v>49355.766924758638</v>
      </c>
    </row>
    <row r="328" spans="1:5" x14ac:dyDescent="0.25">
      <c r="A328" s="20">
        <v>73102</v>
      </c>
      <c r="B328" s="13" t="s">
        <v>333</v>
      </c>
      <c r="C328" s="19">
        <v>69867570</v>
      </c>
      <c r="D328" s="16">
        <v>824.51729999999998</v>
      </c>
      <c r="E328" s="16">
        <f t="shared" si="5"/>
        <v>84737.542802315977</v>
      </c>
    </row>
    <row r="329" spans="1:5" x14ac:dyDescent="0.25">
      <c r="A329" s="20">
        <v>73105</v>
      </c>
      <c r="B329" s="13" t="s">
        <v>334</v>
      </c>
      <c r="C329" s="19">
        <v>8364850</v>
      </c>
      <c r="D329" s="16">
        <v>162.73599999999999</v>
      </c>
      <c r="E329" s="16">
        <f t="shared" si="5"/>
        <v>51401.349424835316</v>
      </c>
    </row>
    <row r="330" spans="1:5" x14ac:dyDescent="0.25">
      <c r="A330" s="20">
        <v>73106</v>
      </c>
      <c r="B330" s="13" t="s">
        <v>335</v>
      </c>
      <c r="C330" s="19">
        <v>86065560</v>
      </c>
      <c r="D330" s="16">
        <v>1372.5751</v>
      </c>
      <c r="E330" s="16">
        <f t="shared" si="5"/>
        <v>62703.716539809007</v>
      </c>
    </row>
    <row r="331" spans="1:5" x14ac:dyDescent="0.25">
      <c r="A331" s="20">
        <v>73108</v>
      </c>
      <c r="B331" s="13" t="s">
        <v>336</v>
      </c>
      <c r="C331" s="19">
        <v>286000657</v>
      </c>
      <c r="D331" s="16">
        <v>4344.1466</v>
      </c>
      <c r="E331" s="16">
        <f t="shared" si="5"/>
        <v>65835.866819043353</v>
      </c>
    </row>
    <row r="332" spans="1:5" x14ac:dyDescent="0.25">
      <c r="A332" s="20">
        <v>74187</v>
      </c>
      <c r="B332" s="13" t="s">
        <v>337</v>
      </c>
      <c r="C332" s="19">
        <v>26070780</v>
      </c>
      <c r="D332" s="16">
        <v>222.07329999999999</v>
      </c>
      <c r="E332" s="16">
        <f t="shared" si="5"/>
        <v>117397.18372267175</v>
      </c>
    </row>
    <row r="333" spans="1:5" x14ac:dyDescent="0.25">
      <c r="A333" s="20">
        <v>74190</v>
      </c>
      <c r="B333" s="13" t="s">
        <v>338</v>
      </c>
      <c r="C333" s="19">
        <v>23808760</v>
      </c>
      <c r="D333" s="16">
        <v>233.33449999999999</v>
      </c>
      <c r="E333" s="16">
        <f t="shared" si="5"/>
        <v>102037.0326719795</v>
      </c>
    </row>
    <row r="334" spans="1:5" x14ac:dyDescent="0.25">
      <c r="A334" s="20">
        <v>74194</v>
      </c>
      <c r="B334" s="13" t="s">
        <v>339</v>
      </c>
      <c r="C334" s="19">
        <v>14875481</v>
      </c>
      <c r="D334" s="16">
        <v>192.9273</v>
      </c>
      <c r="E334" s="16">
        <f t="shared" si="5"/>
        <v>77104.074954659081</v>
      </c>
    </row>
    <row r="335" spans="1:5" x14ac:dyDescent="0.25">
      <c r="A335" s="20">
        <v>74195</v>
      </c>
      <c r="B335" s="13" t="s">
        <v>340</v>
      </c>
      <c r="C335" s="19">
        <v>13874466</v>
      </c>
      <c r="D335" s="16">
        <v>136.2979</v>
      </c>
      <c r="E335" s="16">
        <f t="shared" si="5"/>
        <v>101795.1560515606</v>
      </c>
    </row>
    <row r="336" spans="1:5" x14ac:dyDescent="0.25">
      <c r="A336" s="20">
        <v>74197</v>
      </c>
      <c r="B336" s="13" t="s">
        <v>341</v>
      </c>
      <c r="C336" s="19">
        <v>15782548</v>
      </c>
      <c r="D336" s="16">
        <v>217.30860000000001</v>
      </c>
      <c r="E336" s="16">
        <f t="shared" si="5"/>
        <v>72627.351149471302</v>
      </c>
    </row>
    <row r="337" spans="1:5" x14ac:dyDescent="0.25">
      <c r="A337" s="20">
        <v>74201</v>
      </c>
      <c r="B337" s="13" t="s">
        <v>342</v>
      </c>
      <c r="C337" s="19">
        <v>191795766</v>
      </c>
      <c r="D337" s="16">
        <v>1362.5574999999999</v>
      </c>
      <c r="E337" s="16">
        <f t="shared" si="5"/>
        <v>140761.59428134226</v>
      </c>
    </row>
    <row r="338" spans="1:5" x14ac:dyDescent="0.25">
      <c r="A338" s="20">
        <v>74202</v>
      </c>
      <c r="B338" s="13" t="s">
        <v>343</v>
      </c>
      <c r="C338" s="19">
        <v>13927358</v>
      </c>
      <c r="D338" s="16">
        <v>152.16059999999999</v>
      </c>
      <c r="E338" s="16">
        <f t="shared" si="5"/>
        <v>91530.645909650731</v>
      </c>
    </row>
    <row r="339" spans="1:5" x14ac:dyDescent="0.25">
      <c r="A339" s="20">
        <v>75084</v>
      </c>
      <c r="B339" s="13" t="s">
        <v>344</v>
      </c>
      <c r="C339" s="19">
        <v>10358396</v>
      </c>
      <c r="D339" s="16">
        <v>120.504</v>
      </c>
      <c r="E339" s="16">
        <f t="shared" si="5"/>
        <v>85958.939122352778</v>
      </c>
    </row>
    <row r="340" spans="1:5" x14ac:dyDescent="0.25">
      <c r="A340" s="20">
        <v>75085</v>
      </c>
      <c r="B340" s="13" t="s">
        <v>345</v>
      </c>
      <c r="C340" s="19">
        <v>28996826</v>
      </c>
      <c r="D340" s="16">
        <v>651.49260000000004</v>
      </c>
      <c r="E340" s="16">
        <f t="shared" si="5"/>
        <v>44508.296794161586</v>
      </c>
    </row>
    <row r="341" spans="1:5" x14ac:dyDescent="0.25">
      <c r="A341" s="20">
        <v>75086</v>
      </c>
      <c r="B341" s="13" t="s">
        <v>346</v>
      </c>
      <c r="C341" s="19">
        <v>12874016</v>
      </c>
      <c r="D341" s="16">
        <v>187.54150000000001</v>
      </c>
      <c r="E341" s="16">
        <f t="shared" si="5"/>
        <v>68646.224968873546</v>
      </c>
    </row>
    <row r="342" spans="1:5" x14ac:dyDescent="0.25">
      <c r="A342" s="20">
        <v>75087</v>
      </c>
      <c r="B342" s="13" t="s">
        <v>347</v>
      </c>
      <c r="C342" s="19">
        <v>33483227</v>
      </c>
      <c r="D342" s="16">
        <v>642.13879999999995</v>
      </c>
      <c r="E342" s="16">
        <f t="shared" si="5"/>
        <v>52143.285844119688</v>
      </c>
    </row>
    <row r="343" spans="1:5" x14ac:dyDescent="0.25">
      <c r="A343" s="20">
        <v>76081</v>
      </c>
      <c r="B343" s="13" t="s">
        <v>348</v>
      </c>
      <c r="C343" s="19">
        <v>14101667</v>
      </c>
      <c r="D343" s="16">
        <v>215.13409999999999</v>
      </c>
      <c r="E343" s="16">
        <f t="shared" si="5"/>
        <v>65548.265012380652</v>
      </c>
    </row>
    <row r="344" spans="1:5" x14ac:dyDescent="0.25">
      <c r="A344" s="20">
        <v>76082</v>
      </c>
      <c r="B344" s="13" t="s">
        <v>349</v>
      </c>
      <c r="C344" s="19">
        <v>59839189</v>
      </c>
      <c r="D344" s="16">
        <v>626.13689999999997</v>
      </c>
      <c r="E344" s="16">
        <f t="shared" si="5"/>
        <v>95568.858823046525</v>
      </c>
    </row>
    <row r="345" spans="1:5" x14ac:dyDescent="0.25">
      <c r="A345" s="20">
        <v>76083</v>
      </c>
      <c r="B345" s="13" t="s">
        <v>350</v>
      </c>
      <c r="C345" s="19">
        <v>85371908</v>
      </c>
      <c r="D345" s="16">
        <v>777.59680000000003</v>
      </c>
      <c r="E345" s="16">
        <f t="shared" si="5"/>
        <v>109789.42814579484</v>
      </c>
    </row>
    <row r="346" spans="1:5" x14ac:dyDescent="0.25">
      <c r="A346" s="20">
        <v>77100</v>
      </c>
      <c r="B346" s="13" t="s">
        <v>351</v>
      </c>
      <c r="C346" s="19">
        <v>6288493</v>
      </c>
      <c r="D346" s="16">
        <v>88.718000000000004</v>
      </c>
      <c r="E346" s="16">
        <f t="shared" si="5"/>
        <v>70881.816542302578</v>
      </c>
    </row>
    <row r="347" spans="1:5" x14ac:dyDescent="0.25">
      <c r="A347" s="20">
        <v>77101</v>
      </c>
      <c r="B347" s="13" t="s">
        <v>352</v>
      </c>
      <c r="C347" s="19">
        <v>12993801</v>
      </c>
      <c r="D347" s="16">
        <v>324.68810000000002</v>
      </c>
      <c r="E347" s="16">
        <f t="shared" si="5"/>
        <v>40019.332399308747</v>
      </c>
    </row>
    <row r="348" spans="1:5" x14ac:dyDescent="0.25">
      <c r="A348" s="20">
        <v>77102</v>
      </c>
      <c r="B348" s="13" t="s">
        <v>353</v>
      </c>
      <c r="C348" s="19">
        <v>47519037</v>
      </c>
      <c r="D348" s="16">
        <v>605.05489999999998</v>
      </c>
      <c r="E348" s="16">
        <f t="shared" si="5"/>
        <v>78536.736087915328</v>
      </c>
    </row>
    <row r="349" spans="1:5" x14ac:dyDescent="0.25">
      <c r="A349" s="20">
        <v>77103</v>
      </c>
      <c r="B349" s="13" t="s">
        <v>354</v>
      </c>
      <c r="C349" s="19">
        <v>15547507</v>
      </c>
      <c r="D349" s="16">
        <v>279.40390000000002</v>
      </c>
      <c r="E349" s="16">
        <f t="shared" si="5"/>
        <v>55645.275531229156</v>
      </c>
    </row>
    <row r="350" spans="1:5" x14ac:dyDescent="0.25">
      <c r="A350" s="20">
        <v>77104</v>
      </c>
      <c r="B350" s="13" t="s">
        <v>355</v>
      </c>
      <c r="C350" s="19">
        <v>22293421</v>
      </c>
      <c r="D350" s="16">
        <v>120.797</v>
      </c>
      <c r="E350" s="16">
        <f t="shared" si="5"/>
        <v>184552.77035025705</v>
      </c>
    </row>
    <row r="351" spans="1:5" x14ac:dyDescent="0.25">
      <c r="A351" s="20">
        <v>78001</v>
      </c>
      <c r="B351" s="13" t="s">
        <v>356</v>
      </c>
      <c r="C351" s="19">
        <v>19400428</v>
      </c>
      <c r="D351" s="16">
        <v>261.83109999999999</v>
      </c>
      <c r="E351" s="16">
        <f t="shared" si="5"/>
        <v>74095.201066641821</v>
      </c>
    </row>
    <row r="352" spans="1:5" x14ac:dyDescent="0.25">
      <c r="A352" s="20">
        <v>78002</v>
      </c>
      <c r="B352" s="13" t="s">
        <v>357</v>
      </c>
      <c r="C352" s="19">
        <v>30744258</v>
      </c>
      <c r="D352" s="16">
        <v>686.48739999999998</v>
      </c>
      <c r="E352" s="16">
        <f t="shared" si="5"/>
        <v>44784.883160273588</v>
      </c>
    </row>
    <row r="353" spans="1:5" x14ac:dyDescent="0.25">
      <c r="A353" s="20">
        <v>78003</v>
      </c>
      <c r="B353" s="13" t="s">
        <v>358</v>
      </c>
      <c r="C353" s="19">
        <v>11614277</v>
      </c>
      <c r="D353" s="16">
        <v>165.71199999999999</v>
      </c>
      <c r="E353" s="16">
        <f t="shared" si="5"/>
        <v>70087.121029255577</v>
      </c>
    </row>
    <row r="354" spans="1:5" x14ac:dyDescent="0.25">
      <c r="A354" s="20">
        <v>78004</v>
      </c>
      <c r="B354" s="13" t="s">
        <v>359</v>
      </c>
      <c r="C354" s="19">
        <v>7987444</v>
      </c>
      <c r="D354" s="16">
        <v>206.3663</v>
      </c>
      <c r="E354" s="16">
        <f t="shared" si="5"/>
        <v>38705.176184289783</v>
      </c>
    </row>
    <row r="355" spans="1:5" x14ac:dyDescent="0.25">
      <c r="A355" s="20">
        <v>78005</v>
      </c>
      <c r="B355" s="13" t="s">
        <v>360</v>
      </c>
      <c r="C355" s="19">
        <v>30092903</v>
      </c>
      <c r="D355" s="16">
        <v>646.73820000000001</v>
      </c>
      <c r="E355" s="16">
        <f t="shared" si="5"/>
        <v>46530.269899010142</v>
      </c>
    </row>
    <row r="356" spans="1:5" x14ac:dyDescent="0.25">
      <c r="A356" s="20">
        <v>78009</v>
      </c>
      <c r="B356" s="13" t="s">
        <v>361</v>
      </c>
      <c r="C356" s="19">
        <v>11511323</v>
      </c>
      <c r="D356" s="16">
        <v>229.42779999999999</v>
      </c>
      <c r="E356" s="16">
        <f t="shared" si="5"/>
        <v>50174.054757095699</v>
      </c>
    </row>
    <row r="357" spans="1:5" x14ac:dyDescent="0.25">
      <c r="A357" s="20">
        <v>78012</v>
      </c>
      <c r="B357" s="13" t="s">
        <v>362</v>
      </c>
      <c r="C357" s="19">
        <v>50197306</v>
      </c>
      <c r="D357" s="16">
        <v>1040.0391</v>
      </c>
      <c r="E357" s="16">
        <f t="shared" si="5"/>
        <v>48264.825812798772</v>
      </c>
    </row>
    <row r="358" spans="1:5" x14ac:dyDescent="0.25">
      <c r="A358" s="20">
        <v>79077</v>
      </c>
      <c r="B358" s="13" t="s">
        <v>363</v>
      </c>
      <c r="C358" s="19">
        <v>285874157</v>
      </c>
      <c r="D358" s="16">
        <v>2169.3251</v>
      </c>
      <c r="E358" s="16">
        <f t="shared" si="5"/>
        <v>131780.22832999995</v>
      </c>
    </row>
    <row r="359" spans="1:5" x14ac:dyDescent="0.25">
      <c r="A359" s="20">
        <v>79078</v>
      </c>
      <c r="B359" s="13" t="s">
        <v>364</v>
      </c>
      <c r="C359" s="19">
        <v>16046931</v>
      </c>
      <c r="D359" s="16">
        <v>106.5635</v>
      </c>
      <c r="E359" s="16">
        <f t="shared" si="5"/>
        <v>150585.62265691347</v>
      </c>
    </row>
    <row r="360" spans="1:5" x14ac:dyDescent="0.25">
      <c r="A360" s="20">
        <v>80116</v>
      </c>
      <c r="B360" s="13" t="s">
        <v>365</v>
      </c>
      <c r="C360" s="19">
        <v>26346500</v>
      </c>
      <c r="D360" s="16">
        <v>297.4085</v>
      </c>
      <c r="E360" s="16">
        <f t="shared" si="5"/>
        <v>88586.909923556319</v>
      </c>
    </row>
    <row r="361" spans="1:5" x14ac:dyDescent="0.25">
      <c r="A361" s="20">
        <v>80118</v>
      </c>
      <c r="B361" s="13" t="s">
        <v>366</v>
      </c>
      <c r="C361" s="19">
        <v>19156875</v>
      </c>
      <c r="D361" s="16">
        <v>329.57960000000003</v>
      </c>
      <c r="E361" s="16">
        <f t="shared" si="5"/>
        <v>58125.184325728893</v>
      </c>
    </row>
    <row r="362" spans="1:5" x14ac:dyDescent="0.25">
      <c r="A362" s="20">
        <v>80119</v>
      </c>
      <c r="B362" s="13" t="s">
        <v>367</v>
      </c>
      <c r="C362" s="19">
        <v>39664600</v>
      </c>
      <c r="D362" s="16">
        <v>543.24390000000005</v>
      </c>
      <c r="E362" s="16">
        <f t="shared" si="5"/>
        <v>73014.349539865972</v>
      </c>
    </row>
    <row r="363" spans="1:5" x14ac:dyDescent="0.25">
      <c r="A363" s="20">
        <v>80121</v>
      </c>
      <c r="B363" s="13" t="s">
        <v>368</v>
      </c>
      <c r="C363" s="19">
        <v>24681586</v>
      </c>
      <c r="D363" s="16">
        <v>350.6576</v>
      </c>
      <c r="E363" s="16">
        <f t="shared" si="5"/>
        <v>70386.570831489182</v>
      </c>
    </row>
    <row r="364" spans="1:5" x14ac:dyDescent="0.25">
      <c r="A364" s="20">
        <v>80122</v>
      </c>
      <c r="B364" s="13" t="s">
        <v>369</v>
      </c>
      <c r="C364" s="19">
        <v>54812629</v>
      </c>
      <c r="D364" s="16">
        <v>195.83199999999999</v>
      </c>
      <c r="E364" s="16">
        <f t="shared" si="5"/>
        <v>279896.18142080971</v>
      </c>
    </row>
    <row r="365" spans="1:5" x14ac:dyDescent="0.25">
      <c r="A365" s="20">
        <v>80125</v>
      </c>
      <c r="B365" s="13" t="s">
        <v>370</v>
      </c>
      <c r="C365" s="19">
        <v>342708978</v>
      </c>
      <c r="D365" s="16">
        <v>4466.3824000000004</v>
      </c>
      <c r="E365" s="16">
        <f t="shared" si="5"/>
        <v>76730.773880892957</v>
      </c>
    </row>
    <row r="366" spans="1:5" x14ac:dyDescent="0.25">
      <c r="A366" s="20">
        <v>81094</v>
      </c>
      <c r="B366" s="13" t="s">
        <v>371</v>
      </c>
      <c r="C366" s="19">
        <v>114613091</v>
      </c>
      <c r="D366" s="16">
        <v>1719.7978000000001</v>
      </c>
      <c r="E366" s="16">
        <f t="shared" si="5"/>
        <v>66643.352491787111</v>
      </c>
    </row>
    <row r="367" spans="1:5" x14ac:dyDescent="0.25">
      <c r="A367" s="20">
        <v>81095</v>
      </c>
      <c r="B367" s="13" t="s">
        <v>372</v>
      </c>
      <c r="C367" s="19">
        <v>26420605</v>
      </c>
      <c r="D367" s="16">
        <v>425.4495</v>
      </c>
      <c r="E367" s="16">
        <f t="shared" si="5"/>
        <v>62100.449054470628</v>
      </c>
    </row>
    <row r="368" spans="1:5" x14ac:dyDescent="0.25">
      <c r="A368" s="20">
        <v>81096</v>
      </c>
      <c r="B368" s="13" t="s">
        <v>373</v>
      </c>
      <c r="C368" s="19">
        <v>390296139</v>
      </c>
      <c r="D368" s="16">
        <v>3829.7323000000001</v>
      </c>
      <c r="E368" s="16">
        <f t="shared" si="5"/>
        <v>101912.12033279715</v>
      </c>
    </row>
    <row r="369" spans="1:5" x14ac:dyDescent="0.25">
      <c r="A369" s="20">
        <v>81097</v>
      </c>
      <c r="B369" s="13" t="s">
        <v>374</v>
      </c>
      <c r="C369" s="19">
        <v>18117855</v>
      </c>
      <c r="D369" s="16">
        <v>236.11779999999999</v>
      </c>
      <c r="E369" s="16">
        <f t="shared" si="5"/>
        <v>76732.270925783654</v>
      </c>
    </row>
    <row r="370" spans="1:5" x14ac:dyDescent="0.25">
      <c r="A370" s="20">
        <v>82100</v>
      </c>
      <c r="B370" s="13" t="s">
        <v>375</v>
      </c>
      <c r="C370" s="19">
        <v>104218234</v>
      </c>
      <c r="D370" s="16">
        <v>1232.5797</v>
      </c>
      <c r="E370" s="16">
        <f t="shared" si="5"/>
        <v>84552.93722588486</v>
      </c>
    </row>
    <row r="371" spans="1:5" x14ac:dyDescent="0.25">
      <c r="A371" s="20">
        <v>82101</v>
      </c>
      <c r="B371" s="13" t="s">
        <v>376</v>
      </c>
      <c r="C371" s="19">
        <v>38592428</v>
      </c>
      <c r="D371" s="16">
        <v>423.27890000000002</v>
      </c>
      <c r="E371" s="16">
        <f t="shared" si="5"/>
        <v>91174.939265812674</v>
      </c>
    </row>
    <row r="372" spans="1:5" x14ac:dyDescent="0.25">
      <c r="A372" s="20">
        <v>82105</v>
      </c>
      <c r="B372" s="13" t="s">
        <v>377</v>
      </c>
      <c r="C372" s="19">
        <v>15188195</v>
      </c>
      <c r="D372" s="16">
        <v>46.700600000000001</v>
      </c>
      <c r="E372" s="16">
        <f t="shared" si="5"/>
        <v>325224.83651173644</v>
      </c>
    </row>
    <row r="373" spans="1:5" x14ac:dyDescent="0.25">
      <c r="A373" s="20">
        <v>82108</v>
      </c>
      <c r="B373" s="13" t="s">
        <v>378</v>
      </c>
      <c r="C373" s="19">
        <v>50511311</v>
      </c>
      <c r="D373" s="16">
        <v>672.89700000000005</v>
      </c>
      <c r="E373" s="16">
        <f t="shared" si="5"/>
        <v>75065.442407976254</v>
      </c>
    </row>
    <row r="374" spans="1:5" x14ac:dyDescent="0.25">
      <c r="A374" s="20">
        <v>83001</v>
      </c>
      <c r="B374" s="13" t="s">
        <v>379</v>
      </c>
      <c r="C374" s="19">
        <v>60646253</v>
      </c>
      <c r="D374" s="16">
        <v>587.37570000000005</v>
      </c>
      <c r="E374" s="16">
        <f t="shared" si="5"/>
        <v>103249.50964093338</v>
      </c>
    </row>
    <row r="375" spans="1:5" x14ac:dyDescent="0.25">
      <c r="A375" s="20">
        <v>83002</v>
      </c>
      <c r="B375" s="13" t="s">
        <v>380</v>
      </c>
      <c r="C375" s="19">
        <v>193822234</v>
      </c>
      <c r="D375" s="16">
        <v>533.45450000000005</v>
      </c>
      <c r="E375" s="16">
        <f t="shared" si="5"/>
        <v>363334.14377421123</v>
      </c>
    </row>
    <row r="376" spans="1:5" x14ac:dyDescent="0.25">
      <c r="A376" s="20">
        <v>83003</v>
      </c>
      <c r="B376" s="13" t="s">
        <v>381</v>
      </c>
      <c r="C376" s="19">
        <v>445406131</v>
      </c>
      <c r="D376" s="16">
        <v>3699.9065999999998</v>
      </c>
      <c r="E376" s="16">
        <f t="shared" si="5"/>
        <v>120383.07426463145</v>
      </c>
    </row>
    <row r="377" spans="1:5" x14ac:dyDescent="0.25">
      <c r="A377" s="20">
        <v>83005</v>
      </c>
      <c r="B377" s="13" t="s">
        <v>382</v>
      </c>
      <c r="C377" s="19">
        <v>1498600310</v>
      </c>
      <c r="D377" s="16">
        <v>10668.034299999999</v>
      </c>
      <c r="E377" s="16">
        <f t="shared" si="5"/>
        <v>140475.76787412466</v>
      </c>
    </row>
    <row r="378" spans="1:5" x14ac:dyDescent="0.25">
      <c r="A378" s="20">
        <v>84001</v>
      </c>
      <c r="B378" s="13" t="s">
        <v>383</v>
      </c>
      <c r="C378" s="19">
        <v>155494650</v>
      </c>
      <c r="D378" s="16">
        <v>2674.4294</v>
      </c>
      <c r="E378" s="16">
        <f t="shared" si="5"/>
        <v>58141.243137695092</v>
      </c>
    </row>
    <row r="379" spans="1:5" x14ac:dyDescent="0.25">
      <c r="A379" s="20">
        <v>84002</v>
      </c>
      <c r="B379" s="13" t="s">
        <v>384</v>
      </c>
      <c r="C379" s="19">
        <v>17605450</v>
      </c>
      <c r="D379" s="16">
        <v>372.15230000000003</v>
      </c>
      <c r="E379" s="16">
        <f t="shared" si="5"/>
        <v>47307.110556618885</v>
      </c>
    </row>
    <row r="380" spans="1:5" x14ac:dyDescent="0.25">
      <c r="A380" s="20">
        <v>84003</v>
      </c>
      <c r="B380" s="13" t="s">
        <v>385</v>
      </c>
      <c r="C380" s="19">
        <v>17602670</v>
      </c>
      <c r="D380" s="16">
        <v>262.96870000000001</v>
      </c>
      <c r="E380" s="16">
        <f t="shared" si="5"/>
        <v>66938.270600265358</v>
      </c>
    </row>
    <row r="381" spans="1:5" x14ac:dyDescent="0.25">
      <c r="A381" s="20">
        <v>84004</v>
      </c>
      <c r="B381" s="13" t="s">
        <v>386</v>
      </c>
      <c r="C381" s="19">
        <v>20301886</v>
      </c>
      <c r="D381" s="16">
        <v>338.71249999999998</v>
      </c>
      <c r="E381" s="16">
        <f t="shared" si="5"/>
        <v>59938.402037125888</v>
      </c>
    </row>
    <row r="382" spans="1:5" x14ac:dyDescent="0.25">
      <c r="A382" s="20">
        <v>84005</v>
      </c>
      <c r="B382" s="13" t="s">
        <v>387</v>
      </c>
      <c r="C382" s="19">
        <v>33709680</v>
      </c>
      <c r="D382" s="16">
        <v>507.488</v>
      </c>
      <c r="E382" s="16">
        <f t="shared" si="5"/>
        <v>66424.585408916071</v>
      </c>
    </row>
    <row r="383" spans="1:5" x14ac:dyDescent="0.25">
      <c r="A383" s="20">
        <v>84006</v>
      </c>
      <c r="B383" s="13" t="s">
        <v>388</v>
      </c>
      <c r="C383" s="19">
        <v>39031820</v>
      </c>
      <c r="D383" s="16">
        <v>805.69069999999999</v>
      </c>
      <c r="E383" s="16">
        <f t="shared" si="5"/>
        <v>48445.166364710429</v>
      </c>
    </row>
    <row r="384" spans="1:5" x14ac:dyDescent="0.25">
      <c r="A384" s="20">
        <v>85043</v>
      </c>
      <c r="B384" s="13" t="s">
        <v>389</v>
      </c>
      <c r="C384" s="19">
        <v>5657961</v>
      </c>
      <c r="D384" s="16">
        <v>88.926199999999994</v>
      </c>
      <c r="E384" s="16">
        <f t="shared" si="5"/>
        <v>63625.354507445503</v>
      </c>
    </row>
    <row r="385" spans="1:5" x14ac:dyDescent="0.25">
      <c r="A385" s="20">
        <v>85044</v>
      </c>
      <c r="B385" s="13" t="s">
        <v>390</v>
      </c>
      <c r="C385" s="19">
        <v>33690540</v>
      </c>
      <c r="D385" s="16">
        <v>541.17510000000004</v>
      </c>
      <c r="E385" s="16">
        <f t="shared" si="5"/>
        <v>62254.416361728392</v>
      </c>
    </row>
    <row r="386" spans="1:5" x14ac:dyDescent="0.25">
      <c r="A386" s="20">
        <v>85045</v>
      </c>
      <c r="B386" s="13" t="s">
        <v>391</v>
      </c>
      <c r="C386" s="19">
        <v>34915185</v>
      </c>
      <c r="D386" s="16">
        <v>658.78300000000002</v>
      </c>
      <c r="E386" s="16">
        <f t="shared" si="5"/>
        <v>52999.523363535489</v>
      </c>
    </row>
    <row r="387" spans="1:5" x14ac:dyDescent="0.25">
      <c r="A387" s="20">
        <v>85046</v>
      </c>
      <c r="B387" s="13" t="s">
        <v>392</v>
      </c>
      <c r="C387" s="19">
        <v>297776077</v>
      </c>
      <c r="D387" s="16">
        <v>5697.4215000000004</v>
      </c>
      <c r="E387" s="16">
        <f t="shared" ref="E387:E450" si="6">C387/D387</f>
        <v>52265.060080248579</v>
      </c>
    </row>
    <row r="388" spans="1:5" x14ac:dyDescent="0.25">
      <c r="A388" s="20">
        <v>85048</v>
      </c>
      <c r="B388" s="13" t="s">
        <v>393</v>
      </c>
      <c r="C388" s="19">
        <v>61941530</v>
      </c>
      <c r="D388" s="16">
        <v>935.8519</v>
      </c>
      <c r="E388" s="16">
        <f t="shared" si="6"/>
        <v>66187.320878442406</v>
      </c>
    </row>
    <row r="389" spans="1:5" x14ac:dyDescent="0.25">
      <c r="A389" s="20">
        <v>85049</v>
      </c>
      <c r="B389" s="13" t="s">
        <v>394</v>
      </c>
      <c r="C389" s="19">
        <v>30308528</v>
      </c>
      <c r="D389" s="16">
        <v>551.77009999999996</v>
      </c>
      <c r="E389" s="16">
        <f t="shared" si="6"/>
        <v>54929.631018425978</v>
      </c>
    </row>
    <row r="390" spans="1:5" x14ac:dyDescent="0.25">
      <c r="A390" s="20">
        <v>86100</v>
      </c>
      <c r="B390" s="13" t="s">
        <v>395</v>
      </c>
      <c r="C390" s="19">
        <v>77014100</v>
      </c>
      <c r="D390" s="16">
        <v>689.4751</v>
      </c>
      <c r="E390" s="16">
        <f t="shared" si="6"/>
        <v>111699.61032675437</v>
      </c>
    </row>
    <row r="391" spans="1:5" x14ac:dyDescent="0.25">
      <c r="A391" s="20">
        <v>87083</v>
      </c>
      <c r="B391" s="13" t="s">
        <v>396</v>
      </c>
      <c r="C391" s="19">
        <v>74776978</v>
      </c>
      <c r="D391" s="16">
        <v>715.10530000000006</v>
      </c>
      <c r="E391" s="16">
        <f t="shared" si="6"/>
        <v>104567.78603095235</v>
      </c>
    </row>
    <row r="392" spans="1:5" x14ac:dyDescent="0.25">
      <c r="A392" s="20">
        <v>88072</v>
      </c>
      <c r="B392" s="13" t="s">
        <v>397</v>
      </c>
      <c r="C392" s="19">
        <v>30017322</v>
      </c>
      <c r="D392" s="16">
        <v>383.91210000000001</v>
      </c>
      <c r="E392" s="16">
        <f t="shared" si="6"/>
        <v>78188.007098499889</v>
      </c>
    </row>
    <row r="393" spans="1:5" x14ac:dyDescent="0.25">
      <c r="A393" s="20">
        <v>88073</v>
      </c>
      <c r="B393" s="13" t="s">
        <v>398</v>
      </c>
      <c r="C393" s="19">
        <v>13904191</v>
      </c>
      <c r="D393" s="16">
        <v>162.06020000000001</v>
      </c>
      <c r="E393" s="16">
        <f t="shared" si="6"/>
        <v>85796.457119021201</v>
      </c>
    </row>
    <row r="394" spans="1:5" x14ac:dyDescent="0.25">
      <c r="A394" s="20">
        <v>88075</v>
      </c>
      <c r="B394" s="13" t="s">
        <v>399</v>
      </c>
      <c r="C394" s="19">
        <v>11055317</v>
      </c>
      <c r="D394" s="16">
        <v>203.65880000000001</v>
      </c>
      <c r="E394" s="16">
        <f t="shared" si="6"/>
        <v>54283.522244067033</v>
      </c>
    </row>
    <row r="395" spans="1:5" x14ac:dyDescent="0.25">
      <c r="A395" s="20">
        <v>88080</v>
      </c>
      <c r="B395" s="13" t="s">
        <v>400</v>
      </c>
      <c r="C395" s="19">
        <v>160698462</v>
      </c>
      <c r="D395" s="16">
        <v>598.64679999999998</v>
      </c>
      <c r="E395" s="16">
        <f t="shared" si="6"/>
        <v>268436.18307155406</v>
      </c>
    </row>
    <row r="396" spans="1:5" x14ac:dyDescent="0.25">
      <c r="A396" s="20">
        <v>88081</v>
      </c>
      <c r="B396" s="13" t="s">
        <v>401</v>
      </c>
      <c r="C396" s="19">
        <v>167792970</v>
      </c>
      <c r="D396" s="16">
        <v>2108.1131</v>
      </c>
      <c r="E396" s="16">
        <f t="shared" si="6"/>
        <v>79593.912679542671</v>
      </c>
    </row>
    <row r="397" spans="1:5" x14ac:dyDescent="0.25">
      <c r="A397" s="20">
        <v>89080</v>
      </c>
      <c r="B397" s="13" t="s">
        <v>402</v>
      </c>
      <c r="C397" s="19">
        <v>65634414</v>
      </c>
      <c r="D397" s="16">
        <v>1124.2772</v>
      </c>
      <c r="E397" s="16">
        <f t="shared" si="6"/>
        <v>58379.209326667835</v>
      </c>
    </row>
    <row r="398" spans="1:5" x14ac:dyDescent="0.25">
      <c r="A398" s="20">
        <v>89087</v>
      </c>
      <c r="B398" s="13" t="s">
        <v>403</v>
      </c>
      <c r="C398" s="19">
        <v>22202138</v>
      </c>
      <c r="D398" s="16">
        <v>316.9203</v>
      </c>
      <c r="E398" s="16">
        <f t="shared" si="6"/>
        <v>70055.903645175145</v>
      </c>
    </row>
    <row r="399" spans="1:5" x14ac:dyDescent="0.25">
      <c r="A399" s="20">
        <v>89088</v>
      </c>
      <c r="B399" s="13" t="s">
        <v>404</v>
      </c>
      <c r="C399" s="19">
        <v>17269861</v>
      </c>
      <c r="D399" s="16">
        <v>198.328</v>
      </c>
      <c r="E399" s="16">
        <f t="shared" si="6"/>
        <v>87077.270985438256</v>
      </c>
    </row>
    <row r="400" spans="1:5" x14ac:dyDescent="0.25">
      <c r="A400" s="20">
        <v>89089</v>
      </c>
      <c r="B400" s="13" t="s">
        <v>405</v>
      </c>
      <c r="C400" s="19">
        <v>104498105</v>
      </c>
      <c r="D400" s="16">
        <v>1461.9901</v>
      </c>
      <c r="E400" s="16">
        <f t="shared" si="6"/>
        <v>71476.616018124885</v>
      </c>
    </row>
    <row r="401" spans="1:5" x14ac:dyDescent="0.25">
      <c r="A401" s="20">
        <v>90075</v>
      </c>
      <c r="B401" s="13" t="s">
        <v>406</v>
      </c>
      <c r="C401" s="19">
        <v>6126509</v>
      </c>
      <c r="D401" s="16">
        <v>71.6995</v>
      </c>
      <c r="E401" s="16">
        <f t="shared" si="6"/>
        <v>85447.025432534399</v>
      </c>
    </row>
    <row r="402" spans="1:5" x14ac:dyDescent="0.25">
      <c r="A402" s="20">
        <v>90076</v>
      </c>
      <c r="B402" s="13" t="s">
        <v>407</v>
      </c>
      <c r="C402" s="19">
        <v>35983422</v>
      </c>
      <c r="D402" s="16">
        <v>466.43329999999997</v>
      </c>
      <c r="E402" s="16">
        <f t="shared" si="6"/>
        <v>77145.911323226712</v>
      </c>
    </row>
    <row r="403" spans="1:5" x14ac:dyDescent="0.25">
      <c r="A403" s="20">
        <v>90077</v>
      </c>
      <c r="B403" s="13" t="s">
        <v>408</v>
      </c>
      <c r="C403" s="19">
        <v>72466382</v>
      </c>
      <c r="D403" s="16">
        <v>234.09710000000001</v>
      </c>
      <c r="E403" s="16">
        <f t="shared" si="6"/>
        <v>309556.94026111386</v>
      </c>
    </row>
    <row r="404" spans="1:5" x14ac:dyDescent="0.25">
      <c r="A404" s="20">
        <v>90078</v>
      </c>
      <c r="B404" s="13" t="s">
        <v>409</v>
      </c>
      <c r="C404" s="19">
        <v>60535966</v>
      </c>
      <c r="D404" s="16">
        <v>233.60560000000001</v>
      </c>
      <c r="E404" s="16">
        <f t="shared" si="6"/>
        <v>259137.47786868122</v>
      </c>
    </row>
    <row r="405" spans="1:5" x14ac:dyDescent="0.25">
      <c r="A405" s="20">
        <v>91091</v>
      </c>
      <c r="B405" s="13" t="s">
        <v>410</v>
      </c>
      <c r="C405" s="19">
        <v>10414796</v>
      </c>
      <c r="D405" s="16">
        <v>372.50319999999999</v>
      </c>
      <c r="E405" s="16">
        <f t="shared" si="6"/>
        <v>27958.943708403043</v>
      </c>
    </row>
    <row r="406" spans="1:5" x14ac:dyDescent="0.25">
      <c r="A406" s="20">
        <v>91092</v>
      </c>
      <c r="B406" s="13" t="s">
        <v>411</v>
      </c>
      <c r="C406" s="19">
        <v>72197320</v>
      </c>
      <c r="D406" s="16">
        <v>1371.4067</v>
      </c>
      <c r="E406" s="16">
        <f t="shared" si="6"/>
        <v>52644.718740254073</v>
      </c>
    </row>
    <row r="407" spans="1:5" x14ac:dyDescent="0.25">
      <c r="A407" s="20">
        <v>91093</v>
      </c>
      <c r="B407" s="13" t="s">
        <v>412</v>
      </c>
      <c r="C407" s="19">
        <v>6171092</v>
      </c>
      <c r="D407" s="16">
        <v>164.04750000000001</v>
      </c>
      <c r="E407" s="16">
        <f t="shared" si="6"/>
        <v>37617.714381505357</v>
      </c>
    </row>
    <row r="408" spans="1:5" x14ac:dyDescent="0.25">
      <c r="A408" s="20">
        <v>91095</v>
      </c>
      <c r="B408" s="13" t="s">
        <v>413</v>
      </c>
      <c r="C408" s="19">
        <v>5900182</v>
      </c>
      <c r="D408" s="16">
        <v>133.9847</v>
      </c>
      <c r="E408" s="16">
        <f t="shared" si="6"/>
        <v>44036.236973326057</v>
      </c>
    </row>
    <row r="409" spans="1:5" x14ac:dyDescent="0.25">
      <c r="A409" s="20">
        <v>92087</v>
      </c>
      <c r="B409" s="13" t="s">
        <v>414</v>
      </c>
      <c r="C409" s="19">
        <v>2032578192</v>
      </c>
      <c r="D409" s="16">
        <v>17237.4486</v>
      </c>
      <c r="E409" s="16">
        <f t="shared" si="6"/>
        <v>117916.41786244398</v>
      </c>
    </row>
    <row r="410" spans="1:5" x14ac:dyDescent="0.25">
      <c r="A410" s="20">
        <v>92088</v>
      </c>
      <c r="B410" s="13" t="s">
        <v>415</v>
      </c>
      <c r="C410" s="19">
        <v>2218932450</v>
      </c>
      <c r="D410" s="16">
        <v>16008.7292</v>
      </c>
      <c r="E410" s="16">
        <f t="shared" si="6"/>
        <v>138607.65725239454</v>
      </c>
    </row>
    <row r="411" spans="1:5" x14ac:dyDescent="0.25">
      <c r="A411" s="20">
        <v>92089</v>
      </c>
      <c r="B411" s="13" t="s">
        <v>416</v>
      </c>
      <c r="C411" s="19">
        <v>1500880613</v>
      </c>
      <c r="D411" s="16">
        <v>13922.082399999999</v>
      </c>
      <c r="E411" s="16">
        <f t="shared" si="6"/>
        <v>107805.75562460397</v>
      </c>
    </row>
    <row r="412" spans="1:5" x14ac:dyDescent="0.25">
      <c r="A412" s="20">
        <v>92090</v>
      </c>
      <c r="B412" s="13" t="s">
        <v>417</v>
      </c>
      <c r="C412" s="19">
        <v>880316622</v>
      </c>
      <c r="D412" s="16">
        <v>4725.6391000000003</v>
      </c>
      <c r="E412" s="16">
        <f t="shared" si="6"/>
        <v>186285.19939239539</v>
      </c>
    </row>
    <row r="413" spans="1:5" x14ac:dyDescent="0.25">
      <c r="A413" s="20">
        <v>92091</v>
      </c>
      <c r="B413" s="13" t="s">
        <v>418</v>
      </c>
      <c r="C413" s="19">
        <v>275474439</v>
      </c>
      <c r="D413" s="16">
        <v>1584.9745</v>
      </c>
      <c r="E413" s="16">
        <f t="shared" si="6"/>
        <v>173803.70409744763</v>
      </c>
    </row>
    <row r="414" spans="1:5" x14ac:dyDescent="0.25">
      <c r="A414" s="20">
        <v>93120</v>
      </c>
      <c r="B414" s="13" t="s">
        <v>419</v>
      </c>
      <c r="C414" s="19">
        <v>25303886</v>
      </c>
      <c r="D414" s="16">
        <v>314.82760000000002</v>
      </c>
      <c r="E414" s="16">
        <f t="shared" si="6"/>
        <v>80373.785525792526</v>
      </c>
    </row>
    <row r="415" spans="1:5" x14ac:dyDescent="0.25">
      <c r="A415" s="20">
        <v>93121</v>
      </c>
      <c r="B415" s="13" t="s">
        <v>420</v>
      </c>
      <c r="C415" s="19">
        <v>6252702</v>
      </c>
      <c r="D415" s="16">
        <v>82.080100000000002</v>
      </c>
      <c r="E415" s="16">
        <f t="shared" si="6"/>
        <v>76178.050465338121</v>
      </c>
    </row>
    <row r="416" spans="1:5" x14ac:dyDescent="0.25">
      <c r="A416" s="20">
        <v>93123</v>
      </c>
      <c r="B416" s="13" t="s">
        <v>421</v>
      </c>
      <c r="C416" s="19">
        <v>30656105</v>
      </c>
      <c r="D416" s="16">
        <v>359.83260000000001</v>
      </c>
      <c r="E416" s="16">
        <f t="shared" si="6"/>
        <v>85195.46311256956</v>
      </c>
    </row>
    <row r="417" spans="1:5" x14ac:dyDescent="0.25">
      <c r="A417" s="20">
        <v>93124</v>
      </c>
      <c r="B417" s="13" t="s">
        <v>422</v>
      </c>
      <c r="C417" s="19">
        <v>30171069</v>
      </c>
      <c r="D417" s="16">
        <v>444.31939999999997</v>
      </c>
      <c r="E417" s="16">
        <f t="shared" si="6"/>
        <v>67904.010043225659</v>
      </c>
    </row>
    <row r="418" spans="1:5" x14ac:dyDescent="0.25">
      <c r="A418" s="20">
        <v>94076</v>
      </c>
      <c r="B418" s="13" t="s">
        <v>423</v>
      </c>
      <c r="C418" s="19">
        <v>28682425</v>
      </c>
      <c r="D418" s="16">
        <v>519.21519999999998</v>
      </c>
      <c r="E418" s="16">
        <f t="shared" si="6"/>
        <v>55241.882363998593</v>
      </c>
    </row>
    <row r="419" spans="1:5" x14ac:dyDescent="0.25">
      <c r="A419" s="20">
        <v>94078</v>
      </c>
      <c r="B419" s="13" t="s">
        <v>424</v>
      </c>
      <c r="C419" s="19">
        <v>333252339</v>
      </c>
      <c r="D419" s="16">
        <v>3734.4128000000001</v>
      </c>
      <c r="E419" s="16">
        <f t="shared" si="6"/>
        <v>89238.216782033312</v>
      </c>
    </row>
    <row r="420" spans="1:5" x14ac:dyDescent="0.25">
      <c r="A420" s="20">
        <v>94083</v>
      </c>
      <c r="B420" s="13" t="s">
        <v>425</v>
      </c>
      <c r="C420" s="19">
        <v>162276920</v>
      </c>
      <c r="D420" s="16">
        <v>2907.1828</v>
      </c>
      <c r="E420" s="16">
        <f t="shared" si="6"/>
        <v>55819.303829122822</v>
      </c>
    </row>
    <row r="421" spans="1:5" x14ac:dyDescent="0.25">
      <c r="A421" s="20">
        <v>94086</v>
      </c>
      <c r="B421" s="13" t="s">
        <v>426</v>
      </c>
      <c r="C421" s="19">
        <v>96636722</v>
      </c>
      <c r="D421" s="16">
        <v>2098.1815000000001</v>
      </c>
      <c r="E421" s="16">
        <f t="shared" si="6"/>
        <v>46057.370156013669</v>
      </c>
    </row>
    <row r="422" spans="1:5" x14ac:dyDescent="0.25">
      <c r="A422" s="20">
        <v>94087</v>
      </c>
      <c r="B422" s="13" t="s">
        <v>427</v>
      </c>
      <c r="C422" s="19">
        <v>44997130</v>
      </c>
      <c r="D422" s="16">
        <v>1014.5598</v>
      </c>
      <c r="E422" s="16">
        <f t="shared" si="6"/>
        <v>44351.382737616848</v>
      </c>
    </row>
    <row r="423" spans="1:5" x14ac:dyDescent="0.25">
      <c r="A423" s="20">
        <v>95059</v>
      </c>
      <c r="B423" s="13" t="s">
        <v>428</v>
      </c>
      <c r="C423" s="19">
        <v>344411588</v>
      </c>
      <c r="D423" s="16">
        <v>1751.8441</v>
      </c>
      <c r="E423" s="16">
        <f t="shared" si="6"/>
        <v>196599.4508301281</v>
      </c>
    </row>
    <row r="424" spans="1:5" x14ac:dyDescent="0.25">
      <c r="A424" s="20">
        <v>96088</v>
      </c>
      <c r="B424" s="13" t="s">
        <v>429</v>
      </c>
      <c r="C424" s="19">
        <v>1598735070</v>
      </c>
      <c r="D424" s="16">
        <v>16755.887900000002</v>
      </c>
      <c r="E424" s="16">
        <f t="shared" si="6"/>
        <v>95413.33049858849</v>
      </c>
    </row>
    <row r="425" spans="1:5" x14ac:dyDescent="0.25">
      <c r="A425" s="20">
        <v>96089</v>
      </c>
      <c r="B425" s="13" t="s">
        <v>430</v>
      </c>
      <c r="C425" s="19">
        <v>884795980</v>
      </c>
      <c r="D425" s="16">
        <v>9910.2294000000002</v>
      </c>
      <c r="E425" s="16">
        <f t="shared" si="6"/>
        <v>89281.079608510379</v>
      </c>
    </row>
    <row r="426" spans="1:5" x14ac:dyDescent="0.25">
      <c r="A426" s="20">
        <v>96090</v>
      </c>
      <c r="B426" s="13" t="s">
        <v>431</v>
      </c>
      <c r="C426" s="19">
        <v>1304337970</v>
      </c>
      <c r="D426" s="16">
        <v>5150.3481000000002</v>
      </c>
      <c r="E426" s="16">
        <f t="shared" si="6"/>
        <v>253252.39084325192</v>
      </c>
    </row>
    <row r="427" spans="1:5" x14ac:dyDescent="0.25">
      <c r="A427" s="20">
        <v>96091</v>
      </c>
      <c r="B427" s="13" t="s">
        <v>432</v>
      </c>
      <c r="C427" s="19">
        <v>3258898187</v>
      </c>
      <c r="D427" s="16">
        <v>20190.061699999998</v>
      </c>
      <c r="E427" s="16">
        <f t="shared" si="6"/>
        <v>161411.00683213861</v>
      </c>
    </row>
    <row r="428" spans="1:5" x14ac:dyDescent="0.25">
      <c r="A428" s="20">
        <v>96092</v>
      </c>
      <c r="B428" s="13" t="s">
        <v>433</v>
      </c>
      <c r="C428" s="19">
        <v>1260364990</v>
      </c>
      <c r="D428" s="16">
        <v>5115.6747999999998</v>
      </c>
      <c r="E428" s="16">
        <f t="shared" si="6"/>
        <v>246373.16468982745</v>
      </c>
    </row>
    <row r="429" spans="1:5" x14ac:dyDescent="0.25">
      <c r="A429" s="20">
        <v>96093</v>
      </c>
      <c r="B429" s="13" t="s">
        <v>434</v>
      </c>
      <c r="C429" s="19">
        <v>1199688760</v>
      </c>
      <c r="D429" s="16">
        <v>5789.7025999999996</v>
      </c>
      <c r="E429" s="16">
        <f t="shared" si="6"/>
        <v>207210.77452233902</v>
      </c>
    </row>
    <row r="430" spans="1:5" x14ac:dyDescent="0.25">
      <c r="A430" s="20">
        <v>96094</v>
      </c>
      <c r="B430" s="13" t="s">
        <v>435</v>
      </c>
      <c r="C430" s="19">
        <v>1658413330</v>
      </c>
      <c r="D430" s="16">
        <v>9723.9778000000006</v>
      </c>
      <c r="E430" s="16">
        <f t="shared" si="6"/>
        <v>170548.8601588539</v>
      </c>
    </row>
    <row r="431" spans="1:5" x14ac:dyDescent="0.25">
      <c r="A431" s="20">
        <v>96095</v>
      </c>
      <c r="B431" s="13" t="s">
        <v>436</v>
      </c>
      <c r="C431" s="19">
        <v>4158544670</v>
      </c>
      <c r="D431" s="16">
        <v>16514.682100000002</v>
      </c>
      <c r="E431" s="16">
        <f t="shared" si="6"/>
        <v>251808.94459966623</v>
      </c>
    </row>
    <row r="432" spans="1:5" x14ac:dyDescent="0.25">
      <c r="A432" s="20">
        <v>96098</v>
      </c>
      <c r="B432" s="13" t="s">
        <v>437</v>
      </c>
      <c r="C432" s="19">
        <v>372136990</v>
      </c>
      <c r="D432" s="16">
        <v>2266.8319999999999</v>
      </c>
      <c r="E432" s="16">
        <f t="shared" si="6"/>
        <v>164166.1093543765</v>
      </c>
    </row>
    <row r="433" spans="1:5" x14ac:dyDescent="0.25">
      <c r="A433" s="20">
        <v>96099</v>
      </c>
      <c r="B433" s="13" t="s">
        <v>438</v>
      </c>
      <c r="C433" s="19">
        <v>143921040</v>
      </c>
      <c r="D433" s="16">
        <v>1526.8562999999999</v>
      </c>
      <c r="E433" s="16">
        <f t="shared" si="6"/>
        <v>94259.715206990993</v>
      </c>
    </row>
    <row r="434" spans="1:5" x14ac:dyDescent="0.25">
      <c r="A434" s="20">
        <v>96101</v>
      </c>
      <c r="B434" s="13" t="s">
        <v>439</v>
      </c>
      <c r="C434" s="19">
        <v>281055970</v>
      </c>
      <c r="D434" s="16">
        <v>725.04489999999998</v>
      </c>
      <c r="E434" s="16">
        <f t="shared" si="6"/>
        <v>387639.39998750424</v>
      </c>
    </row>
    <row r="435" spans="1:5" x14ac:dyDescent="0.25">
      <c r="A435" s="20">
        <v>96102</v>
      </c>
      <c r="B435" s="13" t="s">
        <v>440</v>
      </c>
      <c r="C435" s="19">
        <v>1002431060</v>
      </c>
      <c r="D435" s="16">
        <v>2354.4935999999998</v>
      </c>
      <c r="E435" s="16">
        <f t="shared" si="6"/>
        <v>425752.29764905712</v>
      </c>
    </row>
    <row r="436" spans="1:5" x14ac:dyDescent="0.25">
      <c r="A436" s="20">
        <v>96103</v>
      </c>
      <c r="B436" s="13" t="s">
        <v>441</v>
      </c>
      <c r="C436" s="19">
        <v>159332040</v>
      </c>
      <c r="D436" s="16">
        <v>1405.4937</v>
      </c>
      <c r="E436" s="16">
        <f t="shared" si="6"/>
        <v>113363.75253763144</v>
      </c>
    </row>
    <row r="437" spans="1:5" x14ac:dyDescent="0.25">
      <c r="A437" s="20">
        <v>96104</v>
      </c>
      <c r="B437" s="13" t="s">
        <v>442</v>
      </c>
      <c r="C437" s="19">
        <v>95577080</v>
      </c>
      <c r="D437" s="16">
        <v>2397.5994999999998</v>
      </c>
      <c r="E437" s="16">
        <f t="shared" si="6"/>
        <v>39863.655293555079</v>
      </c>
    </row>
    <row r="438" spans="1:5" x14ac:dyDescent="0.25">
      <c r="A438" s="20">
        <v>96106</v>
      </c>
      <c r="B438" s="13" t="s">
        <v>443</v>
      </c>
      <c r="C438" s="19">
        <v>1423709590</v>
      </c>
      <c r="D438" s="16">
        <v>3819.2694999999999</v>
      </c>
      <c r="E438" s="16">
        <f t="shared" si="6"/>
        <v>372770.1305184146</v>
      </c>
    </row>
    <row r="439" spans="1:5" x14ac:dyDescent="0.25">
      <c r="A439" s="20">
        <v>96107</v>
      </c>
      <c r="B439" s="13" t="s">
        <v>444</v>
      </c>
      <c r="C439" s="19">
        <v>263038660</v>
      </c>
      <c r="D439" s="16">
        <v>1095.7874999999999</v>
      </c>
      <c r="E439" s="16">
        <f t="shared" si="6"/>
        <v>240045.3190057379</v>
      </c>
    </row>
    <row r="440" spans="1:5" x14ac:dyDescent="0.25">
      <c r="A440" s="20">
        <v>96109</v>
      </c>
      <c r="B440" s="13" t="s">
        <v>521</v>
      </c>
      <c r="C440" s="19">
        <v>232335940</v>
      </c>
      <c r="D440" s="16">
        <v>3400.7415999999998</v>
      </c>
      <c r="E440" s="16">
        <f t="shared" si="6"/>
        <v>68319.198377201028</v>
      </c>
    </row>
    <row r="441" spans="1:5" x14ac:dyDescent="0.25">
      <c r="A441" s="20">
        <v>96110</v>
      </c>
      <c r="B441" s="13" t="s">
        <v>445</v>
      </c>
      <c r="C441" s="19">
        <v>539635270</v>
      </c>
      <c r="D441" s="16">
        <v>5786.6665999999996</v>
      </c>
      <c r="E441" s="16">
        <f t="shared" si="6"/>
        <v>93254.944046715958</v>
      </c>
    </row>
    <row r="442" spans="1:5" x14ac:dyDescent="0.25">
      <c r="A442" s="20">
        <v>96111</v>
      </c>
      <c r="B442" s="13" t="s">
        <v>446</v>
      </c>
      <c r="C442" s="19">
        <v>193946730</v>
      </c>
      <c r="D442" s="16">
        <v>5382.6212999999998</v>
      </c>
      <c r="E442" s="16">
        <f t="shared" si="6"/>
        <v>36032.022167340663</v>
      </c>
    </row>
    <row r="443" spans="1:5" x14ac:dyDescent="0.25">
      <c r="A443" s="20">
        <v>96112</v>
      </c>
      <c r="B443" s="13" t="s">
        <v>447</v>
      </c>
      <c r="C443" s="19">
        <v>574360760</v>
      </c>
      <c r="D443" s="16">
        <v>2667.1318999999999</v>
      </c>
      <c r="E443" s="16">
        <f t="shared" si="6"/>
        <v>215347.71489928939</v>
      </c>
    </row>
    <row r="444" spans="1:5" x14ac:dyDescent="0.25">
      <c r="A444" s="20">
        <v>96113</v>
      </c>
      <c r="B444" s="13" t="s">
        <v>448</v>
      </c>
      <c r="C444" s="19">
        <v>157498130</v>
      </c>
      <c r="D444" s="16">
        <v>899.26729999999998</v>
      </c>
      <c r="E444" s="16">
        <f t="shared" si="6"/>
        <v>175140.50605420658</v>
      </c>
    </row>
    <row r="445" spans="1:5" x14ac:dyDescent="0.25">
      <c r="A445" s="20">
        <v>96114</v>
      </c>
      <c r="B445" s="13" t="s">
        <v>449</v>
      </c>
      <c r="C445" s="19">
        <v>700894180</v>
      </c>
      <c r="D445" s="16">
        <v>4033.5029</v>
      </c>
      <c r="E445" s="16">
        <f t="shared" si="6"/>
        <v>173768.11108775949</v>
      </c>
    </row>
    <row r="446" spans="1:5" x14ac:dyDescent="0.25">
      <c r="A446" s="20">
        <v>97116</v>
      </c>
      <c r="B446" s="13" t="s">
        <v>30</v>
      </c>
      <c r="C446" s="19">
        <v>13781615</v>
      </c>
      <c r="D446" s="16">
        <v>51.803199999999997</v>
      </c>
      <c r="E446" s="16">
        <f t="shared" si="6"/>
        <v>266037.90885505144</v>
      </c>
    </row>
    <row r="447" spans="1:5" x14ac:dyDescent="0.25">
      <c r="A447" s="20">
        <v>97118</v>
      </c>
      <c r="B447" s="13" t="s">
        <v>450</v>
      </c>
      <c r="C447" s="19">
        <v>6757179</v>
      </c>
      <c r="D447" s="16">
        <v>62.6248</v>
      </c>
      <c r="E447" s="16">
        <f t="shared" si="6"/>
        <v>107899.41045719906</v>
      </c>
    </row>
    <row r="448" spans="1:5" x14ac:dyDescent="0.25">
      <c r="A448" s="20">
        <v>97119</v>
      </c>
      <c r="B448" s="13" t="s">
        <v>451</v>
      </c>
      <c r="C448" s="19">
        <v>13775303</v>
      </c>
      <c r="D448" s="16">
        <v>68.585400000000007</v>
      </c>
      <c r="E448" s="16">
        <f t="shared" si="6"/>
        <v>200848.91245075481</v>
      </c>
    </row>
    <row r="449" spans="1:5" x14ac:dyDescent="0.25">
      <c r="A449" s="20">
        <v>97122</v>
      </c>
      <c r="B449" s="13" t="s">
        <v>452</v>
      </c>
      <c r="C449" s="19">
        <v>8243056</v>
      </c>
      <c r="D449" s="16">
        <v>66.349900000000005</v>
      </c>
      <c r="E449" s="16">
        <f t="shared" si="6"/>
        <v>124236.14805749519</v>
      </c>
    </row>
    <row r="450" spans="1:5" x14ac:dyDescent="0.25">
      <c r="A450" s="20">
        <v>97127</v>
      </c>
      <c r="B450" s="13" t="s">
        <v>453</v>
      </c>
      <c r="C450" s="19">
        <v>3306922</v>
      </c>
      <c r="D450" s="16">
        <v>40.326799999999999</v>
      </c>
      <c r="E450" s="16">
        <f t="shared" si="6"/>
        <v>82003.08479720683</v>
      </c>
    </row>
    <row r="451" spans="1:5" x14ac:dyDescent="0.25">
      <c r="A451" s="20">
        <v>97129</v>
      </c>
      <c r="B451" s="13" t="s">
        <v>454</v>
      </c>
      <c r="C451" s="19">
        <v>161099782</v>
      </c>
      <c r="D451" s="16">
        <v>2311.4751999999999</v>
      </c>
      <c r="E451" s="16">
        <f t="shared" ref="E451:E514" si="7">C451/D451</f>
        <v>69695.656695775935</v>
      </c>
    </row>
    <row r="452" spans="1:5" x14ac:dyDescent="0.25">
      <c r="A452" s="20">
        <v>97130</v>
      </c>
      <c r="B452" s="13" t="s">
        <v>455</v>
      </c>
      <c r="C452" s="19">
        <v>22055044</v>
      </c>
      <c r="D452" s="16">
        <v>305.21469999999999</v>
      </c>
      <c r="E452" s="16">
        <f t="shared" si="7"/>
        <v>72260.752840541434</v>
      </c>
    </row>
    <row r="453" spans="1:5" x14ac:dyDescent="0.25">
      <c r="A453" s="20">
        <v>97131</v>
      </c>
      <c r="B453" s="13" t="s">
        <v>456</v>
      </c>
      <c r="C453" s="19">
        <v>30356773</v>
      </c>
      <c r="D453" s="16">
        <v>403.19319999999999</v>
      </c>
      <c r="E453" s="16">
        <f t="shared" si="7"/>
        <v>75290.885362153931</v>
      </c>
    </row>
    <row r="454" spans="1:5" x14ac:dyDescent="0.25">
      <c r="A454" s="20">
        <v>98080</v>
      </c>
      <c r="B454" s="13" t="s">
        <v>457</v>
      </c>
      <c r="C454" s="19">
        <v>39582810</v>
      </c>
      <c r="D454" s="16">
        <v>589.55439999999999</v>
      </c>
      <c r="E454" s="16">
        <f t="shared" si="7"/>
        <v>67140.216407510481</v>
      </c>
    </row>
    <row r="455" spans="1:5" x14ac:dyDescent="0.25">
      <c r="A455" s="20">
        <v>99078</v>
      </c>
      <c r="B455" s="13" t="s">
        <v>1045</v>
      </c>
      <c r="C455" s="19">
        <v>4633733</v>
      </c>
      <c r="D455" s="16">
        <v>26.111000000000001</v>
      </c>
      <c r="E455" s="16">
        <f t="shared" si="7"/>
        <v>177462.87005476619</v>
      </c>
    </row>
    <row r="456" spans="1:5" x14ac:dyDescent="0.25">
      <c r="A456" s="20">
        <v>99082</v>
      </c>
      <c r="B456" s="13" t="s">
        <v>458</v>
      </c>
      <c r="C456" s="19">
        <v>55751489</v>
      </c>
      <c r="D456" s="16">
        <v>531.66650000000004</v>
      </c>
      <c r="E456" s="16">
        <f t="shared" si="7"/>
        <v>104861.76766826572</v>
      </c>
    </row>
    <row r="457" spans="1:5" x14ac:dyDescent="0.25">
      <c r="A457" s="20">
        <v>100059</v>
      </c>
      <c r="B457" s="13" t="s">
        <v>459</v>
      </c>
      <c r="C457" s="19">
        <v>57120530</v>
      </c>
      <c r="D457" s="16">
        <v>802.15200000000004</v>
      </c>
      <c r="E457" s="16">
        <f t="shared" si="7"/>
        <v>71209.109994115832</v>
      </c>
    </row>
    <row r="458" spans="1:5" x14ac:dyDescent="0.25">
      <c r="A458" s="20">
        <v>100060</v>
      </c>
      <c r="B458" s="13" t="s">
        <v>460</v>
      </c>
      <c r="C458" s="19">
        <v>25168270</v>
      </c>
      <c r="D458" s="16">
        <v>609.36360000000002</v>
      </c>
      <c r="E458" s="16">
        <f t="shared" si="7"/>
        <v>41302.549085636223</v>
      </c>
    </row>
    <row r="459" spans="1:5" x14ac:dyDescent="0.25">
      <c r="A459" s="20">
        <v>100061</v>
      </c>
      <c r="B459" s="13" t="s">
        <v>461</v>
      </c>
      <c r="C459" s="19">
        <v>59167900</v>
      </c>
      <c r="D459" s="16">
        <v>924.59630000000004</v>
      </c>
      <c r="E459" s="16">
        <f t="shared" si="7"/>
        <v>63993.226016586908</v>
      </c>
    </row>
    <row r="460" spans="1:5" x14ac:dyDescent="0.25">
      <c r="A460" s="20">
        <v>100062</v>
      </c>
      <c r="B460" s="13" t="s">
        <v>462</v>
      </c>
      <c r="C460" s="19">
        <v>16475810</v>
      </c>
      <c r="D460" s="16">
        <v>315.6422</v>
      </c>
      <c r="E460" s="16">
        <f t="shared" si="7"/>
        <v>52197.741620100227</v>
      </c>
    </row>
    <row r="461" spans="1:5" x14ac:dyDescent="0.25">
      <c r="A461" s="20">
        <v>100063</v>
      </c>
      <c r="B461" s="13" t="s">
        <v>463</v>
      </c>
      <c r="C461" s="19">
        <v>238314755</v>
      </c>
      <c r="D461" s="16">
        <v>3071.9124000000002</v>
      </c>
      <c r="E461" s="16">
        <f t="shared" si="7"/>
        <v>77578.629846345881</v>
      </c>
    </row>
    <row r="462" spans="1:5" x14ac:dyDescent="0.25">
      <c r="A462" s="20">
        <v>100064</v>
      </c>
      <c r="B462" s="13" t="s">
        <v>464</v>
      </c>
      <c r="C462" s="19">
        <v>25530590</v>
      </c>
      <c r="D462" s="16">
        <v>119.6288</v>
      </c>
      <c r="E462" s="16">
        <f t="shared" si="7"/>
        <v>213415.08064947571</v>
      </c>
    </row>
    <row r="463" spans="1:5" x14ac:dyDescent="0.25">
      <c r="A463" s="20">
        <v>100065</v>
      </c>
      <c r="B463" s="13" t="s">
        <v>465</v>
      </c>
      <c r="C463" s="19">
        <v>20814530</v>
      </c>
      <c r="D463" s="16">
        <v>341.4117</v>
      </c>
      <c r="E463" s="16">
        <f t="shared" si="7"/>
        <v>60966.071168621347</v>
      </c>
    </row>
    <row r="464" spans="1:5" x14ac:dyDescent="0.25">
      <c r="A464" s="20">
        <v>101105</v>
      </c>
      <c r="B464" s="13" t="s">
        <v>466</v>
      </c>
      <c r="C464" s="19">
        <v>17340894</v>
      </c>
      <c r="D464" s="16">
        <v>470.08</v>
      </c>
      <c r="E464" s="16">
        <f t="shared" si="7"/>
        <v>36889.240129339691</v>
      </c>
    </row>
    <row r="465" spans="1:5" x14ac:dyDescent="0.25">
      <c r="A465" s="20">
        <v>101107</v>
      </c>
      <c r="B465" s="13" t="s">
        <v>467</v>
      </c>
      <c r="C465" s="19">
        <v>20925913</v>
      </c>
      <c r="D465" s="16">
        <v>259.29160000000002</v>
      </c>
      <c r="E465" s="16">
        <f t="shared" si="7"/>
        <v>80704.168588569781</v>
      </c>
    </row>
    <row r="466" spans="1:5" x14ac:dyDescent="0.25">
      <c r="A466" s="20">
        <v>102081</v>
      </c>
      <c r="B466" s="13" t="s">
        <v>468</v>
      </c>
      <c r="C466" s="19">
        <v>36476663</v>
      </c>
      <c r="D466" s="16">
        <v>269.96100000000001</v>
      </c>
      <c r="E466" s="16">
        <f t="shared" si="7"/>
        <v>135118.26893514246</v>
      </c>
    </row>
    <row r="467" spans="1:5" x14ac:dyDescent="0.25">
      <c r="A467" s="20">
        <v>102085</v>
      </c>
      <c r="B467" s="13" t="s">
        <v>469</v>
      </c>
      <c r="C467" s="19">
        <v>81407517</v>
      </c>
      <c r="D467" s="16">
        <v>731.13139999999999</v>
      </c>
      <c r="E467" s="16">
        <f t="shared" si="7"/>
        <v>111344.57773253892</v>
      </c>
    </row>
    <row r="468" spans="1:5" x14ac:dyDescent="0.25">
      <c r="A468" s="20">
        <v>103127</v>
      </c>
      <c r="B468" s="13" t="s">
        <v>470</v>
      </c>
      <c r="C468" s="19">
        <v>25906567</v>
      </c>
      <c r="D468" s="16">
        <v>228.21170000000001</v>
      </c>
      <c r="E468" s="16">
        <f t="shared" si="7"/>
        <v>113519.88964632399</v>
      </c>
    </row>
    <row r="469" spans="1:5" x14ac:dyDescent="0.25">
      <c r="A469" s="20">
        <v>103128</v>
      </c>
      <c r="B469" s="13" t="s">
        <v>471</v>
      </c>
      <c r="C469" s="19">
        <v>31490656</v>
      </c>
      <c r="D469" s="16">
        <v>222.44290000000001</v>
      </c>
      <c r="E469" s="16">
        <f t="shared" si="7"/>
        <v>141567.36852468655</v>
      </c>
    </row>
    <row r="470" spans="1:5" x14ac:dyDescent="0.25">
      <c r="A470" s="20">
        <v>103129</v>
      </c>
      <c r="B470" s="13" t="s">
        <v>472</v>
      </c>
      <c r="C470" s="19">
        <v>32535071</v>
      </c>
      <c r="D470" s="16">
        <v>419.94209999999998</v>
      </c>
      <c r="E470" s="16">
        <f t="shared" si="7"/>
        <v>77475.135262694545</v>
      </c>
    </row>
    <row r="471" spans="1:5" x14ac:dyDescent="0.25">
      <c r="A471" s="20">
        <v>103130</v>
      </c>
      <c r="B471" s="13" t="s">
        <v>473</v>
      </c>
      <c r="C471" s="19">
        <v>44157948</v>
      </c>
      <c r="D471" s="16">
        <v>803.72500000000002</v>
      </c>
      <c r="E471" s="16">
        <f t="shared" si="7"/>
        <v>54941.613113938227</v>
      </c>
    </row>
    <row r="472" spans="1:5" x14ac:dyDescent="0.25">
      <c r="A472" s="20">
        <v>103131</v>
      </c>
      <c r="B472" s="13" t="s">
        <v>474</v>
      </c>
      <c r="C472" s="19">
        <v>47467771</v>
      </c>
      <c r="D472" s="16">
        <v>674.67409999999995</v>
      </c>
      <c r="E472" s="16">
        <f t="shared" si="7"/>
        <v>70356.592909080107</v>
      </c>
    </row>
    <row r="473" spans="1:5" x14ac:dyDescent="0.25">
      <c r="A473" s="20">
        <v>103132</v>
      </c>
      <c r="B473" s="13" t="s">
        <v>475</v>
      </c>
      <c r="C473" s="19">
        <v>180449704</v>
      </c>
      <c r="D473" s="16">
        <v>1989.7998</v>
      </c>
      <c r="E473" s="16">
        <f t="shared" si="7"/>
        <v>90687.366638593492</v>
      </c>
    </row>
    <row r="474" spans="1:5" x14ac:dyDescent="0.25">
      <c r="A474" s="20">
        <v>103135</v>
      </c>
      <c r="B474" s="13" t="s">
        <v>476</v>
      </c>
      <c r="C474" s="19">
        <v>35632707</v>
      </c>
      <c r="D474" s="16">
        <v>496.35199999999998</v>
      </c>
      <c r="E474" s="16">
        <f t="shared" si="7"/>
        <v>71789.187915028044</v>
      </c>
    </row>
    <row r="475" spans="1:5" x14ac:dyDescent="0.25">
      <c r="A475" s="20">
        <v>104041</v>
      </c>
      <c r="B475" s="13" t="s">
        <v>477</v>
      </c>
      <c r="C475" s="19">
        <v>11028862</v>
      </c>
      <c r="D475" s="16">
        <v>251.1422</v>
      </c>
      <c r="E475" s="16">
        <f t="shared" si="7"/>
        <v>43914.810015998904</v>
      </c>
    </row>
    <row r="476" spans="1:5" x14ac:dyDescent="0.25">
      <c r="A476" s="20">
        <v>104042</v>
      </c>
      <c r="B476" s="13" t="s">
        <v>478</v>
      </c>
      <c r="C476" s="19">
        <v>30861817</v>
      </c>
      <c r="D476" s="16">
        <v>485.60059999999999</v>
      </c>
      <c r="E476" s="16">
        <f t="shared" si="7"/>
        <v>63553.910353488034</v>
      </c>
    </row>
    <row r="477" spans="1:5" x14ac:dyDescent="0.25">
      <c r="A477" s="20">
        <v>104043</v>
      </c>
      <c r="B477" s="13" t="s">
        <v>479</v>
      </c>
      <c r="C477" s="19">
        <v>26240851</v>
      </c>
      <c r="D477" s="16">
        <v>631.94529999999997</v>
      </c>
      <c r="E477" s="16">
        <f t="shared" si="7"/>
        <v>41523.927782990082</v>
      </c>
    </row>
    <row r="478" spans="1:5" x14ac:dyDescent="0.25">
      <c r="A478" s="20">
        <v>104044</v>
      </c>
      <c r="B478" s="13" t="s">
        <v>480</v>
      </c>
      <c r="C478" s="19">
        <v>351671742</v>
      </c>
      <c r="D478" s="16">
        <v>1760.8452</v>
      </c>
      <c r="E478" s="16">
        <f t="shared" si="7"/>
        <v>199717.57994399508</v>
      </c>
    </row>
    <row r="479" spans="1:5" x14ac:dyDescent="0.25">
      <c r="A479" s="20">
        <v>104045</v>
      </c>
      <c r="B479" s="13" t="s">
        <v>481</v>
      </c>
      <c r="C479" s="19">
        <v>106889522</v>
      </c>
      <c r="D479" s="16">
        <v>543.31960000000004</v>
      </c>
      <c r="E479" s="16">
        <f t="shared" si="7"/>
        <v>196734.15426205864</v>
      </c>
    </row>
    <row r="480" spans="1:5" x14ac:dyDescent="0.25">
      <c r="A480" s="20">
        <v>105123</v>
      </c>
      <c r="B480" s="13" t="s">
        <v>482</v>
      </c>
      <c r="C480" s="19">
        <v>23232250</v>
      </c>
      <c r="D480" s="16">
        <v>245.33699999999999</v>
      </c>
      <c r="E480" s="16">
        <f t="shared" si="7"/>
        <v>94695.255913294779</v>
      </c>
    </row>
    <row r="481" spans="1:5" x14ac:dyDescent="0.25">
      <c r="A481" s="20">
        <v>105124</v>
      </c>
      <c r="B481" s="13" t="s">
        <v>483</v>
      </c>
      <c r="C481" s="19">
        <v>42837717</v>
      </c>
      <c r="D481" s="16">
        <v>626.83309999999994</v>
      </c>
      <c r="E481" s="16">
        <f t="shared" si="7"/>
        <v>68339.9089805564</v>
      </c>
    </row>
    <row r="482" spans="1:5" x14ac:dyDescent="0.25">
      <c r="A482" s="20">
        <v>105125</v>
      </c>
      <c r="B482" s="13" t="s">
        <v>484</v>
      </c>
      <c r="C482" s="19">
        <v>10114826</v>
      </c>
      <c r="D482" s="16">
        <v>82.888099999999994</v>
      </c>
      <c r="E482" s="16">
        <f t="shared" si="7"/>
        <v>122029.89331399804</v>
      </c>
    </row>
    <row r="483" spans="1:5" x14ac:dyDescent="0.25">
      <c r="A483" s="20">
        <v>106001</v>
      </c>
      <c r="B483" s="13" t="s">
        <v>485</v>
      </c>
      <c r="C483" s="19">
        <v>8159592</v>
      </c>
      <c r="D483" s="16">
        <v>167.30080000000001</v>
      </c>
      <c r="E483" s="16">
        <f t="shared" si="7"/>
        <v>48771.984353930166</v>
      </c>
    </row>
    <row r="484" spans="1:5" x14ac:dyDescent="0.25">
      <c r="A484" s="20">
        <v>106002</v>
      </c>
      <c r="B484" s="13" t="s">
        <v>486</v>
      </c>
      <c r="C484" s="19">
        <v>10854580</v>
      </c>
      <c r="D484" s="16">
        <v>243.04859999999999</v>
      </c>
      <c r="E484" s="16">
        <f t="shared" si="7"/>
        <v>44660.121473647661</v>
      </c>
    </row>
    <row r="485" spans="1:5" x14ac:dyDescent="0.25">
      <c r="A485" s="20">
        <v>106003</v>
      </c>
      <c r="B485" s="13" t="s">
        <v>487</v>
      </c>
      <c r="C485" s="19">
        <v>74013814</v>
      </c>
      <c r="D485" s="16">
        <v>1086.604</v>
      </c>
      <c r="E485" s="16">
        <f t="shared" si="7"/>
        <v>68114.799871894444</v>
      </c>
    </row>
    <row r="486" spans="1:5" x14ac:dyDescent="0.25">
      <c r="A486" s="20">
        <v>106004</v>
      </c>
      <c r="B486" s="13" t="s">
        <v>488</v>
      </c>
      <c r="C486" s="19">
        <v>637172438</v>
      </c>
      <c r="D486" s="16">
        <v>4153.5889999999999</v>
      </c>
      <c r="E486" s="16">
        <f t="shared" si="7"/>
        <v>153402.86147714662</v>
      </c>
    </row>
    <row r="487" spans="1:5" x14ac:dyDescent="0.25">
      <c r="A487" s="20">
        <v>106005</v>
      </c>
      <c r="B487" s="13" t="s">
        <v>489</v>
      </c>
      <c r="C487" s="19">
        <v>185367684</v>
      </c>
      <c r="D487" s="16">
        <v>1292.7983999999999</v>
      </c>
      <c r="E487" s="16">
        <f t="shared" si="7"/>
        <v>143384.83401588368</v>
      </c>
    </row>
    <row r="488" spans="1:5" x14ac:dyDescent="0.25">
      <c r="A488" s="20">
        <v>106006</v>
      </c>
      <c r="B488" s="13" t="s">
        <v>490</v>
      </c>
      <c r="C488" s="19">
        <v>37164558</v>
      </c>
      <c r="D488" s="16">
        <v>393.23970000000003</v>
      </c>
      <c r="E488" s="16">
        <f t="shared" si="7"/>
        <v>94508.662273926049</v>
      </c>
    </row>
    <row r="489" spans="1:5" x14ac:dyDescent="0.25">
      <c r="A489" s="20">
        <v>106008</v>
      </c>
      <c r="B489" s="13" t="s">
        <v>491</v>
      </c>
      <c r="C489" s="19">
        <v>6797098</v>
      </c>
      <c r="D489" s="16">
        <v>56.961300000000001</v>
      </c>
      <c r="E489" s="16">
        <f t="shared" si="7"/>
        <v>119328.35100322499</v>
      </c>
    </row>
    <row r="490" spans="1:5" x14ac:dyDescent="0.25">
      <c r="A490" s="20">
        <v>107151</v>
      </c>
      <c r="B490" s="13" t="s">
        <v>492</v>
      </c>
      <c r="C490" s="19">
        <v>7828035</v>
      </c>
      <c r="D490" s="16">
        <v>123.4862</v>
      </c>
      <c r="E490" s="16">
        <f t="shared" si="7"/>
        <v>63391.982261985555</v>
      </c>
    </row>
    <row r="491" spans="1:5" x14ac:dyDescent="0.25">
      <c r="A491" s="20">
        <v>107152</v>
      </c>
      <c r="B491" s="13" t="s">
        <v>493</v>
      </c>
      <c r="C491" s="19">
        <v>55035057</v>
      </c>
      <c r="D491" s="16">
        <v>897.79369999999994</v>
      </c>
      <c r="E491" s="16">
        <f t="shared" si="7"/>
        <v>61300.337705644408</v>
      </c>
    </row>
    <row r="492" spans="1:5" x14ac:dyDescent="0.25">
      <c r="A492" s="20">
        <v>107153</v>
      </c>
      <c r="B492" s="13" t="s">
        <v>494</v>
      </c>
      <c r="C492" s="19">
        <v>26883155</v>
      </c>
      <c r="D492" s="16">
        <v>374.57870000000003</v>
      </c>
      <c r="E492" s="16">
        <f t="shared" si="7"/>
        <v>71769.043461360721</v>
      </c>
    </row>
    <row r="493" spans="1:5" x14ac:dyDescent="0.25">
      <c r="A493" s="20">
        <v>107154</v>
      </c>
      <c r="B493" s="13" t="s">
        <v>495</v>
      </c>
      <c r="C493" s="19">
        <v>37721353</v>
      </c>
      <c r="D493" s="16">
        <v>783.03890000000001</v>
      </c>
      <c r="E493" s="16">
        <f t="shared" si="7"/>
        <v>48173.025631293669</v>
      </c>
    </row>
    <row r="494" spans="1:5" x14ac:dyDescent="0.25">
      <c r="A494" s="20">
        <v>107155</v>
      </c>
      <c r="B494" s="13" t="s">
        <v>496</v>
      </c>
      <c r="C494" s="19">
        <v>44325113</v>
      </c>
      <c r="D494" s="16">
        <v>727.15610000000004</v>
      </c>
      <c r="E494" s="16">
        <f t="shared" si="7"/>
        <v>60956.805560731729</v>
      </c>
    </row>
    <row r="495" spans="1:5" x14ac:dyDescent="0.25">
      <c r="A495" s="20">
        <v>107156</v>
      </c>
      <c r="B495" s="13" t="s">
        <v>497</v>
      </c>
      <c r="C495" s="19">
        <v>32205991</v>
      </c>
      <c r="D495" s="16">
        <v>562.55359999999996</v>
      </c>
      <c r="E495" s="16">
        <f t="shared" si="7"/>
        <v>57249.639856539899</v>
      </c>
    </row>
    <row r="496" spans="1:5" x14ac:dyDescent="0.25">
      <c r="A496" s="20">
        <v>107158</v>
      </c>
      <c r="B496" s="13" t="s">
        <v>498</v>
      </c>
      <c r="C496" s="19">
        <v>9079267</v>
      </c>
      <c r="D496" s="16">
        <v>180.13380000000001</v>
      </c>
      <c r="E496" s="16">
        <f t="shared" si="7"/>
        <v>50402.906062049427</v>
      </c>
    </row>
    <row r="497" spans="1:5" x14ac:dyDescent="0.25">
      <c r="A497" s="20">
        <v>108142</v>
      </c>
      <c r="B497" s="13" t="s">
        <v>499</v>
      </c>
      <c r="C497" s="19">
        <v>169763729</v>
      </c>
      <c r="D497" s="16">
        <v>2302.8670999999999</v>
      </c>
      <c r="E497" s="16">
        <f t="shared" si="7"/>
        <v>73718.422135606525</v>
      </c>
    </row>
    <row r="498" spans="1:5" x14ac:dyDescent="0.25">
      <c r="A498" s="20">
        <v>108143</v>
      </c>
      <c r="B498" s="13" t="s">
        <v>500</v>
      </c>
      <c r="C498" s="19">
        <v>12565358</v>
      </c>
      <c r="D498" s="16">
        <v>171.917</v>
      </c>
      <c r="E498" s="16">
        <f t="shared" si="7"/>
        <v>73089.676995294241</v>
      </c>
    </row>
    <row r="499" spans="1:5" x14ac:dyDescent="0.25">
      <c r="A499" s="20">
        <v>108144</v>
      </c>
      <c r="B499" s="13" t="s">
        <v>501</v>
      </c>
      <c r="C499" s="19">
        <v>11130041</v>
      </c>
      <c r="D499" s="16">
        <v>190.49520000000001</v>
      </c>
      <c r="E499" s="16">
        <f t="shared" si="7"/>
        <v>58426.884246952148</v>
      </c>
    </row>
    <row r="500" spans="1:5" x14ac:dyDescent="0.25">
      <c r="A500" s="20">
        <v>108147</v>
      </c>
      <c r="B500" s="13" t="s">
        <v>502</v>
      </c>
      <c r="C500" s="19">
        <v>17269840</v>
      </c>
      <c r="D500" s="16">
        <v>210.7567</v>
      </c>
      <c r="E500" s="16">
        <f t="shared" si="7"/>
        <v>81942.068745619952</v>
      </c>
    </row>
    <row r="501" spans="1:5" x14ac:dyDescent="0.25">
      <c r="A501" s="20">
        <v>109002</v>
      </c>
      <c r="B501" s="13" t="s">
        <v>522</v>
      </c>
      <c r="C501" s="19">
        <v>181594215</v>
      </c>
      <c r="D501" s="16">
        <v>1514.1159</v>
      </c>
      <c r="E501" s="16">
        <f t="shared" si="7"/>
        <v>119934.15761633571</v>
      </c>
    </row>
    <row r="502" spans="1:5" x14ac:dyDescent="0.25">
      <c r="A502" s="20">
        <v>109003</v>
      </c>
      <c r="B502" s="13" t="s">
        <v>503</v>
      </c>
      <c r="C502" s="19">
        <v>265196477</v>
      </c>
      <c r="D502" s="16">
        <v>3032.8573000000001</v>
      </c>
      <c r="E502" s="16">
        <f t="shared" si="7"/>
        <v>87441.132492451914</v>
      </c>
    </row>
    <row r="503" spans="1:5" x14ac:dyDescent="0.25">
      <c r="A503" s="20">
        <v>110014</v>
      </c>
      <c r="B503" s="13" t="s">
        <v>504</v>
      </c>
      <c r="C503" s="19">
        <v>28888316</v>
      </c>
      <c r="D503" s="16">
        <v>735.1739</v>
      </c>
      <c r="E503" s="16">
        <f t="shared" si="7"/>
        <v>39294.534259173241</v>
      </c>
    </row>
    <row r="504" spans="1:5" x14ac:dyDescent="0.25">
      <c r="A504" s="20">
        <v>110029</v>
      </c>
      <c r="B504" s="13" t="s">
        <v>505</v>
      </c>
      <c r="C504" s="19">
        <v>84806079</v>
      </c>
      <c r="D504" s="16">
        <v>2220.6729</v>
      </c>
      <c r="E504" s="16">
        <f t="shared" si="7"/>
        <v>38189.36098152952</v>
      </c>
    </row>
    <row r="505" spans="1:5" x14ac:dyDescent="0.25">
      <c r="A505" s="20">
        <v>110030</v>
      </c>
      <c r="B505" s="13" t="s">
        <v>506</v>
      </c>
      <c r="C505" s="19">
        <v>12618741</v>
      </c>
      <c r="D505" s="16">
        <v>213.11279999999999</v>
      </c>
      <c r="E505" s="16">
        <f t="shared" si="7"/>
        <v>59211.558385981509</v>
      </c>
    </row>
    <row r="506" spans="1:5" x14ac:dyDescent="0.25">
      <c r="A506" s="20">
        <v>110031</v>
      </c>
      <c r="B506" s="13" t="s">
        <v>507</v>
      </c>
      <c r="C506" s="19">
        <v>23430072</v>
      </c>
      <c r="D506" s="16">
        <v>348.32010000000002</v>
      </c>
      <c r="E506" s="16">
        <f t="shared" si="7"/>
        <v>67265.920054570495</v>
      </c>
    </row>
    <row r="507" spans="1:5" x14ac:dyDescent="0.25">
      <c r="A507" s="20">
        <v>111086</v>
      </c>
      <c r="B507" s="13" t="s">
        <v>508</v>
      </c>
      <c r="C507" s="19">
        <v>42581382</v>
      </c>
      <c r="D507" s="16">
        <v>774.84680000000003</v>
      </c>
      <c r="E507" s="16">
        <f t="shared" si="7"/>
        <v>54954.581989626851</v>
      </c>
    </row>
    <row r="508" spans="1:5" x14ac:dyDescent="0.25">
      <c r="A508" s="20">
        <v>111087</v>
      </c>
      <c r="B508" s="13" t="s">
        <v>509</v>
      </c>
      <c r="C508" s="19">
        <v>66844855</v>
      </c>
      <c r="D508" s="16">
        <v>978.65570000000002</v>
      </c>
      <c r="E508" s="16">
        <f t="shared" si="7"/>
        <v>68302.728937255466</v>
      </c>
    </row>
    <row r="509" spans="1:5" x14ac:dyDescent="0.25">
      <c r="A509" s="20">
        <v>112099</v>
      </c>
      <c r="B509" s="13" t="s">
        <v>510</v>
      </c>
      <c r="C509" s="19">
        <v>14532539</v>
      </c>
      <c r="D509" s="16">
        <v>239.61060000000001</v>
      </c>
      <c r="E509" s="16">
        <f t="shared" si="7"/>
        <v>60650.651515417099</v>
      </c>
    </row>
    <row r="510" spans="1:5" x14ac:dyDescent="0.25">
      <c r="A510" s="20">
        <v>112101</v>
      </c>
      <c r="B510" s="13" t="s">
        <v>511</v>
      </c>
      <c r="C510" s="19">
        <v>30948500</v>
      </c>
      <c r="D510" s="16">
        <v>558.23350000000005</v>
      </c>
      <c r="E510" s="16">
        <f t="shared" si="7"/>
        <v>55440.062267850277</v>
      </c>
    </row>
    <row r="511" spans="1:5" x14ac:dyDescent="0.25">
      <c r="A511" s="20">
        <v>112102</v>
      </c>
      <c r="B511" s="13" t="s">
        <v>512</v>
      </c>
      <c r="C511" s="19">
        <v>178835111</v>
      </c>
      <c r="D511" s="16">
        <v>2841.6412</v>
      </c>
      <c r="E511" s="16">
        <f t="shared" si="7"/>
        <v>62933.740895930139</v>
      </c>
    </row>
    <row r="512" spans="1:5" x14ac:dyDescent="0.25">
      <c r="A512" s="20">
        <v>112103</v>
      </c>
      <c r="B512" s="13" t="s">
        <v>513</v>
      </c>
      <c r="C512" s="19">
        <v>45232404</v>
      </c>
      <c r="D512" s="16">
        <v>681.5317</v>
      </c>
      <c r="E512" s="16">
        <f t="shared" si="7"/>
        <v>66368.74557705826</v>
      </c>
    </row>
    <row r="513" spans="1:5" x14ac:dyDescent="0.25">
      <c r="A513" s="20">
        <v>113001</v>
      </c>
      <c r="B513" s="13" t="s">
        <v>514</v>
      </c>
      <c r="C513" s="19">
        <v>26918390</v>
      </c>
      <c r="D513" s="16">
        <v>300.51400000000001</v>
      </c>
      <c r="E513" s="16">
        <f t="shared" si="7"/>
        <v>89574.495697371836</v>
      </c>
    </row>
    <row r="514" spans="1:5" x14ac:dyDescent="0.25">
      <c r="A514" s="20">
        <v>114112</v>
      </c>
      <c r="B514" s="13" t="s">
        <v>515</v>
      </c>
      <c r="C514" s="19">
        <v>18834903</v>
      </c>
      <c r="D514" s="16">
        <v>378.90890000000002</v>
      </c>
      <c r="E514" s="16">
        <f t="shared" si="7"/>
        <v>49708.262329018922</v>
      </c>
    </row>
    <row r="515" spans="1:5" x14ac:dyDescent="0.25">
      <c r="A515" s="20">
        <v>114113</v>
      </c>
      <c r="B515" s="13" t="s">
        <v>516</v>
      </c>
      <c r="C515" s="19">
        <v>34608417</v>
      </c>
      <c r="D515" s="16">
        <v>674.60979999999995</v>
      </c>
      <c r="E515" s="16">
        <f t="shared" ref="E515:E519" si="8">C515/D515</f>
        <v>51301.384889457586</v>
      </c>
    </row>
    <row r="516" spans="1:5" x14ac:dyDescent="0.25">
      <c r="A516" s="20">
        <v>114114</v>
      </c>
      <c r="B516" s="13" t="s">
        <v>517</v>
      </c>
      <c r="C516" s="19">
        <v>88323740</v>
      </c>
      <c r="D516" s="16">
        <v>1367.5682999999999</v>
      </c>
      <c r="E516" s="16">
        <f t="shared" si="8"/>
        <v>64584.518374694708</v>
      </c>
    </row>
    <row r="517" spans="1:5" x14ac:dyDescent="0.25">
      <c r="A517" s="20">
        <v>114115</v>
      </c>
      <c r="B517" s="13" t="s">
        <v>518</v>
      </c>
      <c r="C517" s="19">
        <v>35025788</v>
      </c>
      <c r="D517" s="16">
        <v>680.95410000000004</v>
      </c>
      <c r="E517" s="16">
        <f t="shared" si="8"/>
        <v>51436.34203832534</v>
      </c>
    </row>
    <row r="518" spans="1:5" x14ac:dyDescent="0.25">
      <c r="A518" s="20">
        <v>114116</v>
      </c>
      <c r="B518" s="13" t="s">
        <v>519</v>
      </c>
      <c r="C518" s="19">
        <v>4850122</v>
      </c>
      <c r="D518" s="16">
        <v>77.2667</v>
      </c>
      <c r="E518" s="16">
        <f t="shared" si="8"/>
        <v>62771.180857989275</v>
      </c>
    </row>
    <row r="519" spans="1:5" x14ac:dyDescent="0.25">
      <c r="A519" s="20">
        <v>115115</v>
      </c>
      <c r="B519" s="13" t="s">
        <v>1589</v>
      </c>
      <c r="C519" s="19">
        <v>4210986731</v>
      </c>
      <c r="D519" s="16">
        <v>32458.6093</v>
      </c>
      <c r="E519" s="16">
        <f t="shared" si="8"/>
        <v>129734.04658467608</v>
      </c>
    </row>
    <row r="520" spans="1:5" x14ac:dyDescent="0.25">
      <c r="A520" s="11" t="s">
        <v>3</v>
      </c>
      <c r="D520" s="12"/>
    </row>
    <row r="521" spans="1:5" ht="15.75" thickBot="1" x14ac:dyDescent="0.3">
      <c r="A521" s="11"/>
      <c r="D521" s="18"/>
      <c r="E521" s="5">
        <f>AVERAGE(E2:E519)</f>
        <v>95855.148996919073</v>
      </c>
    </row>
    <row r="522" spans="1:5" ht="15.75" thickTop="1" x14ac:dyDescent="0.25">
      <c r="A522" s="11" t="s">
        <v>4</v>
      </c>
    </row>
    <row r="523" spans="1:5" x14ac:dyDescent="0.25">
      <c r="A523" s="11" t="s">
        <v>5</v>
      </c>
    </row>
    <row r="524" spans="1:5" x14ac:dyDescent="0.25">
      <c r="A524" s="11"/>
    </row>
    <row r="525" spans="1:5" x14ac:dyDescent="0.25">
      <c r="A525" s="11" t="s">
        <v>6</v>
      </c>
    </row>
    <row r="526" spans="1:5" x14ac:dyDescent="0.25">
      <c r="A526" s="11" t="s">
        <v>7</v>
      </c>
    </row>
    <row r="527" spans="1:5" x14ac:dyDescent="0.25">
      <c r="A527" s="11"/>
    </row>
    <row r="528" spans="1:5" x14ac:dyDescent="0.25">
      <c r="A528" s="11" t="s">
        <v>1046</v>
      </c>
    </row>
    <row r="529" spans="1:1" x14ac:dyDescent="0.25">
      <c r="A529" s="11" t="s">
        <v>1047</v>
      </c>
    </row>
  </sheetData>
  <pageMargins left="0.7" right="0.7" top="1.15625" bottom="0.75" header="0.3" footer="0.3"/>
  <pageSetup orientation="portrait" r:id="rId1"/>
  <headerFooter>
    <oddHeader xml:space="preserve">&amp;C&amp;"-,Bold"Missouri Department of Elementary and Secondary Education
School Finance 
Assessed Valuation per ADA for 2014-2015
</oddHeader>
    <oddFooter>&amp;LDecember 11, 2018&amp;R&amp;P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531"/>
  <sheetViews>
    <sheetView view="pageLayout" zoomScaleNormal="100" workbookViewId="0">
      <selection activeCell="B2" sqref="B2"/>
    </sheetView>
  </sheetViews>
  <sheetFormatPr defaultColWidth="8.85546875" defaultRowHeight="15" x14ac:dyDescent="0.25"/>
  <cols>
    <col min="1" max="1" width="8.85546875" style="15"/>
    <col min="2" max="2" width="28.85546875" style="13" bestFit="1" customWidth="1"/>
    <col min="3" max="3" width="16.28515625" style="17" bestFit="1" customWidth="1"/>
    <col min="4" max="4" width="12.140625" style="14" bestFit="1" customWidth="1"/>
    <col min="5" max="5" width="15.42578125" style="16" customWidth="1"/>
    <col min="6" max="16384" width="8.85546875" style="13"/>
  </cols>
  <sheetData>
    <row r="1" spans="1:5" s="1" customFormat="1" ht="45.75" thickBot="1" x14ac:dyDescent="0.3">
      <c r="A1" s="6" t="s">
        <v>0</v>
      </c>
      <c r="B1" s="7" t="s">
        <v>1</v>
      </c>
      <c r="C1" s="8" t="s">
        <v>1576</v>
      </c>
      <c r="D1" s="9" t="s">
        <v>1591</v>
      </c>
      <c r="E1" s="10" t="s">
        <v>2</v>
      </c>
    </row>
    <row r="2" spans="1:5" x14ac:dyDescent="0.25">
      <c r="A2" s="15">
        <v>1090</v>
      </c>
      <c r="B2" s="13" t="s">
        <v>8</v>
      </c>
      <c r="C2" s="16">
        <v>14903739</v>
      </c>
      <c r="D2" s="16">
        <v>278.1936</v>
      </c>
      <c r="E2" s="16">
        <v>53573.263367669133</v>
      </c>
    </row>
    <row r="3" spans="1:5" x14ac:dyDescent="0.25">
      <c r="A3" s="15">
        <v>1091</v>
      </c>
      <c r="B3" s="13" t="s">
        <v>9</v>
      </c>
      <c r="C3" s="16">
        <v>207090413</v>
      </c>
      <c r="D3" s="16">
        <v>2290.2503999999999</v>
      </c>
      <c r="E3" s="16">
        <v>90422.607501782346</v>
      </c>
    </row>
    <row r="4" spans="1:5" x14ac:dyDescent="0.25">
      <c r="A4" s="15">
        <v>1092</v>
      </c>
      <c r="B4" s="13" t="s">
        <v>10</v>
      </c>
      <c r="C4" s="16">
        <v>13527299</v>
      </c>
      <c r="D4" s="16">
        <v>183.9545</v>
      </c>
      <c r="E4" s="16">
        <v>73536.113549818023</v>
      </c>
    </row>
    <row r="5" spans="1:5" x14ac:dyDescent="0.25">
      <c r="A5" s="15">
        <v>2089</v>
      </c>
      <c r="B5" s="13" t="s">
        <v>11</v>
      </c>
      <c r="C5" s="16">
        <v>20462170</v>
      </c>
      <c r="D5" s="16">
        <v>331.40109999999999</v>
      </c>
      <c r="E5" s="16">
        <v>61744.423902032919</v>
      </c>
    </row>
    <row r="6" spans="1:5" x14ac:dyDescent="0.25">
      <c r="A6" s="15">
        <v>2090</v>
      </c>
      <c r="B6" s="13" t="s">
        <v>12</v>
      </c>
      <c r="C6" s="16">
        <v>20162820</v>
      </c>
      <c r="D6" s="16">
        <v>207.58860000000001</v>
      </c>
      <c r="E6" s="16">
        <v>97128.744063980383</v>
      </c>
    </row>
    <row r="7" spans="1:5" x14ac:dyDescent="0.25">
      <c r="A7" s="15">
        <v>2097</v>
      </c>
      <c r="B7" s="13" t="s">
        <v>13</v>
      </c>
      <c r="C7" s="16">
        <v>164411920</v>
      </c>
      <c r="D7" s="16">
        <v>2268.8870000000002</v>
      </c>
      <c r="E7" s="16">
        <v>72463.688143129199</v>
      </c>
    </row>
    <row r="8" spans="1:5" x14ac:dyDescent="0.25">
      <c r="A8" s="15">
        <v>3031</v>
      </c>
      <c r="B8" s="13" t="s">
        <v>14</v>
      </c>
      <c r="C8" s="16">
        <v>42338047</v>
      </c>
      <c r="D8" s="16">
        <v>289.42959999999999</v>
      </c>
      <c r="E8" s="16">
        <v>146280.98508238274</v>
      </c>
    </row>
    <row r="9" spans="1:5" x14ac:dyDescent="0.25">
      <c r="A9" s="15">
        <v>3032</v>
      </c>
      <c r="B9" s="13" t="s">
        <v>15</v>
      </c>
      <c r="C9" s="16">
        <v>45019739</v>
      </c>
      <c r="D9" s="16">
        <v>330.34120000000001</v>
      </c>
      <c r="E9" s="16">
        <v>136282.54362459178</v>
      </c>
    </row>
    <row r="10" spans="1:5" x14ac:dyDescent="0.25">
      <c r="A10" s="15">
        <v>3033</v>
      </c>
      <c r="B10" s="13" t="s">
        <v>16</v>
      </c>
      <c r="C10" s="16">
        <v>17619853</v>
      </c>
      <c r="D10" s="16">
        <v>118.1254</v>
      </c>
      <c r="E10" s="16">
        <v>149162.27161982097</v>
      </c>
    </row>
    <row r="11" spans="1:5" x14ac:dyDescent="0.25">
      <c r="A11" s="15">
        <v>4106</v>
      </c>
      <c r="B11" s="13" t="s">
        <v>17</v>
      </c>
      <c r="C11" s="16">
        <v>29301772</v>
      </c>
      <c r="D11" s="16">
        <v>247.381</v>
      </c>
      <c r="E11" s="16">
        <v>118447.94871069322</v>
      </c>
    </row>
    <row r="12" spans="1:5" x14ac:dyDescent="0.25">
      <c r="A12" s="15">
        <v>4109</v>
      </c>
      <c r="B12" s="13" t="s">
        <v>18</v>
      </c>
      <c r="C12" s="16">
        <v>41065719</v>
      </c>
      <c r="D12" s="16">
        <v>587.83479999999997</v>
      </c>
      <c r="E12" s="16">
        <v>69859.285295800801</v>
      </c>
    </row>
    <row r="13" spans="1:5" x14ac:dyDescent="0.25">
      <c r="A13" s="15">
        <v>4110</v>
      </c>
      <c r="B13" s="13" t="s">
        <v>19</v>
      </c>
      <c r="C13" s="16">
        <v>187974495</v>
      </c>
      <c r="D13" s="16">
        <v>2262.7719999999999</v>
      </c>
      <c r="E13" s="16">
        <v>83072.662645639954</v>
      </c>
    </row>
    <row r="14" spans="1:5" x14ac:dyDescent="0.25">
      <c r="A14" s="15">
        <v>5120</v>
      </c>
      <c r="B14" s="13" t="s">
        <v>20</v>
      </c>
      <c r="C14" s="16">
        <v>18641883</v>
      </c>
      <c r="D14" s="16">
        <v>370.85680000000002</v>
      </c>
      <c r="E14" s="16">
        <v>50267.065347055788</v>
      </c>
    </row>
    <row r="15" spans="1:5" x14ac:dyDescent="0.25">
      <c r="A15" s="15">
        <v>5121</v>
      </c>
      <c r="B15" s="13" t="s">
        <v>21</v>
      </c>
      <c r="C15" s="16">
        <v>34109911</v>
      </c>
      <c r="D15" s="16">
        <v>741.76160000000004</v>
      </c>
      <c r="E15" s="16">
        <v>45985.005155295177</v>
      </c>
    </row>
    <row r="16" spans="1:5" x14ac:dyDescent="0.25">
      <c r="A16" s="15">
        <v>5122</v>
      </c>
      <c r="B16" s="13" t="s">
        <v>22</v>
      </c>
      <c r="C16" s="16">
        <v>13087334</v>
      </c>
      <c r="D16" s="16">
        <v>300.70229999999998</v>
      </c>
      <c r="E16" s="16">
        <v>43522.560352880573</v>
      </c>
    </row>
    <row r="17" spans="1:5" x14ac:dyDescent="0.25">
      <c r="A17" s="15">
        <v>5123</v>
      </c>
      <c r="B17" s="13" t="s">
        <v>23</v>
      </c>
      <c r="C17" s="16">
        <v>160428668</v>
      </c>
      <c r="D17" s="16">
        <v>1738.2723000000001</v>
      </c>
      <c r="E17" s="16">
        <v>92292.023522436619</v>
      </c>
    </row>
    <row r="18" spans="1:5" x14ac:dyDescent="0.25">
      <c r="A18" s="15">
        <v>5124</v>
      </c>
      <c r="B18" s="13" t="s">
        <v>24</v>
      </c>
      <c r="C18" s="16">
        <v>25855732</v>
      </c>
      <c r="D18" s="16">
        <v>663.72919999999999</v>
      </c>
      <c r="E18" s="16">
        <v>38955.242589899615</v>
      </c>
    </row>
    <row r="19" spans="1:5" x14ac:dyDescent="0.25">
      <c r="A19" s="15">
        <v>5127</v>
      </c>
      <c r="B19" s="13" t="s">
        <v>25</v>
      </c>
      <c r="C19" s="16">
        <v>61553707</v>
      </c>
      <c r="D19" s="16">
        <v>174.09119999999999</v>
      </c>
      <c r="E19" s="16">
        <v>353571.61648607167</v>
      </c>
    </row>
    <row r="20" spans="1:5" x14ac:dyDescent="0.25">
      <c r="A20" s="15">
        <v>5128</v>
      </c>
      <c r="B20" s="13" t="s">
        <v>26</v>
      </c>
      <c r="C20" s="16">
        <v>156296162</v>
      </c>
      <c r="D20" s="16">
        <v>2188.0747000000001</v>
      </c>
      <c r="E20" s="16">
        <v>71430.907729064274</v>
      </c>
    </row>
    <row r="21" spans="1:5" x14ac:dyDescent="0.25">
      <c r="A21" s="15">
        <v>6101</v>
      </c>
      <c r="B21" s="13" t="s">
        <v>27</v>
      </c>
      <c r="C21" s="16">
        <v>31225600</v>
      </c>
      <c r="D21" s="16">
        <v>457.25790000000001</v>
      </c>
      <c r="E21" s="16">
        <v>68288.814692977423</v>
      </c>
    </row>
    <row r="22" spans="1:5" x14ac:dyDescent="0.25">
      <c r="A22" s="15">
        <v>6103</v>
      </c>
      <c r="B22" s="13" t="s">
        <v>28</v>
      </c>
      <c r="C22" s="16">
        <v>17868945</v>
      </c>
      <c r="D22" s="16">
        <v>214.68520000000001</v>
      </c>
      <c r="E22" s="16">
        <v>83233.241043164599</v>
      </c>
    </row>
    <row r="23" spans="1:5" x14ac:dyDescent="0.25">
      <c r="A23" s="15">
        <v>6104</v>
      </c>
      <c r="B23" s="13" t="s">
        <v>29</v>
      </c>
      <c r="C23" s="16">
        <v>102820842</v>
      </c>
      <c r="D23" s="16">
        <v>1264.4794999999999</v>
      </c>
      <c r="E23" s="16">
        <v>81314.755992485458</v>
      </c>
    </row>
    <row r="24" spans="1:5" x14ac:dyDescent="0.25">
      <c r="A24" s="15">
        <v>7121</v>
      </c>
      <c r="B24" s="13" t="s">
        <v>30</v>
      </c>
      <c r="C24" s="16">
        <v>14256094</v>
      </c>
      <c r="D24" s="16">
        <v>170.9042</v>
      </c>
      <c r="E24" s="16">
        <v>83415.703066396265</v>
      </c>
    </row>
    <row r="25" spans="1:5" x14ac:dyDescent="0.25">
      <c r="A25" s="15">
        <v>7122</v>
      </c>
      <c r="B25" s="13" t="s">
        <v>31</v>
      </c>
      <c r="C25" s="16">
        <v>9473780</v>
      </c>
      <c r="D25" s="16">
        <v>137.76429999999999</v>
      </c>
      <c r="E25" s="16">
        <v>68768.033518117547</v>
      </c>
    </row>
    <row r="26" spans="1:5" x14ac:dyDescent="0.25">
      <c r="A26" s="15">
        <v>7123</v>
      </c>
      <c r="B26" s="13" t="s">
        <v>32</v>
      </c>
      <c r="C26" s="16">
        <v>38219125</v>
      </c>
      <c r="D26" s="16">
        <v>672.84450000000004</v>
      </c>
      <c r="E26" s="16">
        <v>56802.314650710527</v>
      </c>
    </row>
    <row r="27" spans="1:5" x14ac:dyDescent="0.25">
      <c r="A27" s="15">
        <v>7124</v>
      </c>
      <c r="B27" s="13" t="s">
        <v>33</v>
      </c>
      <c r="C27" s="16">
        <v>21735689</v>
      </c>
      <c r="D27" s="16">
        <v>375.30369999999999</v>
      </c>
      <c r="E27" s="16">
        <v>57914.933958817885</v>
      </c>
    </row>
    <row r="28" spans="1:5" x14ac:dyDescent="0.25">
      <c r="A28" s="15">
        <v>7125</v>
      </c>
      <c r="B28" s="13" t="s">
        <v>34</v>
      </c>
      <c r="C28" s="16">
        <v>7759858</v>
      </c>
      <c r="D28" s="16">
        <v>150.90889999999999</v>
      </c>
      <c r="E28" s="16">
        <v>51420.810833555879</v>
      </c>
    </row>
    <row r="29" spans="1:5" x14ac:dyDescent="0.25">
      <c r="A29" s="15">
        <v>7126</v>
      </c>
      <c r="B29" s="13" t="s">
        <v>35</v>
      </c>
      <c r="C29" s="16">
        <v>6822610</v>
      </c>
      <c r="D29" s="16">
        <v>63.112699999999997</v>
      </c>
      <c r="E29" s="16">
        <v>108102.01433308986</v>
      </c>
    </row>
    <row r="30" spans="1:5" x14ac:dyDescent="0.25">
      <c r="A30" s="15">
        <v>7129</v>
      </c>
      <c r="B30" s="13" t="s">
        <v>36</v>
      </c>
      <c r="C30" s="16">
        <v>71466984</v>
      </c>
      <c r="D30" s="16">
        <v>965.32539999999995</v>
      </c>
      <c r="E30" s="16">
        <v>74034.086329853133</v>
      </c>
    </row>
    <row r="31" spans="1:5" x14ac:dyDescent="0.25">
      <c r="A31" s="15">
        <v>8106</v>
      </c>
      <c r="B31" s="13" t="s">
        <v>37</v>
      </c>
      <c r="C31" s="16">
        <v>41883557</v>
      </c>
      <c r="D31" s="16">
        <v>481.30329999999998</v>
      </c>
      <c r="E31" s="16">
        <v>87021.129919533065</v>
      </c>
    </row>
    <row r="32" spans="1:5" x14ac:dyDescent="0.25">
      <c r="A32" s="15">
        <v>8107</v>
      </c>
      <c r="B32" s="13" t="s">
        <v>38</v>
      </c>
      <c r="C32" s="16">
        <v>142992587</v>
      </c>
      <c r="D32" s="16">
        <v>1219.8487</v>
      </c>
      <c r="E32" s="16">
        <v>117221.57592166963</v>
      </c>
    </row>
    <row r="33" spans="1:5" x14ac:dyDescent="0.25">
      <c r="A33" s="15">
        <v>8111</v>
      </c>
      <c r="B33" s="13" t="s">
        <v>39</v>
      </c>
      <c r="C33" s="16">
        <v>55681652</v>
      </c>
      <c r="D33" s="16">
        <v>703.40170000000001</v>
      </c>
      <c r="E33" s="16">
        <v>79160.530888679961</v>
      </c>
    </row>
    <row r="34" spans="1:5" x14ac:dyDescent="0.25">
      <c r="A34" s="15">
        <v>9077</v>
      </c>
      <c r="B34" s="13" t="s">
        <v>40</v>
      </c>
      <c r="C34" s="16">
        <v>35675883</v>
      </c>
      <c r="D34" s="16">
        <v>507.80380000000002</v>
      </c>
      <c r="E34" s="16">
        <v>70255.250157639617</v>
      </c>
    </row>
    <row r="35" spans="1:5" x14ac:dyDescent="0.25">
      <c r="A35" s="15">
        <v>9078</v>
      </c>
      <c r="B35" s="13" t="s">
        <v>41</v>
      </c>
      <c r="C35" s="16">
        <v>8656230</v>
      </c>
      <c r="D35" s="16">
        <v>172.02969999999999</v>
      </c>
      <c r="E35" s="16">
        <v>50318.229933552175</v>
      </c>
    </row>
    <row r="36" spans="1:5" x14ac:dyDescent="0.25">
      <c r="A36" s="15">
        <v>9079</v>
      </c>
      <c r="B36" s="13" t="s">
        <v>42</v>
      </c>
      <c r="C36" s="16">
        <v>13011337</v>
      </c>
      <c r="D36" s="16">
        <v>230.25110000000001</v>
      </c>
      <c r="E36" s="16">
        <v>56509.336980366214</v>
      </c>
    </row>
    <row r="37" spans="1:5" x14ac:dyDescent="0.25">
      <c r="A37" s="15">
        <v>9080</v>
      </c>
      <c r="B37" s="13" t="s">
        <v>43</v>
      </c>
      <c r="C37" s="16">
        <v>53063460</v>
      </c>
      <c r="D37" s="16">
        <v>865.88369999999998</v>
      </c>
      <c r="E37" s="16">
        <v>61282.433195127705</v>
      </c>
    </row>
    <row r="38" spans="1:5" x14ac:dyDescent="0.25">
      <c r="A38" s="15">
        <v>10087</v>
      </c>
      <c r="B38" s="13" t="s">
        <v>44</v>
      </c>
      <c r="C38" s="16">
        <v>113599239</v>
      </c>
      <c r="D38" s="16">
        <v>1475.5637999999999</v>
      </c>
      <c r="E38" s="16">
        <v>76987.005915975984</v>
      </c>
    </row>
    <row r="39" spans="1:5" x14ac:dyDescent="0.25">
      <c r="A39" s="15">
        <v>10089</v>
      </c>
      <c r="B39" s="13" t="s">
        <v>45</v>
      </c>
      <c r="C39" s="16">
        <v>74543767</v>
      </c>
      <c r="D39" s="16">
        <v>1296.3462</v>
      </c>
      <c r="E39" s="16">
        <v>57502.977985356076</v>
      </c>
    </row>
    <row r="40" spans="1:5" x14ac:dyDescent="0.25">
      <c r="A40" s="15">
        <v>10090</v>
      </c>
      <c r="B40" s="13" t="s">
        <v>46</v>
      </c>
      <c r="C40" s="16">
        <v>32605537</v>
      </c>
      <c r="D40" s="16">
        <v>445.40460000000002</v>
      </c>
      <c r="E40" s="16">
        <v>73204.311316048377</v>
      </c>
    </row>
    <row r="41" spans="1:5" x14ac:dyDescent="0.25">
      <c r="A41" s="15">
        <v>10091</v>
      </c>
      <c r="B41" s="13" t="s">
        <v>47</v>
      </c>
      <c r="C41" s="16">
        <v>90234246</v>
      </c>
      <c r="D41" s="16">
        <v>1384.0440000000001</v>
      </c>
      <c r="E41" s="16">
        <v>65196.081916470859</v>
      </c>
    </row>
    <row r="42" spans="1:5" x14ac:dyDescent="0.25">
      <c r="A42" s="15">
        <v>10092</v>
      </c>
      <c r="B42" s="13" t="s">
        <v>48</v>
      </c>
      <c r="C42" s="16">
        <v>37000864</v>
      </c>
      <c r="D42" s="16">
        <v>502.2946</v>
      </c>
      <c r="E42" s="16">
        <v>73663.670682503856</v>
      </c>
    </row>
    <row r="43" spans="1:5" x14ac:dyDescent="0.25">
      <c r="A43" s="15">
        <v>10093</v>
      </c>
      <c r="B43" s="13" t="s">
        <v>49</v>
      </c>
      <c r="C43" s="16">
        <v>2131051986</v>
      </c>
      <c r="D43" s="16">
        <v>16649.373599999999</v>
      </c>
      <c r="E43" s="16">
        <v>127995.92568455549</v>
      </c>
    </row>
    <row r="44" spans="1:5" x14ac:dyDescent="0.25">
      <c r="A44" s="15">
        <v>11076</v>
      </c>
      <c r="B44" s="13" t="s">
        <v>50</v>
      </c>
      <c r="C44" s="16">
        <v>53022900</v>
      </c>
      <c r="D44" s="16">
        <v>724.28139999999996</v>
      </c>
      <c r="E44" s="16">
        <v>73207.595832227642</v>
      </c>
    </row>
    <row r="45" spans="1:5" x14ac:dyDescent="0.25">
      <c r="A45" s="15">
        <v>11078</v>
      </c>
      <c r="B45" s="13" t="s">
        <v>51</v>
      </c>
      <c r="C45" s="16">
        <v>57886025</v>
      </c>
      <c r="D45" s="16">
        <v>650.77700000000004</v>
      </c>
      <c r="E45" s="16">
        <v>88949.094697569206</v>
      </c>
    </row>
    <row r="46" spans="1:5" x14ac:dyDescent="0.25">
      <c r="A46" s="15">
        <v>11079</v>
      </c>
      <c r="B46" s="13" t="s">
        <v>52</v>
      </c>
      <c r="C46" s="16">
        <v>19759420</v>
      </c>
      <c r="D46" s="16">
        <v>287.34699999999998</v>
      </c>
      <c r="E46" s="16">
        <v>68765.012337000211</v>
      </c>
    </row>
    <row r="47" spans="1:5" x14ac:dyDescent="0.25">
      <c r="A47" s="15">
        <v>11082</v>
      </c>
      <c r="B47" s="13" t="s">
        <v>53</v>
      </c>
      <c r="C47" s="16">
        <v>1008539821</v>
      </c>
      <c r="D47" s="16">
        <v>11184.501700000001</v>
      </c>
      <c r="E47" s="16">
        <v>90172.977576640711</v>
      </c>
    </row>
    <row r="48" spans="1:5" x14ac:dyDescent="0.25">
      <c r="A48" s="15">
        <v>12108</v>
      </c>
      <c r="B48" s="13" t="s">
        <v>54</v>
      </c>
      <c r="C48" s="16">
        <v>33488200</v>
      </c>
      <c r="D48" s="16">
        <v>567.34879999999998</v>
      </c>
      <c r="E48" s="16">
        <v>59025.770390278434</v>
      </c>
    </row>
    <row r="49" spans="1:5" x14ac:dyDescent="0.25">
      <c r="A49" s="15">
        <v>12109</v>
      </c>
      <c r="B49" s="13" t="s">
        <v>55</v>
      </c>
      <c r="C49" s="16">
        <v>408019625</v>
      </c>
      <c r="D49" s="16">
        <v>4425.8558999999996</v>
      </c>
      <c r="E49" s="16">
        <v>92189.993126527246</v>
      </c>
    </row>
    <row r="50" spans="1:5" x14ac:dyDescent="0.25">
      <c r="A50" s="15">
        <v>12110</v>
      </c>
      <c r="B50" s="13" t="s">
        <v>56</v>
      </c>
      <c r="C50" s="16">
        <v>60173371</v>
      </c>
      <c r="D50" s="16">
        <v>932.96190000000001</v>
      </c>
      <c r="E50" s="16">
        <v>64497.136485423463</v>
      </c>
    </row>
    <row r="51" spans="1:5" x14ac:dyDescent="0.25">
      <c r="A51" s="15">
        <v>13054</v>
      </c>
      <c r="B51" s="13" t="s">
        <v>57</v>
      </c>
      <c r="C51" s="16">
        <v>6461562</v>
      </c>
      <c r="D51" s="16">
        <v>62.584899999999998</v>
      </c>
      <c r="E51" s="16">
        <v>103244.74433928951</v>
      </c>
    </row>
    <row r="52" spans="1:5" x14ac:dyDescent="0.25">
      <c r="A52" s="15">
        <v>13055</v>
      </c>
      <c r="B52" s="13" t="s">
        <v>58</v>
      </c>
      <c r="C52" s="16">
        <v>36024279</v>
      </c>
      <c r="D52" s="16">
        <v>630.07749999999999</v>
      </c>
      <c r="E52" s="16">
        <v>57174.361884053949</v>
      </c>
    </row>
    <row r="53" spans="1:5" x14ac:dyDescent="0.25">
      <c r="A53" s="15">
        <v>13057</v>
      </c>
      <c r="B53" s="13" t="s">
        <v>59</v>
      </c>
      <c r="C53" s="16">
        <v>3692160</v>
      </c>
      <c r="D53" s="16">
        <v>49.784100000000002</v>
      </c>
      <c r="E53" s="16">
        <v>74163.437724092626</v>
      </c>
    </row>
    <row r="54" spans="1:5" x14ac:dyDescent="0.25">
      <c r="A54" s="15">
        <v>13058</v>
      </c>
      <c r="B54" s="13" t="s">
        <v>60</v>
      </c>
      <c r="C54" s="16">
        <v>4046710</v>
      </c>
      <c r="D54" s="16">
        <v>40.517800000000001</v>
      </c>
      <c r="E54" s="16">
        <v>99874.869810305594</v>
      </c>
    </row>
    <row r="55" spans="1:5" x14ac:dyDescent="0.25">
      <c r="A55" s="15">
        <v>13059</v>
      </c>
      <c r="B55" s="13" t="s">
        <v>61</v>
      </c>
      <c r="C55" s="16">
        <v>23831416</v>
      </c>
      <c r="D55" s="16">
        <v>366.46190000000001</v>
      </c>
      <c r="E55" s="16">
        <v>65031.087815677427</v>
      </c>
    </row>
    <row r="56" spans="1:5" x14ac:dyDescent="0.25">
      <c r="A56" s="15">
        <v>13060</v>
      </c>
      <c r="B56" s="13" t="s">
        <v>62</v>
      </c>
      <c r="C56" s="16">
        <v>4827570</v>
      </c>
      <c r="D56" s="16">
        <v>60.781700000000001</v>
      </c>
      <c r="E56" s="16">
        <v>79424.728166536966</v>
      </c>
    </row>
    <row r="57" spans="1:5" x14ac:dyDescent="0.25">
      <c r="A57" s="15">
        <v>13061</v>
      </c>
      <c r="B57" s="13" t="s">
        <v>63</v>
      </c>
      <c r="C57" s="16">
        <v>18551802</v>
      </c>
      <c r="D57" s="16">
        <v>298.3725</v>
      </c>
      <c r="E57" s="16">
        <v>62176.64831712038</v>
      </c>
    </row>
    <row r="58" spans="1:5" x14ac:dyDescent="0.25">
      <c r="A58" s="15">
        <v>13062</v>
      </c>
      <c r="B58" s="13" t="s">
        <v>64</v>
      </c>
      <c r="C58" s="16">
        <v>4212060</v>
      </c>
      <c r="D58" s="16">
        <v>45.741</v>
      </c>
      <c r="E58" s="16">
        <v>92085.000327933361</v>
      </c>
    </row>
    <row r="59" spans="1:5" x14ac:dyDescent="0.25">
      <c r="A59" s="15">
        <v>14126</v>
      </c>
      <c r="B59" s="13" t="s">
        <v>65</v>
      </c>
      <c r="C59" s="16">
        <v>87965169</v>
      </c>
      <c r="D59" s="16">
        <v>1035.9521999999999</v>
      </c>
      <c r="E59" s="16">
        <v>84912.382057782204</v>
      </c>
    </row>
    <row r="60" spans="1:5" x14ac:dyDescent="0.25">
      <c r="A60" s="15">
        <v>14127</v>
      </c>
      <c r="B60" s="13" t="s">
        <v>66</v>
      </c>
      <c r="C60" s="16">
        <v>44484812</v>
      </c>
      <c r="D60" s="16">
        <v>636.80010000000004</v>
      </c>
      <c r="E60" s="16">
        <v>69856.791793845507</v>
      </c>
    </row>
    <row r="61" spans="1:5" x14ac:dyDescent="0.25">
      <c r="A61" s="15">
        <v>14129</v>
      </c>
      <c r="B61" s="13" t="s">
        <v>67</v>
      </c>
      <c r="C61" s="16">
        <v>172386660</v>
      </c>
      <c r="D61" s="16">
        <v>2040.8625</v>
      </c>
      <c r="E61" s="16">
        <v>84467.552321628726</v>
      </c>
    </row>
    <row r="62" spans="1:5" x14ac:dyDescent="0.25">
      <c r="A62" s="15">
        <v>14130</v>
      </c>
      <c r="B62" s="13" t="s">
        <v>68</v>
      </c>
      <c r="C62" s="16">
        <v>326955060</v>
      </c>
      <c r="D62" s="16">
        <v>764.39760000000001</v>
      </c>
      <c r="E62" s="16">
        <v>427729.05095463409</v>
      </c>
    </row>
    <row r="63" spans="1:5" x14ac:dyDescent="0.25">
      <c r="A63" s="15">
        <v>15001</v>
      </c>
      <c r="B63" s="13" t="s">
        <v>69</v>
      </c>
      <c r="C63" s="16">
        <v>23578055</v>
      </c>
      <c r="D63" s="16">
        <v>475.38900000000001</v>
      </c>
      <c r="E63" s="16">
        <v>49597.392871942764</v>
      </c>
    </row>
    <row r="64" spans="1:5" x14ac:dyDescent="0.25">
      <c r="A64" s="15">
        <v>15002</v>
      </c>
      <c r="B64" s="13" t="s">
        <v>70</v>
      </c>
      <c r="C64" s="16">
        <v>1076941305</v>
      </c>
      <c r="D64" s="16">
        <v>3883.2604000000001</v>
      </c>
      <c r="E64" s="16">
        <v>277329.14975261508</v>
      </c>
    </row>
    <row r="65" spans="1:5" x14ac:dyDescent="0.25">
      <c r="A65" s="15">
        <v>15003</v>
      </c>
      <c r="B65" s="13" t="s">
        <v>71</v>
      </c>
      <c r="C65" s="16">
        <v>87258493</v>
      </c>
      <c r="D65" s="16">
        <v>208.57660000000001</v>
      </c>
      <c r="E65" s="16">
        <v>418352.26482740632</v>
      </c>
    </row>
    <row r="66" spans="1:5" x14ac:dyDescent="0.25">
      <c r="A66" s="15">
        <v>15004</v>
      </c>
      <c r="B66" s="13" t="s">
        <v>72</v>
      </c>
      <c r="C66" s="16">
        <v>30471271</v>
      </c>
      <c r="D66" s="16">
        <v>322.32299999999998</v>
      </c>
      <c r="E66" s="16">
        <v>94536.446359707508</v>
      </c>
    </row>
    <row r="67" spans="1:5" x14ac:dyDescent="0.25">
      <c r="A67" s="15">
        <v>16090</v>
      </c>
      <c r="B67" s="13" t="s">
        <v>73</v>
      </c>
      <c r="C67" s="16">
        <v>415700192</v>
      </c>
      <c r="D67" s="16">
        <v>4501.3303999999998</v>
      </c>
      <c r="E67" s="16">
        <v>92350.517526996016</v>
      </c>
    </row>
    <row r="68" spans="1:5" x14ac:dyDescent="0.25">
      <c r="A68" s="15">
        <v>16092</v>
      </c>
      <c r="B68" s="13" t="s">
        <v>74</v>
      </c>
      <c r="C68" s="16">
        <v>21362468</v>
      </c>
      <c r="D68" s="16">
        <v>273.3098</v>
      </c>
      <c r="E68" s="16">
        <v>78162.1002979037</v>
      </c>
    </row>
    <row r="69" spans="1:5" x14ac:dyDescent="0.25">
      <c r="A69" s="15">
        <v>16094</v>
      </c>
      <c r="B69" s="13" t="s">
        <v>75</v>
      </c>
      <c r="C69" s="16">
        <v>23593453</v>
      </c>
      <c r="D69" s="16">
        <v>341.2038</v>
      </c>
      <c r="E69" s="16">
        <v>69147.685342308614</v>
      </c>
    </row>
    <row r="70" spans="1:5" x14ac:dyDescent="0.25">
      <c r="A70" s="15">
        <v>16096</v>
      </c>
      <c r="B70" s="13" t="s">
        <v>76</v>
      </c>
      <c r="C70" s="16">
        <v>602283929</v>
      </c>
      <c r="D70" s="16">
        <v>3769.6628000000001</v>
      </c>
      <c r="E70" s="16">
        <v>159771.3007646201</v>
      </c>
    </row>
    <row r="71" spans="1:5" x14ac:dyDescent="0.25">
      <c r="A71" s="15">
        <v>16097</v>
      </c>
      <c r="B71" s="13" t="s">
        <v>77</v>
      </c>
      <c r="C71" s="16">
        <v>51193234</v>
      </c>
      <c r="D71" s="16">
        <v>372.38220000000001</v>
      </c>
      <c r="E71" s="16">
        <v>137474.97597898074</v>
      </c>
    </row>
    <row r="72" spans="1:5" x14ac:dyDescent="0.25">
      <c r="A72" s="15">
        <v>17121</v>
      </c>
      <c r="B72" s="13" t="s">
        <v>78</v>
      </c>
      <c r="C72" s="16">
        <v>8378405</v>
      </c>
      <c r="D72" s="16">
        <v>138.28649999999999</v>
      </c>
      <c r="E72" s="16">
        <v>60587.295216814375</v>
      </c>
    </row>
    <row r="73" spans="1:5" x14ac:dyDescent="0.25">
      <c r="A73" s="15">
        <v>17122</v>
      </c>
      <c r="B73" s="13" t="s">
        <v>79</v>
      </c>
      <c r="C73" s="16">
        <v>10092111</v>
      </c>
      <c r="D73" s="16">
        <v>158.0761</v>
      </c>
      <c r="E73" s="16">
        <v>63843.37037667301</v>
      </c>
    </row>
    <row r="74" spans="1:5" x14ac:dyDescent="0.25">
      <c r="A74" s="15">
        <v>17124</v>
      </c>
      <c r="B74" s="13" t="s">
        <v>80</v>
      </c>
      <c r="C74" s="16">
        <v>8363263</v>
      </c>
      <c r="D74" s="16">
        <v>76.584599999999995</v>
      </c>
      <c r="E74" s="16">
        <v>109202.93374908272</v>
      </c>
    </row>
    <row r="75" spans="1:5" x14ac:dyDescent="0.25">
      <c r="A75" s="15">
        <v>17125</v>
      </c>
      <c r="B75" s="13" t="s">
        <v>81</v>
      </c>
      <c r="C75" s="16">
        <v>65568268</v>
      </c>
      <c r="D75" s="16">
        <v>832.27329999999995</v>
      </c>
      <c r="E75" s="16">
        <v>78782.135627803989</v>
      </c>
    </row>
    <row r="76" spans="1:5" x14ac:dyDescent="0.25">
      <c r="A76" s="15">
        <v>17126</v>
      </c>
      <c r="B76" s="13" t="s">
        <v>82</v>
      </c>
      <c r="C76" s="16">
        <v>16514170</v>
      </c>
      <c r="D76" s="16">
        <v>197.0419</v>
      </c>
      <c r="E76" s="16">
        <v>83810.448437616564</v>
      </c>
    </row>
    <row r="77" spans="1:5" x14ac:dyDescent="0.25">
      <c r="A77" s="15">
        <v>18047</v>
      </c>
      <c r="B77" s="13" t="s">
        <v>83</v>
      </c>
      <c r="C77" s="16">
        <v>32284213</v>
      </c>
      <c r="D77" s="16">
        <v>676.38369999999998</v>
      </c>
      <c r="E77" s="16">
        <v>47730.619469392892</v>
      </c>
    </row>
    <row r="78" spans="1:5" x14ac:dyDescent="0.25">
      <c r="A78" s="15">
        <v>18050</v>
      </c>
      <c r="B78" s="13" t="s">
        <v>84</v>
      </c>
      <c r="C78" s="16">
        <v>33311808</v>
      </c>
      <c r="D78" s="16">
        <v>491.88679999999999</v>
      </c>
      <c r="E78" s="16">
        <v>67722.508512121087</v>
      </c>
    </row>
    <row r="79" spans="1:5" x14ac:dyDescent="0.25">
      <c r="A79" s="15">
        <v>19139</v>
      </c>
      <c r="B79" s="13" t="s">
        <v>85</v>
      </c>
      <c r="C79" s="16">
        <v>31907559</v>
      </c>
      <c r="D79" s="16">
        <v>525.36369999999999</v>
      </c>
      <c r="E79" s="16">
        <v>60734.22849732481</v>
      </c>
    </row>
    <row r="80" spans="1:5" x14ac:dyDescent="0.25">
      <c r="A80" s="15">
        <v>19140</v>
      </c>
      <c r="B80" s="13" t="s">
        <v>86</v>
      </c>
      <c r="C80" s="16">
        <v>11361062</v>
      </c>
      <c r="D80" s="16">
        <v>148.44399999999999</v>
      </c>
      <c r="E80" s="16">
        <v>76534.329444100134</v>
      </c>
    </row>
    <row r="81" spans="1:5" x14ac:dyDescent="0.25">
      <c r="A81" s="15">
        <v>19142</v>
      </c>
      <c r="B81" s="13" t="s">
        <v>87</v>
      </c>
      <c r="C81" s="16">
        <v>464386168</v>
      </c>
      <c r="D81" s="16">
        <v>5733.5523999999996</v>
      </c>
      <c r="E81" s="16">
        <v>80994.492698802234</v>
      </c>
    </row>
    <row r="82" spans="1:5" x14ac:dyDescent="0.25">
      <c r="A82" s="15">
        <v>19144</v>
      </c>
      <c r="B82" s="13" t="s">
        <v>88</v>
      </c>
      <c r="C82" s="16">
        <v>50207754</v>
      </c>
      <c r="D82" s="16">
        <v>813.79340000000002</v>
      </c>
      <c r="E82" s="16">
        <v>61695.946415883933</v>
      </c>
    </row>
    <row r="83" spans="1:5" x14ac:dyDescent="0.25">
      <c r="A83" s="15">
        <v>19147</v>
      </c>
      <c r="B83" s="13" t="s">
        <v>89</v>
      </c>
      <c r="C83" s="16">
        <v>15385609</v>
      </c>
      <c r="D83" s="16">
        <v>180.80860000000001</v>
      </c>
      <c r="E83" s="16">
        <v>85093.347329717712</v>
      </c>
    </row>
    <row r="84" spans="1:5" x14ac:dyDescent="0.25">
      <c r="A84" s="15">
        <v>19148</v>
      </c>
      <c r="B84" s="13" t="s">
        <v>90</v>
      </c>
      <c r="C84" s="16">
        <v>139110972</v>
      </c>
      <c r="D84" s="16">
        <v>1973.1881000000001</v>
      </c>
      <c r="E84" s="16">
        <v>70500.613702261835</v>
      </c>
    </row>
    <row r="85" spans="1:5" x14ac:dyDescent="0.25">
      <c r="A85" s="15">
        <v>19149</v>
      </c>
      <c r="B85" s="13" t="s">
        <v>91</v>
      </c>
      <c r="C85" s="16">
        <v>180761203</v>
      </c>
      <c r="D85" s="16">
        <v>2361.1578</v>
      </c>
      <c r="E85" s="16">
        <v>76556.172145715973</v>
      </c>
    </row>
    <row r="86" spans="1:5" x14ac:dyDescent="0.25">
      <c r="A86" s="15">
        <v>19150</v>
      </c>
      <c r="B86" s="13" t="s">
        <v>92</v>
      </c>
      <c r="C86" s="16">
        <v>18244337</v>
      </c>
      <c r="D86" s="16">
        <v>299.81400000000002</v>
      </c>
      <c r="E86" s="16">
        <v>60852.185021379919</v>
      </c>
    </row>
    <row r="87" spans="1:5" x14ac:dyDescent="0.25">
      <c r="A87" s="15">
        <v>19151</v>
      </c>
      <c r="B87" s="13" t="s">
        <v>93</v>
      </c>
      <c r="C87" s="16">
        <v>41500139</v>
      </c>
      <c r="D87" s="16">
        <v>426.83870000000002</v>
      </c>
      <c r="E87" s="16">
        <v>97226.748652359776</v>
      </c>
    </row>
    <row r="88" spans="1:5" x14ac:dyDescent="0.25">
      <c r="A88" s="15">
        <v>19152</v>
      </c>
      <c r="B88" s="13" t="s">
        <v>94</v>
      </c>
      <c r="C88" s="16">
        <v>305080014</v>
      </c>
      <c r="D88" s="16">
        <v>4563.2341999999999</v>
      </c>
      <c r="E88" s="16">
        <v>66856.093864303519</v>
      </c>
    </row>
    <row r="89" spans="1:5" x14ac:dyDescent="0.25">
      <c r="A89" s="15">
        <v>20001</v>
      </c>
      <c r="B89" s="13" t="s">
        <v>95</v>
      </c>
      <c r="C89" s="16">
        <v>87556277</v>
      </c>
      <c r="D89" s="16">
        <v>972.96010000000001</v>
      </c>
      <c r="E89" s="16">
        <v>89989.586417778075</v>
      </c>
    </row>
    <row r="90" spans="1:5" x14ac:dyDescent="0.25">
      <c r="A90" s="15">
        <v>20002</v>
      </c>
      <c r="B90" s="13" t="s">
        <v>96</v>
      </c>
      <c r="C90" s="16">
        <v>84642540</v>
      </c>
      <c r="D90" s="16">
        <v>1195.1006</v>
      </c>
      <c r="E90" s="16">
        <v>70824.615099348128</v>
      </c>
    </row>
    <row r="91" spans="1:5" x14ac:dyDescent="0.25">
      <c r="A91" s="15">
        <v>21148</v>
      </c>
      <c r="B91" s="13" t="s">
        <v>97</v>
      </c>
      <c r="C91" s="16">
        <v>16059560</v>
      </c>
      <c r="D91" s="16">
        <v>161.04839999999999</v>
      </c>
      <c r="E91" s="16">
        <v>99718.842285921506</v>
      </c>
    </row>
    <row r="92" spans="1:5" x14ac:dyDescent="0.25">
      <c r="A92" s="15">
        <v>21149</v>
      </c>
      <c r="B92" s="13" t="s">
        <v>98</v>
      </c>
      <c r="C92" s="16">
        <v>19731041</v>
      </c>
      <c r="D92" s="16">
        <v>238.89429999999999</v>
      </c>
      <c r="E92" s="16">
        <v>82593.184517169313</v>
      </c>
    </row>
    <row r="93" spans="1:5" x14ac:dyDescent="0.25">
      <c r="A93" s="15">
        <v>21150</v>
      </c>
      <c r="B93" s="13" t="s">
        <v>99</v>
      </c>
      <c r="C93" s="16">
        <v>15397437</v>
      </c>
      <c r="D93" s="16">
        <v>131.41900000000001</v>
      </c>
      <c r="E93" s="16">
        <v>117162.94447530418</v>
      </c>
    </row>
    <row r="94" spans="1:5" x14ac:dyDescent="0.25">
      <c r="A94" s="15">
        <v>21151</v>
      </c>
      <c r="B94" s="13" t="s">
        <v>100</v>
      </c>
      <c r="C94" s="16">
        <v>46666799</v>
      </c>
      <c r="D94" s="16">
        <v>405.39460000000003</v>
      </c>
      <c r="E94" s="16">
        <v>115114.50571862575</v>
      </c>
    </row>
    <row r="95" spans="1:5" x14ac:dyDescent="0.25">
      <c r="A95" s="15">
        <v>22088</v>
      </c>
      <c r="B95" s="13" t="s">
        <v>101</v>
      </c>
      <c r="C95" s="16">
        <v>11333735</v>
      </c>
      <c r="D95" s="16">
        <v>174.08690000000001</v>
      </c>
      <c r="E95" s="16">
        <v>65103.893515250136</v>
      </c>
    </row>
    <row r="96" spans="1:5" x14ac:dyDescent="0.25">
      <c r="A96" s="15">
        <v>22089</v>
      </c>
      <c r="B96" s="13" t="s">
        <v>102</v>
      </c>
      <c r="C96" s="16">
        <v>405965830</v>
      </c>
      <c r="D96" s="16">
        <v>5574.6836000000003</v>
      </c>
      <c r="E96" s="16">
        <v>72823.115916390307</v>
      </c>
    </row>
    <row r="97" spans="1:5" x14ac:dyDescent="0.25">
      <c r="A97" s="15">
        <v>22090</v>
      </c>
      <c r="B97" s="13" t="s">
        <v>103</v>
      </c>
      <c r="C97" s="16">
        <v>38514853</v>
      </c>
      <c r="D97" s="16">
        <v>746.66800000000001</v>
      </c>
      <c r="E97" s="16">
        <v>51582.30029946375</v>
      </c>
    </row>
    <row r="98" spans="1:5" x14ac:dyDescent="0.25">
      <c r="A98" s="15">
        <v>22091</v>
      </c>
      <c r="B98" s="13" t="s">
        <v>104</v>
      </c>
      <c r="C98" s="16">
        <v>31916884</v>
      </c>
      <c r="D98" s="16">
        <v>390.91820000000001</v>
      </c>
      <c r="E98" s="16">
        <v>81645.940250415559</v>
      </c>
    </row>
    <row r="99" spans="1:5" x14ac:dyDescent="0.25">
      <c r="A99" s="15">
        <v>22092</v>
      </c>
      <c r="B99" s="13" t="s">
        <v>105</v>
      </c>
      <c r="C99" s="16">
        <v>62428134</v>
      </c>
      <c r="D99" s="16">
        <v>1027.3280999999999</v>
      </c>
      <c r="E99" s="16">
        <v>60767.474383305591</v>
      </c>
    </row>
    <row r="100" spans="1:5" x14ac:dyDescent="0.25">
      <c r="A100" s="15">
        <v>22093</v>
      </c>
      <c r="B100" s="13" t="s">
        <v>106</v>
      </c>
      <c r="C100" s="16">
        <v>405711834</v>
      </c>
      <c r="D100" s="16">
        <v>5176.0272000000004</v>
      </c>
      <c r="E100" s="16">
        <v>78382.863598552954</v>
      </c>
    </row>
    <row r="101" spans="1:5" x14ac:dyDescent="0.25">
      <c r="A101" s="15">
        <v>22094</v>
      </c>
      <c r="B101" s="13" t="s">
        <v>107</v>
      </c>
      <c r="C101" s="16">
        <v>58978756</v>
      </c>
      <c r="D101" s="16">
        <v>744.16129999999998</v>
      </c>
      <c r="E101" s="16">
        <v>79255.338862690114</v>
      </c>
    </row>
    <row r="102" spans="1:5" x14ac:dyDescent="0.25">
      <c r="A102" s="15">
        <v>23099</v>
      </c>
      <c r="B102" s="13" t="s">
        <v>1044</v>
      </c>
      <c r="C102" s="16">
        <v>4565865</v>
      </c>
      <c r="D102" s="16">
        <v>52.158099999999997</v>
      </c>
      <c r="E102" s="16">
        <v>87538.944094972787</v>
      </c>
    </row>
    <row r="103" spans="1:5" x14ac:dyDescent="0.25">
      <c r="A103" s="15">
        <v>23101</v>
      </c>
      <c r="B103" s="13" t="s">
        <v>108</v>
      </c>
      <c r="C103" s="16">
        <v>76993841</v>
      </c>
      <c r="D103" s="16">
        <v>959.45630000000006</v>
      </c>
      <c r="E103" s="16">
        <v>80247.366138509897</v>
      </c>
    </row>
    <row r="104" spans="1:5" x14ac:dyDescent="0.25">
      <c r="A104" s="15">
        <v>24086</v>
      </c>
      <c r="B104" s="13" t="s">
        <v>109</v>
      </c>
      <c r="C104" s="16">
        <v>308596554</v>
      </c>
      <c r="D104" s="16">
        <v>3400.6828</v>
      </c>
      <c r="E104" s="16">
        <v>90745.468527673322</v>
      </c>
    </row>
    <row r="105" spans="1:5" x14ac:dyDescent="0.25">
      <c r="A105" s="15">
        <v>24087</v>
      </c>
      <c r="B105" s="13" t="s">
        <v>110</v>
      </c>
      <c r="C105" s="16">
        <v>203934754</v>
      </c>
      <c r="D105" s="16">
        <v>2481.7420000000002</v>
      </c>
      <c r="E105" s="16">
        <v>82174.035012503315</v>
      </c>
    </row>
    <row r="106" spans="1:5" x14ac:dyDescent="0.25">
      <c r="A106" s="15">
        <v>24089</v>
      </c>
      <c r="B106" s="13" t="s">
        <v>111</v>
      </c>
      <c r="C106" s="16">
        <v>208062654</v>
      </c>
      <c r="D106" s="16">
        <v>2730.4850999999999</v>
      </c>
      <c r="E106" s="16">
        <v>76199.886239994506</v>
      </c>
    </row>
    <row r="107" spans="1:5" x14ac:dyDescent="0.25">
      <c r="A107" s="15">
        <v>24090</v>
      </c>
      <c r="B107" s="13" t="s">
        <v>112</v>
      </c>
      <c r="C107" s="16">
        <v>768376439</v>
      </c>
      <c r="D107" s="16">
        <v>11289.528</v>
      </c>
      <c r="E107" s="16">
        <v>68060.988820790386</v>
      </c>
    </row>
    <row r="108" spans="1:5" x14ac:dyDescent="0.25">
      <c r="A108" s="15">
        <v>24091</v>
      </c>
      <c r="B108" s="13" t="s">
        <v>113</v>
      </c>
      <c r="C108" s="16">
        <v>6542335</v>
      </c>
      <c r="D108" s="16">
        <v>35.187399999999997</v>
      </c>
      <c r="E108" s="16">
        <v>185928.34366847225</v>
      </c>
    </row>
    <row r="109" spans="1:5" x14ac:dyDescent="0.25">
      <c r="A109" s="15">
        <v>24093</v>
      </c>
      <c r="B109" s="13" t="s">
        <v>114</v>
      </c>
      <c r="C109" s="16">
        <v>1818344563</v>
      </c>
      <c r="D109" s="16">
        <v>18501.288799999998</v>
      </c>
      <c r="E109" s="16">
        <v>98282.048491670488</v>
      </c>
    </row>
    <row r="110" spans="1:5" x14ac:dyDescent="0.25">
      <c r="A110" s="15">
        <v>25001</v>
      </c>
      <c r="B110" s="13" t="s">
        <v>115</v>
      </c>
      <c r="C110" s="16">
        <v>112552347</v>
      </c>
      <c r="D110" s="16">
        <v>1763.2325000000001</v>
      </c>
      <c r="E110" s="16">
        <v>63832.95850093507</v>
      </c>
    </row>
    <row r="111" spans="1:5" x14ac:dyDescent="0.25">
      <c r="A111" s="15">
        <v>25002</v>
      </c>
      <c r="B111" s="13" t="s">
        <v>116</v>
      </c>
      <c r="C111" s="16">
        <v>60903742</v>
      </c>
      <c r="D111" s="16">
        <v>894.72029999999995</v>
      </c>
      <c r="E111" s="16">
        <v>68070.146614534184</v>
      </c>
    </row>
    <row r="112" spans="1:5" x14ac:dyDescent="0.25">
      <c r="A112" s="15">
        <v>25003</v>
      </c>
      <c r="B112" s="13" t="s">
        <v>117</v>
      </c>
      <c r="C112" s="16">
        <v>73225448</v>
      </c>
      <c r="D112" s="16">
        <v>642.36990000000003</v>
      </c>
      <c r="E112" s="16">
        <v>113992.6512746005</v>
      </c>
    </row>
    <row r="113" spans="1:5" x14ac:dyDescent="0.25">
      <c r="A113" s="15">
        <v>26001</v>
      </c>
      <c r="B113" s="13" t="s">
        <v>118</v>
      </c>
      <c r="C113" s="16">
        <v>50729598</v>
      </c>
      <c r="D113" s="16">
        <v>560.81420000000003</v>
      </c>
      <c r="E113" s="16">
        <v>90457.049767998018</v>
      </c>
    </row>
    <row r="114" spans="1:5" x14ac:dyDescent="0.25">
      <c r="A114" s="15">
        <v>26002</v>
      </c>
      <c r="B114" s="13" t="s">
        <v>119</v>
      </c>
      <c r="C114" s="16">
        <v>93843962</v>
      </c>
      <c r="D114" s="16">
        <v>1141.4269999999999</v>
      </c>
      <c r="E114" s="16">
        <v>82216.350235275677</v>
      </c>
    </row>
    <row r="115" spans="1:5" x14ac:dyDescent="0.25">
      <c r="A115" s="15">
        <v>26005</v>
      </c>
      <c r="B115" s="13" t="s">
        <v>120</v>
      </c>
      <c r="C115" s="16">
        <v>62054327</v>
      </c>
      <c r="D115" s="16">
        <v>596.64919999999995</v>
      </c>
      <c r="E115" s="16">
        <v>104004.7099702807</v>
      </c>
    </row>
    <row r="116" spans="1:5" x14ac:dyDescent="0.25">
      <c r="A116" s="15">
        <v>26006</v>
      </c>
      <c r="B116" s="13" t="s">
        <v>121</v>
      </c>
      <c r="C116" s="16">
        <v>1202961820</v>
      </c>
      <c r="D116" s="16">
        <v>8355.2458999999999</v>
      </c>
      <c r="E116" s="16">
        <v>143976.83017324482</v>
      </c>
    </row>
    <row r="117" spans="1:5" x14ac:dyDescent="0.25">
      <c r="A117" s="15">
        <v>27055</v>
      </c>
      <c r="B117" s="13" t="s">
        <v>122</v>
      </c>
      <c r="C117" s="16">
        <v>8190719</v>
      </c>
      <c r="D117" s="16">
        <v>141.44049999999999</v>
      </c>
      <c r="E117" s="16">
        <v>57909.290479035357</v>
      </c>
    </row>
    <row r="118" spans="1:5" x14ac:dyDescent="0.25">
      <c r="A118" s="15">
        <v>27056</v>
      </c>
      <c r="B118" s="13" t="s">
        <v>123</v>
      </c>
      <c r="C118" s="16">
        <v>8944855</v>
      </c>
      <c r="D118" s="16">
        <v>121.9254</v>
      </c>
      <c r="E118" s="16">
        <v>73363.343487083082</v>
      </c>
    </row>
    <row r="119" spans="1:5" x14ac:dyDescent="0.25">
      <c r="A119" s="15">
        <v>27057</v>
      </c>
      <c r="B119" s="13" t="s">
        <v>124</v>
      </c>
      <c r="C119" s="16">
        <v>12592714</v>
      </c>
      <c r="D119" s="16">
        <v>149.94730000000001</v>
      </c>
      <c r="E119" s="16">
        <v>83980.931967431214</v>
      </c>
    </row>
    <row r="120" spans="1:5" x14ac:dyDescent="0.25">
      <c r="A120" s="15">
        <v>27058</v>
      </c>
      <c r="B120" s="13" t="s">
        <v>125</v>
      </c>
      <c r="C120" s="16">
        <v>13270641</v>
      </c>
      <c r="D120" s="16">
        <v>229.76990000000001</v>
      </c>
      <c r="E120" s="16">
        <v>57756.220462297279</v>
      </c>
    </row>
    <row r="121" spans="1:5" x14ac:dyDescent="0.25">
      <c r="A121" s="15">
        <v>27059</v>
      </c>
      <c r="B121" s="13" t="s">
        <v>126</v>
      </c>
      <c r="C121" s="16">
        <v>17313746</v>
      </c>
      <c r="D121" s="16">
        <v>257.11619999999999</v>
      </c>
      <c r="E121" s="16">
        <v>67338.215172750686</v>
      </c>
    </row>
    <row r="122" spans="1:5" x14ac:dyDescent="0.25">
      <c r="A122" s="15">
        <v>27061</v>
      </c>
      <c r="B122" s="13" t="s">
        <v>127</v>
      </c>
      <c r="C122" s="16">
        <v>137336539</v>
      </c>
      <c r="D122" s="16">
        <v>1410.5678</v>
      </c>
      <c r="E122" s="16">
        <v>97362.5932762679</v>
      </c>
    </row>
    <row r="123" spans="1:5" x14ac:dyDescent="0.25">
      <c r="A123" s="15">
        <v>28101</v>
      </c>
      <c r="B123" s="13" t="s">
        <v>128</v>
      </c>
      <c r="C123" s="16">
        <v>61285934</v>
      </c>
      <c r="D123" s="16">
        <v>913.04100000000005</v>
      </c>
      <c r="E123" s="16">
        <v>67122.871809699674</v>
      </c>
    </row>
    <row r="124" spans="1:5" x14ac:dyDescent="0.25">
      <c r="A124" s="15">
        <v>28102</v>
      </c>
      <c r="B124" s="13" t="s">
        <v>129</v>
      </c>
      <c r="C124" s="16">
        <v>112175073</v>
      </c>
      <c r="D124" s="16">
        <v>1490.3915999999999</v>
      </c>
      <c r="E124" s="16">
        <v>75265.502704121522</v>
      </c>
    </row>
    <row r="125" spans="1:5" x14ac:dyDescent="0.25">
      <c r="A125" s="15">
        <v>28103</v>
      </c>
      <c r="B125" s="13" t="s">
        <v>130</v>
      </c>
      <c r="C125" s="16">
        <v>53511121</v>
      </c>
      <c r="D125" s="16">
        <v>921.82190000000003</v>
      </c>
      <c r="E125" s="16">
        <v>58049.305402703059</v>
      </c>
    </row>
    <row r="126" spans="1:5" x14ac:dyDescent="0.25">
      <c r="A126" s="15">
        <v>29001</v>
      </c>
      <c r="B126" s="13" t="s">
        <v>131</v>
      </c>
      <c r="C126" s="16">
        <v>29389662</v>
      </c>
      <c r="D126" s="16">
        <v>347.81330000000003</v>
      </c>
      <c r="E126" s="16">
        <v>84498.38462186465</v>
      </c>
    </row>
    <row r="127" spans="1:5" x14ac:dyDescent="0.25">
      <c r="A127" s="15">
        <v>29002</v>
      </c>
      <c r="B127" s="13" t="s">
        <v>132</v>
      </c>
      <c r="C127" s="16">
        <v>10296028</v>
      </c>
      <c r="D127" s="16">
        <v>137.77330000000001</v>
      </c>
      <c r="E127" s="16">
        <v>74731.664262959515</v>
      </c>
    </row>
    <row r="128" spans="1:5" x14ac:dyDescent="0.25">
      <c r="A128" s="15">
        <v>29003</v>
      </c>
      <c r="B128" s="13" t="s">
        <v>133</v>
      </c>
      <c r="C128" s="16">
        <v>10258198</v>
      </c>
      <c r="D128" s="16">
        <v>153.76650000000001</v>
      </c>
      <c r="E128" s="16">
        <v>66712.827566472537</v>
      </c>
    </row>
    <row r="129" spans="1:5" x14ac:dyDescent="0.25">
      <c r="A129" s="15">
        <v>29004</v>
      </c>
      <c r="B129" s="13" t="s">
        <v>134</v>
      </c>
      <c r="C129" s="16">
        <v>37297949</v>
      </c>
      <c r="D129" s="16">
        <v>394.4588</v>
      </c>
      <c r="E129" s="16">
        <v>94554.739303572394</v>
      </c>
    </row>
    <row r="130" spans="1:5" x14ac:dyDescent="0.25">
      <c r="A130" s="15">
        <v>30093</v>
      </c>
      <c r="B130" s="13" t="s">
        <v>135</v>
      </c>
      <c r="C130" s="16">
        <v>109461266</v>
      </c>
      <c r="D130" s="16">
        <v>1657.9333999999999</v>
      </c>
      <c r="E130" s="16">
        <v>66022.715990883589</v>
      </c>
    </row>
    <row r="131" spans="1:5" x14ac:dyDescent="0.25">
      <c r="A131" s="15">
        <v>31116</v>
      </c>
      <c r="B131" s="13" t="s">
        <v>136</v>
      </c>
      <c r="C131" s="16">
        <v>13412235</v>
      </c>
      <c r="D131" s="16">
        <v>183.05449999999999</v>
      </c>
      <c r="E131" s="16">
        <v>73269.081066021332</v>
      </c>
    </row>
    <row r="132" spans="1:5" x14ac:dyDescent="0.25">
      <c r="A132" s="15">
        <v>31117</v>
      </c>
      <c r="B132" s="13" t="s">
        <v>137</v>
      </c>
      <c r="C132" s="16">
        <v>21632131</v>
      </c>
      <c r="D132" s="16">
        <v>164.7141</v>
      </c>
      <c r="E132" s="16">
        <v>131331.38571621981</v>
      </c>
    </row>
    <row r="133" spans="1:5" x14ac:dyDescent="0.25">
      <c r="A133" s="15">
        <v>31118</v>
      </c>
      <c r="B133" s="13" t="s">
        <v>138</v>
      </c>
      <c r="C133" s="16">
        <v>9897548</v>
      </c>
      <c r="D133" s="16">
        <v>70.871300000000005</v>
      </c>
      <c r="E133" s="16">
        <v>139655.23420623015</v>
      </c>
    </row>
    <row r="134" spans="1:5" x14ac:dyDescent="0.25">
      <c r="A134" s="15">
        <v>31121</v>
      </c>
      <c r="B134" s="13" t="s">
        <v>139</v>
      </c>
      <c r="C134" s="16">
        <v>43224184</v>
      </c>
      <c r="D134" s="16">
        <v>622.47789999999998</v>
      </c>
      <c r="E134" s="16">
        <v>69438.905381219156</v>
      </c>
    </row>
    <row r="135" spans="1:5" x14ac:dyDescent="0.25">
      <c r="A135" s="15">
        <v>31122</v>
      </c>
      <c r="B135" s="13" t="s">
        <v>140</v>
      </c>
      <c r="C135" s="16">
        <v>17016677</v>
      </c>
      <c r="D135" s="16">
        <v>147.5301</v>
      </c>
      <c r="E135" s="16">
        <v>115343.76374719464</v>
      </c>
    </row>
    <row r="136" spans="1:5" x14ac:dyDescent="0.25">
      <c r="A136" s="15">
        <v>32054</v>
      </c>
      <c r="B136" s="13" t="s">
        <v>141</v>
      </c>
      <c r="C136" s="16">
        <v>9525608</v>
      </c>
      <c r="D136" s="16">
        <v>124.333</v>
      </c>
      <c r="E136" s="16">
        <v>76613.67456749214</v>
      </c>
    </row>
    <row r="137" spans="1:5" x14ac:dyDescent="0.25">
      <c r="A137" s="15">
        <v>32055</v>
      </c>
      <c r="B137" s="13" t="s">
        <v>142</v>
      </c>
      <c r="C137" s="16">
        <v>44368638</v>
      </c>
      <c r="D137" s="16">
        <v>510.56270000000001</v>
      </c>
      <c r="E137" s="16">
        <v>86901.448147308838</v>
      </c>
    </row>
    <row r="138" spans="1:5" x14ac:dyDescent="0.25">
      <c r="A138" s="15">
        <v>32056</v>
      </c>
      <c r="B138" s="13" t="s">
        <v>143</v>
      </c>
      <c r="C138" s="16">
        <v>26663893</v>
      </c>
      <c r="D138" s="16">
        <v>132.7062</v>
      </c>
      <c r="E138" s="16">
        <v>200924.24468487533</v>
      </c>
    </row>
    <row r="139" spans="1:5" x14ac:dyDescent="0.25">
      <c r="A139" s="15">
        <v>32058</v>
      </c>
      <c r="B139" s="13" t="s">
        <v>144</v>
      </c>
      <c r="C139" s="16">
        <v>14528875</v>
      </c>
      <c r="D139" s="16">
        <v>189.1011</v>
      </c>
      <c r="E139" s="16">
        <v>76831.255873181071</v>
      </c>
    </row>
    <row r="140" spans="1:5" x14ac:dyDescent="0.25">
      <c r="A140" s="15">
        <v>33090</v>
      </c>
      <c r="B140" s="13" t="s">
        <v>145</v>
      </c>
      <c r="C140" s="16">
        <v>65720735</v>
      </c>
      <c r="D140" s="16">
        <v>1011.3499</v>
      </c>
      <c r="E140" s="16">
        <v>64983.182378324258</v>
      </c>
    </row>
    <row r="141" spans="1:5" x14ac:dyDescent="0.25">
      <c r="A141" s="15">
        <v>33091</v>
      </c>
      <c r="B141" s="13" t="s">
        <v>146</v>
      </c>
      <c r="C141" s="16">
        <v>13502320</v>
      </c>
      <c r="D141" s="16">
        <v>154.81829999999999</v>
      </c>
      <c r="E141" s="16">
        <v>87213.979225970063</v>
      </c>
    </row>
    <row r="142" spans="1:5" x14ac:dyDescent="0.25">
      <c r="A142" s="15">
        <v>33092</v>
      </c>
      <c r="B142" s="13" t="s">
        <v>147</v>
      </c>
      <c r="C142" s="16">
        <v>18886330</v>
      </c>
      <c r="D142" s="16">
        <v>269.45589999999999</v>
      </c>
      <c r="E142" s="16">
        <v>70090.61594123565</v>
      </c>
    </row>
    <row r="143" spans="1:5" x14ac:dyDescent="0.25">
      <c r="A143" s="15">
        <v>33093</v>
      </c>
      <c r="B143" s="13" t="s">
        <v>148</v>
      </c>
      <c r="C143" s="16">
        <v>29479210</v>
      </c>
      <c r="D143" s="16">
        <v>345.41579999999999</v>
      </c>
      <c r="E143" s="16">
        <v>85344.127280801869</v>
      </c>
    </row>
    <row r="144" spans="1:5" x14ac:dyDescent="0.25">
      <c r="A144" s="15">
        <v>33094</v>
      </c>
      <c r="B144" s="13" t="s">
        <v>149</v>
      </c>
      <c r="C144" s="16">
        <v>17991540</v>
      </c>
      <c r="D144" s="16">
        <v>253.6011</v>
      </c>
      <c r="E144" s="16">
        <v>70944.250636136829</v>
      </c>
    </row>
    <row r="145" spans="1:5" x14ac:dyDescent="0.25">
      <c r="A145" s="15">
        <v>34121</v>
      </c>
      <c r="B145" s="13" t="s">
        <v>150</v>
      </c>
      <c r="C145" s="16">
        <v>8974078</v>
      </c>
      <c r="D145" s="16">
        <v>123.0617</v>
      </c>
      <c r="E145" s="16">
        <v>72923.403463465889</v>
      </c>
    </row>
    <row r="146" spans="1:5" x14ac:dyDescent="0.25">
      <c r="A146" s="15">
        <v>34122</v>
      </c>
      <c r="B146" s="13" t="s">
        <v>151</v>
      </c>
      <c r="C146" s="16">
        <v>6150515</v>
      </c>
      <c r="D146" s="16">
        <v>120.0018</v>
      </c>
      <c r="E146" s="16">
        <v>51253.522863823709</v>
      </c>
    </row>
    <row r="147" spans="1:5" x14ac:dyDescent="0.25">
      <c r="A147" s="15">
        <v>34124</v>
      </c>
      <c r="B147" s="13" t="s">
        <v>152</v>
      </c>
      <c r="C147" s="16">
        <v>90547803</v>
      </c>
      <c r="D147" s="16">
        <v>1227.9214999999999</v>
      </c>
      <c r="E147" s="16">
        <v>73740.709809218271</v>
      </c>
    </row>
    <row r="148" spans="1:5" x14ac:dyDescent="0.25">
      <c r="A148" s="15">
        <v>35092</v>
      </c>
      <c r="B148" s="13" t="s">
        <v>153</v>
      </c>
      <c r="C148" s="16">
        <v>47192892</v>
      </c>
      <c r="D148" s="16">
        <v>939.51570000000004</v>
      </c>
      <c r="E148" s="16">
        <v>50231.083951018591</v>
      </c>
    </row>
    <row r="149" spans="1:5" x14ac:dyDescent="0.25">
      <c r="A149" s="15">
        <v>35093</v>
      </c>
      <c r="B149" s="13" t="s">
        <v>154</v>
      </c>
      <c r="C149" s="16">
        <v>49821330</v>
      </c>
      <c r="D149" s="16">
        <v>612.67840000000001</v>
      </c>
      <c r="E149" s="16">
        <v>81317.262041553942</v>
      </c>
    </row>
    <row r="150" spans="1:5" x14ac:dyDescent="0.25">
      <c r="A150" s="15">
        <v>35094</v>
      </c>
      <c r="B150" s="13" t="s">
        <v>155</v>
      </c>
      <c r="C150" s="16">
        <v>22395850</v>
      </c>
      <c r="D150" s="16">
        <v>530.15070000000003</v>
      </c>
      <c r="E150" s="16">
        <v>42244.309023830392</v>
      </c>
    </row>
    <row r="151" spans="1:5" x14ac:dyDescent="0.25">
      <c r="A151" s="15">
        <v>35097</v>
      </c>
      <c r="B151" s="13" t="s">
        <v>156</v>
      </c>
      <c r="C151" s="16">
        <v>13295595</v>
      </c>
      <c r="D151" s="16">
        <v>305.26440000000002</v>
      </c>
      <c r="E151" s="16">
        <v>43554.358123646249</v>
      </c>
    </row>
    <row r="152" spans="1:5" x14ac:dyDescent="0.25">
      <c r="A152" s="15">
        <v>35098</v>
      </c>
      <c r="B152" s="13" t="s">
        <v>157</v>
      </c>
      <c r="C152" s="16">
        <v>49003265</v>
      </c>
      <c r="D152" s="16">
        <v>769.69709999999998</v>
      </c>
      <c r="E152" s="16">
        <v>63665.648473925656</v>
      </c>
    </row>
    <row r="153" spans="1:5" x14ac:dyDescent="0.25">
      <c r="A153" s="15">
        <v>35099</v>
      </c>
      <c r="B153" s="13" t="s">
        <v>158</v>
      </c>
      <c r="C153" s="16">
        <v>16361195</v>
      </c>
      <c r="D153" s="16">
        <v>297.18490000000003</v>
      </c>
      <c r="E153" s="16">
        <v>55053.924341378042</v>
      </c>
    </row>
    <row r="154" spans="1:5" x14ac:dyDescent="0.25">
      <c r="A154" s="15">
        <v>35102</v>
      </c>
      <c r="B154" s="13" t="s">
        <v>159</v>
      </c>
      <c r="C154" s="16">
        <v>94912215</v>
      </c>
      <c r="D154" s="16">
        <v>1912.8679999999999</v>
      </c>
      <c r="E154" s="16">
        <v>49617.754596762556</v>
      </c>
    </row>
    <row r="155" spans="1:5" x14ac:dyDescent="0.25">
      <c r="A155" s="15">
        <v>36123</v>
      </c>
      <c r="B155" s="13" t="s">
        <v>160</v>
      </c>
      <c r="C155" s="16">
        <v>24513063</v>
      </c>
      <c r="D155" s="16">
        <v>185.53229999999999</v>
      </c>
      <c r="E155" s="16">
        <v>132122.88641923806</v>
      </c>
    </row>
    <row r="156" spans="1:5" x14ac:dyDescent="0.25">
      <c r="A156" s="15">
        <v>36126</v>
      </c>
      <c r="B156" s="13" t="s">
        <v>161</v>
      </c>
      <c r="C156" s="16">
        <v>305803192</v>
      </c>
      <c r="D156" s="16">
        <v>3121.2229000000002</v>
      </c>
      <c r="E156" s="16">
        <v>97975.441612965224</v>
      </c>
    </row>
    <row r="157" spans="1:5" x14ac:dyDescent="0.25">
      <c r="A157" s="15">
        <v>36131</v>
      </c>
      <c r="B157" s="13" t="s">
        <v>162</v>
      </c>
      <c r="C157" s="16">
        <v>292707299</v>
      </c>
      <c r="D157" s="16">
        <v>2975.2177000000001</v>
      </c>
      <c r="E157" s="16">
        <v>98381.808833686344</v>
      </c>
    </row>
    <row r="158" spans="1:5" x14ac:dyDescent="0.25">
      <c r="A158" s="15">
        <v>36133</v>
      </c>
      <c r="B158" s="13" t="s">
        <v>163</v>
      </c>
      <c r="C158" s="16">
        <v>35789284</v>
      </c>
      <c r="D158" s="16">
        <v>462.6431</v>
      </c>
      <c r="E158" s="16">
        <v>77358.30059931727</v>
      </c>
    </row>
    <row r="159" spans="1:5" x14ac:dyDescent="0.25">
      <c r="A159" s="15">
        <v>36134</v>
      </c>
      <c r="B159" s="13" t="s">
        <v>164</v>
      </c>
      <c r="C159" s="16">
        <v>23616578</v>
      </c>
      <c r="D159" s="16">
        <v>344.3827</v>
      </c>
      <c r="E159" s="16">
        <v>68576.55160959014</v>
      </c>
    </row>
    <row r="160" spans="1:5" x14ac:dyDescent="0.25">
      <c r="A160" s="15">
        <v>36135</v>
      </c>
      <c r="B160" s="13" t="s">
        <v>165</v>
      </c>
      <c r="C160" s="16">
        <v>10860890</v>
      </c>
      <c r="D160" s="16">
        <v>105.0656</v>
      </c>
      <c r="E160" s="16">
        <v>103372.46444126336</v>
      </c>
    </row>
    <row r="161" spans="1:5" x14ac:dyDescent="0.25">
      <c r="A161" s="15">
        <v>36136</v>
      </c>
      <c r="B161" s="13" t="s">
        <v>166</v>
      </c>
      <c r="C161" s="16">
        <v>139554186</v>
      </c>
      <c r="D161" s="16">
        <v>2015.6123</v>
      </c>
      <c r="E161" s="16">
        <v>69236.621546713126</v>
      </c>
    </row>
    <row r="162" spans="1:5" x14ac:dyDescent="0.25">
      <c r="A162" s="15">
        <v>36137</v>
      </c>
      <c r="B162" s="13" t="s">
        <v>167</v>
      </c>
      <c r="C162" s="16">
        <v>156769516</v>
      </c>
      <c r="D162" s="16">
        <v>1967.8343</v>
      </c>
      <c r="E162" s="16">
        <v>79666.014562303346</v>
      </c>
    </row>
    <row r="163" spans="1:5" x14ac:dyDescent="0.25">
      <c r="A163" s="15">
        <v>36138</v>
      </c>
      <c r="B163" s="13" t="s">
        <v>168</v>
      </c>
      <c r="C163" s="16">
        <v>35002036</v>
      </c>
      <c r="D163" s="16">
        <v>471.30829999999997</v>
      </c>
      <c r="E163" s="16">
        <v>74265.689783099515</v>
      </c>
    </row>
    <row r="164" spans="1:5" x14ac:dyDescent="0.25">
      <c r="A164" s="15">
        <v>36139</v>
      </c>
      <c r="B164" s="13" t="s">
        <v>169</v>
      </c>
      <c r="C164" s="16">
        <v>716525469</v>
      </c>
      <c r="D164" s="16">
        <v>3825.9490000000001</v>
      </c>
      <c r="E164" s="16">
        <v>187280.45486230997</v>
      </c>
    </row>
    <row r="165" spans="1:5" x14ac:dyDescent="0.25">
      <c r="A165" s="15">
        <v>37037</v>
      </c>
      <c r="B165" s="13" t="s">
        <v>170</v>
      </c>
      <c r="C165" s="16">
        <v>146344707</v>
      </c>
      <c r="D165" s="16">
        <v>1729.2040999999999</v>
      </c>
      <c r="E165" s="16">
        <v>84631.251452619166</v>
      </c>
    </row>
    <row r="166" spans="1:5" x14ac:dyDescent="0.25">
      <c r="A166" s="15">
        <v>37039</v>
      </c>
      <c r="B166" s="13" t="s">
        <v>171</v>
      </c>
      <c r="C166" s="16">
        <v>112377705</v>
      </c>
      <c r="D166" s="16">
        <v>909.38019999999995</v>
      </c>
      <c r="E166" s="16">
        <v>123576.15109719786</v>
      </c>
    </row>
    <row r="167" spans="1:5" x14ac:dyDescent="0.25">
      <c r="A167" s="15">
        <v>38044</v>
      </c>
      <c r="B167" s="13" t="s">
        <v>172</v>
      </c>
      <c r="C167" s="16">
        <v>45599807</v>
      </c>
      <c r="D167" s="16">
        <v>294.31670000000003</v>
      </c>
      <c r="E167" s="16">
        <v>154934.48723772724</v>
      </c>
    </row>
    <row r="168" spans="1:5" x14ac:dyDescent="0.25">
      <c r="A168" s="15">
        <v>38045</v>
      </c>
      <c r="B168" s="13" t="s">
        <v>173</v>
      </c>
      <c r="C168" s="16">
        <v>25228936</v>
      </c>
      <c r="D168" s="16">
        <v>309.8023</v>
      </c>
      <c r="E168" s="16">
        <v>81435.599412915908</v>
      </c>
    </row>
    <row r="169" spans="1:5" x14ac:dyDescent="0.25">
      <c r="A169" s="15">
        <v>38046</v>
      </c>
      <c r="B169" s="13" t="s">
        <v>174</v>
      </c>
      <c r="C169" s="16">
        <v>37282179</v>
      </c>
      <c r="D169" s="16">
        <v>456.38240000000002</v>
      </c>
      <c r="E169" s="16">
        <v>81690.658973702753</v>
      </c>
    </row>
    <row r="170" spans="1:5" x14ac:dyDescent="0.25">
      <c r="A170" s="15">
        <v>39133</v>
      </c>
      <c r="B170" s="13" t="s">
        <v>175</v>
      </c>
      <c r="C170" s="16">
        <v>331789720</v>
      </c>
      <c r="D170" s="16">
        <v>4274.0191999999997</v>
      </c>
      <c r="E170" s="16">
        <v>77629.440691328666</v>
      </c>
    </row>
    <row r="171" spans="1:5" x14ac:dyDescent="0.25">
      <c r="A171" s="15">
        <v>39134</v>
      </c>
      <c r="B171" s="13" t="s">
        <v>176</v>
      </c>
      <c r="C171" s="16">
        <v>318910339</v>
      </c>
      <c r="D171" s="16">
        <v>4422.7912999999999</v>
      </c>
      <c r="E171" s="16">
        <v>72106.124247825122</v>
      </c>
    </row>
    <row r="172" spans="1:5" x14ac:dyDescent="0.25">
      <c r="A172" s="15">
        <v>39135</v>
      </c>
      <c r="B172" s="13" t="s">
        <v>177</v>
      </c>
      <c r="C172" s="16">
        <v>54521433</v>
      </c>
      <c r="D172" s="16">
        <v>689.44640000000004</v>
      </c>
      <c r="E172" s="16">
        <v>79080.016952731923</v>
      </c>
    </row>
    <row r="173" spans="1:5" x14ac:dyDescent="0.25">
      <c r="A173" s="15">
        <v>39136</v>
      </c>
      <c r="B173" s="13" t="s">
        <v>178</v>
      </c>
      <c r="C173" s="16">
        <v>17391520</v>
      </c>
      <c r="D173" s="16">
        <v>256.25439999999998</v>
      </c>
      <c r="E173" s="16">
        <v>67868.180995136092</v>
      </c>
    </row>
    <row r="174" spans="1:5" x14ac:dyDescent="0.25">
      <c r="A174" s="15">
        <v>39137</v>
      </c>
      <c r="B174" s="13" t="s">
        <v>179</v>
      </c>
      <c r="C174" s="16">
        <v>168619887</v>
      </c>
      <c r="D174" s="16">
        <v>1098.3668</v>
      </c>
      <c r="E174" s="16">
        <v>153518.73982352708</v>
      </c>
    </row>
    <row r="175" spans="1:5" x14ac:dyDescent="0.25">
      <c r="A175" s="15">
        <v>39139</v>
      </c>
      <c r="B175" s="13" t="s">
        <v>180</v>
      </c>
      <c r="C175" s="16">
        <v>223158088</v>
      </c>
      <c r="D175" s="16">
        <v>2126.0082000000002</v>
      </c>
      <c r="E175" s="16">
        <v>104965.77012261759</v>
      </c>
    </row>
    <row r="176" spans="1:5" x14ac:dyDescent="0.25">
      <c r="A176" s="15">
        <v>39141</v>
      </c>
      <c r="B176" s="13" t="s">
        <v>181</v>
      </c>
      <c r="C176" s="16">
        <v>3251328380</v>
      </c>
      <c r="D176" s="16">
        <v>23134.459500000001</v>
      </c>
      <c r="E176" s="16">
        <v>140540.49458125443</v>
      </c>
    </row>
    <row r="177" spans="1:5" x14ac:dyDescent="0.25">
      <c r="A177" s="15">
        <v>39142</v>
      </c>
      <c r="B177" s="13" t="s">
        <v>182</v>
      </c>
      <c r="C177" s="16">
        <v>61114119</v>
      </c>
      <c r="D177" s="16">
        <v>1069.2025000000001</v>
      </c>
      <c r="E177" s="16">
        <v>57158.600919844459</v>
      </c>
    </row>
    <row r="178" spans="1:5" x14ac:dyDescent="0.25">
      <c r="A178" s="15">
        <v>40100</v>
      </c>
      <c r="B178" s="13" t="s">
        <v>183</v>
      </c>
      <c r="C178" s="16">
        <v>12348823</v>
      </c>
      <c r="D178" s="16">
        <v>151.84649999999999</v>
      </c>
      <c r="E178" s="16">
        <v>81324.383505711361</v>
      </c>
    </row>
    <row r="179" spans="1:5" x14ac:dyDescent="0.25">
      <c r="A179" s="15">
        <v>40101</v>
      </c>
      <c r="B179" s="13" t="s">
        <v>184</v>
      </c>
      <c r="C179" s="16">
        <v>3935098</v>
      </c>
      <c r="D179" s="16">
        <v>61.676600000000001</v>
      </c>
      <c r="E179" s="16">
        <v>63802.122685102615</v>
      </c>
    </row>
    <row r="180" spans="1:5" x14ac:dyDescent="0.25">
      <c r="A180" s="15">
        <v>40103</v>
      </c>
      <c r="B180" s="13" t="s">
        <v>185</v>
      </c>
      <c r="C180" s="16">
        <v>8363770</v>
      </c>
      <c r="D180" s="16">
        <v>73.215999999999994</v>
      </c>
      <c r="E180" s="16">
        <v>114234.18378496505</v>
      </c>
    </row>
    <row r="181" spans="1:5" x14ac:dyDescent="0.25">
      <c r="A181" s="15">
        <v>40104</v>
      </c>
      <c r="B181" s="13" t="s">
        <v>186</v>
      </c>
      <c r="C181" s="16">
        <v>5563990</v>
      </c>
      <c r="D181" s="16">
        <v>75.080600000000004</v>
      </c>
      <c r="E181" s="16">
        <v>74106.893125521106</v>
      </c>
    </row>
    <row r="182" spans="1:5" x14ac:dyDescent="0.25">
      <c r="A182" s="15">
        <v>40107</v>
      </c>
      <c r="B182" s="13" t="s">
        <v>187</v>
      </c>
      <c r="C182" s="16">
        <v>75556001</v>
      </c>
      <c r="D182" s="16">
        <v>1100.2529999999999</v>
      </c>
      <c r="E182" s="16">
        <v>68671.479196148532</v>
      </c>
    </row>
    <row r="183" spans="1:5" x14ac:dyDescent="0.25">
      <c r="A183" s="15">
        <v>41001</v>
      </c>
      <c r="B183" s="13" t="s">
        <v>188</v>
      </c>
      <c r="C183" s="16">
        <v>5349397</v>
      </c>
      <c r="D183" s="16">
        <v>79.331900000000005</v>
      </c>
      <c r="E183" s="16">
        <v>67430.592233389092</v>
      </c>
    </row>
    <row r="184" spans="1:5" x14ac:dyDescent="0.25">
      <c r="A184" s="15">
        <v>41002</v>
      </c>
      <c r="B184" s="13" t="s">
        <v>189</v>
      </c>
      <c r="C184" s="16">
        <v>59706586</v>
      </c>
      <c r="D184" s="16">
        <v>831.12909999999999</v>
      </c>
      <c r="E184" s="16">
        <v>71837.920246084512</v>
      </c>
    </row>
    <row r="185" spans="1:5" x14ac:dyDescent="0.25">
      <c r="A185" s="15">
        <v>41003</v>
      </c>
      <c r="B185" s="13" t="s">
        <v>190</v>
      </c>
      <c r="C185" s="16">
        <v>16495655</v>
      </c>
      <c r="D185" s="16">
        <v>217.76840000000001</v>
      </c>
      <c r="E185" s="16">
        <v>75748.61642001319</v>
      </c>
    </row>
    <row r="186" spans="1:5" x14ac:dyDescent="0.25">
      <c r="A186" s="15">
        <v>41004</v>
      </c>
      <c r="B186" s="13" t="s">
        <v>191</v>
      </c>
      <c r="C186" s="16">
        <v>10378154</v>
      </c>
      <c r="D186" s="16">
        <v>121.6926</v>
      </c>
      <c r="E186" s="16">
        <v>85281.718033799916</v>
      </c>
    </row>
    <row r="187" spans="1:5" x14ac:dyDescent="0.25">
      <c r="A187" s="15">
        <v>41005</v>
      </c>
      <c r="B187" s="13" t="s">
        <v>192</v>
      </c>
      <c r="C187" s="16">
        <v>6985315</v>
      </c>
      <c r="D187" s="16">
        <v>82.988100000000003</v>
      </c>
      <c r="E187" s="16">
        <v>84172.489790704931</v>
      </c>
    </row>
    <row r="188" spans="1:5" x14ac:dyDescent="0.25">
      <c r="A188" s="15">
        <v>42111</v>
      </c>
      <c r="B188" s="13" t="s">
        <v>193</v>
      </c>
      <c r="C188" s="16">
        <v>42813881</v>
      </c>
      <c r="D188" s="16">
        <v>694.78110000000004</v>
      </c>
      <c r="E188" s="16">
        <v>61622.115224493005</v>
      </c>
    </row>
    <row r="189" spans="1:5" x14ac:dyDescent="0.25">
      <c r="A189" s="15">
        <v>42113</v>
      </c>
      <c r="B189" s="13" t="s">
        <v>194</v>
      </c>
      <c r="C189" s="16">
        <v>9453642</v>
      </c>
      <c r="D189" s="16">
        <v>83.646000000000001</v>
      </c>
      <c r="E189" s="16">
        <v>113019.65425722688</v>
      </c>
    </row>
    <row r="190" spans="1:5" x14ac:dyDescent="0.25">
      <c r="A190" s="15">
        <v>42117</v>
      </c>
      <c r="B190" s="13" t="s">
        <v>195</v>
      </c>
      <c r="C190" s="16">
        <v>9982926</v>
      </c>
      <c r="D190" s="16">
        <v>135.29169999999999</v>
      </c>
      <c r="E190" s="16">
        <v>73788.162910215484</v>
      </c>
    </row>
    <row r="191" spans="1:5" x14ac:dyDescent="0.25">
      <c r="A191" s="15">
        <v>42118</v>
      </c>
      <c r="B191" s="13" t="s">
        <v>196</v>
      </c>
      <c r="C191" s="16">
        <v>15720775</v>
      </c>
      <c r="D191" s="16">
        <v>122.34310000000001</v>
      </c>
      <c r="E191" s="16">
        <v>128497.43876033874</v>
      </c>
    </row>
    <row r="192" spans="1:5" x14ac:dyDescent="0.25">
      <c r="A192" s="15">
        <v>42119</v>
      </c>
      <c r="B192" s="13" t="s">
        <v>197</v>
      </c>
      <c r="C192" s="16">
        <v>16892732</v>
      </c>
      <c r="D192" s="16">
        <v>49.965800000000002</v>
      </c>
      <c r="E192" s="16">
        <v>338085.89074927248</v>
      </c>
    </row>
    <row r="193" spans="1:5" x14ac:dyDescent="0.25">
      <c r="A193" s="15">
        <v>42121</v>
      </c>
      <c r="B193" s="13" t="s">
        <v>198</v>
      </c>
      <c r="C193" s="16">
        <v>10790742</v>
      </c>
      <c r="D193" s="16">
        <v>86.148899999999998</v>
      </c>
      <c r="E193" s="16">
        <v>125256.87501523526</v>
      </c>
    </row>
    <row r="194" spans="1:5" x14ac:dyDescent="0.25">
      <c r="A194" s="15">
        <v>42124</v>
      </c>
      <c r="B194" s="13" t="s">
        <v>199</v>
      </c>
      <c r="C194" s="16">
        <v>162391129</v>
      </c>
      <c r="D194" s="16">
        <v>1606.5679</v>
      </c>
      <c r="E194" s="16">
        <v>101079.53046989175</v>
      </c>
    </row>
    <row r="195" spans="1:5" x14ac:dyDescent="0.25">
      <c r="A195" s="15">
        <v>43001</v>
      </c>
      <c r="B195" s="13" t="s">
        <v>200</v>
      </c>
      <c r="C195" s="16">
        <v>40084099</v>
      </c>
      <c r="D195" s="16">
        <v>682.84159999999997</v>
      </c>
      <c r="E195" s="16">
        <v>58701.899532775977</v>
      </c>
    </row>
    <row r="196" spans="1:5" x14ac:dyDescent="0.25">
      <c r="A196" s="15">
        <v>43002</v>
      </c>
      <c r="B196" s="13" t="s">
        <v>201</v>
      </c>
      <c r="C196" s="16">
        <v>34754646</v>
      </c>
      <c r="D196" s="16">
        <v>267.7747</v>
      </c>
      <c r="E196" s="16">
        <v>129790.62622421014</v>
      </c>
    </row>
    <row r="197" spans="1:5" x14ac:dyDescent="0.25">
      <c r="A197" s="15">
        <v>43003</v>
      </c>
      <c r="B197" s="13" t="s">
        <v>202</v>
      </c>
      <c r="C197" s="16">
        <v>22288776</v>
      </c>
      <c r="D197" s="16">
        <v>300.76060000000001</v>
      </c>
      <c r="E197" s="16">
        <v>74108.031437628466</v>
      </c>
    </row>
    <row r="198" spans="1:5" x14ac:dyDescent="0.25">
      <c r="A198" s="15">
        <v>43004</v>
      </c>
      <c r="B198" s="13" t="s">
        <v>203</v>
      </c>
      <c r="C198" s="16">
        <v>40208262</v>
      </c>
      <c r="D198" s="16">
        <v>274.36869999999999</v>
      </c>
      <c r="E198" s="16">
        <v>146548.28338655247</v>
      </c>
    </row>
    <row r="199" spans="1:5" x14ac:dyDescent="0.25">
      <c r="A199" s="15">
        <v>44078</v>
      </c>
      <c r="B199" s="13" t="s">
        <v>204</v>
      </c>
      <c r="C199" s="16">
        <v>24586132</v>
      </c>
      <c r="D199" s="16">
        <v>58.337200000000003</v>
      </c>
      <c r="E199" s="16">
        <v>421448.61254911101</v>
      </c>
    </row>
    <row r="200" spans="1:5" x14ac:dyDescent="0.25">
      <c r="A200" s="15">
        <v>44083</v>
      </c>
      <c r="B200" s="13" t="s">
        <v>205</v>
      </c>
      <c r="C200" s="16">
        <v>29453861</v>
      </c>
      <c r="D200" s="16">
        <v>244.66380000000001</v>
      </c>
      <c r="E200" s="16">
        <v>120385.03857129661</v>
      </c>
    </row>
    <row r="201" spans="1:5" x14ac:dyDescent="0.25">
      <c r="A201" s="15">
        <v>44084</v>
      </c>
      <c r="B201" s="13" t="s">
        <v>206</v>
      </c>
      <c r="C201" s="16">
        <v>30841560</v>
      </c>
      <c r="D201" s="16">
        <v>238.69479999999999</v>
      </c>
      <c r="E201" s="16">
        <v>129209.18260473208</v>
      </c>
    </row>
    <row r="202" spans="1:5" x14ac:dyDescent="0.25">
      <c r="A202" s="15">
        <v>45076</v>
      </c>
      <c r="B202" s="13" t="s">
        <v>207</v>
      </c>
      <c r="C202" s="16">
        <v>25383501</v>
      </c>
      <c r="D202" s="16">
        <v>428.21050000000002</v>
      </c>
      <c r="E202" s="16">
        <v>59278.09103233106</v>
      </c>
    </row>
    <row r="203" spans="1:5" x14ac:dyDescent="0.25">
      <c r="A203" s="15">
        <v>45077</v>
      </c>
      <c r="B203" s="13" t="s">
        <v>208</v>
      </c>
      <c r="C203" s="16">
        <v>47713076</v>
      </c>
      <c r="D203" s="16">
        <v>592.48009999999999</v>
      </c>
      <c r="E203" s="16">
        <v>80531.103069959645</v>
      </c>
    </row>
    <row r="204" spans="1:5" x14ac:dyDescent="0.25">
      <c r="A204" s="15">
        <v>45078</v>
      </c>
      <c r="B204" s="13" t="s">
        <v>209</v>
      </c>
      <c r="C204" s="16">
        <v>23642942</v>
      </c>
      <c r="D204" s="16">
        <v>250.79169999999999</v>
      </c>
      <c r="E204" s="16">
        <v>94273.223555643985</v>
      </c>
    </row>
    <row r="205" spans="1:5" x14ac:dyDescent="0.25">
      <c r="A205" s="15">
        <v>46128</v>
      </c>
      <c r="B205" s="13" t="s">
        <v>210</v>
      </c>
      <c r="C205" s="16">
        <v>23807180</v>
      </c>
      <c r="D205" s="16">
        <v>299.09399999999999</v>
      </c>
      <c r="E205" s="16">
        <v>79597.651574421427</v>
      </c>
    </row>
    <row r="206" spans="1:5" x14ac:dyDescent="0.25">
      <c r="A206" s="15">
        <v>46130</v>
      </c>
      <c r="B206" s="13" t="s">
        <v>211</v>
      </c>
      <c r="C206" s="16">
        <v>66167847</v>
      </c>
      <c r="D206" s="16">
        <v>1116.8838000000001</v>
      </c>
      <c r="E206" s="16">
        <v>59243.268637256624</v>
      </c>
    </row>
    <row r="207" spans="1:5" x14ac:dyDescent="0.25">
      <c r="A207" s="15">
        <v>46131</v>
      </c>
      <c r="B207" s="13" t="s">
        <v>212</v>
      </c>
      <c r="C207" s="16">
        <v>67681122</v>
      </c>
      <c r="D207" s="16">
        <v>1257.327</v>
      </c>
      <c r="E207" s="16">
        <v>53829.371356854659</v>
      </c>
    </row>
    <row r="208" spans="1:5" x14ac:dyDescent="0.25">
      <c r="A208" s="15">
        <v>46132</v>
      </c>
      <c r="B208" s="13" t="s">
        <v>213</v>
      </c>
      <c r="C208" s="16">
        <v>38448780</v>
      </c>
      <c r="D208" s="16">
        <v>579.5643</v>
      </c>
      <c r="E208" s="16">
        <v>66340.835693295812</v>
      </c>
    </row>
    <row r="209" spans="1:5" x14ac:dyDescent="0.25">
      <c r="A209" s="15">
        <v>46134</v>
      </c>
      <c r="B209" s="13" t="s">
        <v>214</v>
      </c>
      <c r="C209" s="16">
        <v>152305427</v>
      </c>
      <c r="D209" s="16">
        <v>1862.6419000000001</v>
      </c>
      <c r="E209" s="16">
        <v>81768.496134442161</v>
      </c>
    </row>
    <row r="210" spans="1:5" x14ac:dyDescent="0.25">
      <c r="A210" s="15">
        <v>46135</v>
      </c>
      <c r="B210" s="13" t="s">
        <v>215</v>
      </c>
      <c r="C210" s="16">
        <v>26515890</v>
      </c>
      <c r="D210" s="16">
        <v>331.46789999999999</v>
      </c>
      <c r="E210" s="16">
        <v>79995.347965821129</v>
      </c>
    </row>
    <row r="211" spans="1:5" x14ac:dyDescent="0.25">
      <c r="A211" s="15">
        <v>46137</v>
      </c>
      <c r="B211" s="13" t="s">
        <v>216</v>
      </c>
      <c r="C211" s="16">
        <v>17356250</v>
      </c>
      <c r="D211" s="16">
        <v>284.28530000000001</v>
      </c>
      <c r="E211" s="16">
        <v>61052.224648970594</v>
      </c>
    </row>
    <row r="212" spans="1:5" x14ac:dyDescent="0.25">
      <c r="A212" s="15">
        <v>46140</v>
      </c>
      <c r="B212" s="13" t="s">
        <v>217</v>
      </c>
      <c r="C212" s="16">
        <v>43919970</v>
      </c>
      <c r="D212" s="16">
        <v>665.73659999999995</v>
      </c>
      <c r="E212" s="16">
        <v>65971.992526774105</v>
      </c>
    </row>
    <row r="213" spans="1:5" x14ac:dyDescent="0.25">
      <c r="A213" s="15">
        <v>47060</v>
      </c>
      <c r="B213" s="13" t="s">
        <v>218</v>
      </c>
      <c r="C213" s="16">
        <v>32831756</v>
      </c>
      <c r="D213" s="16">
        <v>287.34750000000003</v>
      </c>
      <c r="E213" s="16">
        <v>114258.01860117105</v>
      </c>
    </row>
    <row r="214" spans="1:5" x14ac:dyDescent="0.25">
      <c r="A214" s="15">
        <v>47062</v>
      </c>
      <c r="B214" s="13" t="s">
        <v>219</v>
      </c>
      <c r="C214" s="16">
        <v>48920715</v>
      </c>
      <c r="D214" s="16">
        <v>981.52639999999997</v>
      </c>
      <c r="E214" s="16">
        <v>49841.466312062519</v>
      </c>
    </row>
    <row r="215" spans="1:5" x14ac:dyDescent="0.25">
      <c r="A215" s="15">
        <v>47064</v>
      </c>
      <c r="B215" s="13" t="s">
        <v>220</v>
      </c>
      <c r="C215" s="16">
        <v>11069010</v>
      </c>
      <c r="D215" s="16">
        <v>177.83590000000001</v>
      </c>
      <c r="E215" s="16">
        <v>62242.831734199899</v>
      </c>
    </row>
    <row r="216" spans="1:5" x14ac:dyDescent="0.25">
      <c r="A216" s="15">
        <v>47065</v>
      </c>
      <c r="B216" s="13" t="s">
        <v>221</v>
      </c>
      <c r="C216" s="16">
        <v>100067714</v>
      </c>
      <c r="D216" s="16">
        <v>390.81040000000002</v>
      </c>
      <c r="E216" s="16">
        <v>256051.81950122103</v>
      </c>
    </row>
    <row r="217" spans="1:5" x14ac:dyDescent="0.25">
      <c r="A217" s="15">
        <v>48066</v>
      </c>
      <c r="B217" s="13" t="s">
        <v>222</v>
      </c>
      <c r="C217" s="16">
        <v>256860548</v>
      </c>
      <c r="D217" s="16">
        <v>4789.8200999999999</v>
      </c>
      <c r="E217" s="16">
        <v>53626.345590724799</v>
      </c>
    </row>
    <row r="218" spans="1:5" x14ac:dyDescent="0.25">
      <c r="A218" s="15">
        <v>48068</v>
      </c>
      <c r="B218" s="13" t="s">
        <v>223</v>
      </c>
      <c r="C218" s="16">
        <v>1221944128</v>
      </c>
      <c r="D218" s="16">
        <v>13797.493399999999</v>
      </c>
      <c r="E218" s="16">
        <v>88562.762276806025</v>
      </c>
    </row>
    <row r="219" spans="1:5" x14ac:dyDescent="0.25">
      <c r="A219" s="15">
        <v>48069</v>
      </c>
      <c r="B219" s="13" t="s">
        <v>224</v>
      </c>
      <c r="C219" s="16">
        <v>255377668</v>
      </c>
      <c r="D219" s="16">
        <v>3734.2242999999999</v>
      </c>
      <c r="E219" s="16">
        <v>68388.411483477306</v>
      </c>
    </row>
    <row r="220" spans="1:5" x14ac:dyDescent="0.25">
      <c r="A220" s="15">
        <v>48070</v>
      </c>
      <c r="B220" s="13" t="s">
        <v>225</v>
      </c>
      <c r="C220" s="16">
        <v>120630054</v>
      </c>
      <c r="D220" s="16">
        <v>1946.9264000000001</v>
      </c>
      <c r="E220" s="16">
        <v>61959.226604559881</v>
      </c>
    </row>
    <row r="221" spans="1:5" x14ac:dyDescent="0.25">
      <c r="A221" s="15">
        <v>48071</v>
      </c>
      <c r="B221" s="13" t="s">
        <v>226</v>
      </c>
      <c r="C221" s="16">
        <v>1682183866</v>
      </c>
      <c r="D221" s="16">
        <v>16774.649399999998</v>
      </c>
      <c r="E221" s="16">
        <v>100281.31294356591</v>
      </c>
    </row>
    <row r="222" spans="1:5" x14ac:dyDescent="0.25">
      <c r="A222" s="15">
        <v>48072</v>
      </c>
      <c r="B222" s="13" t="s">
        <v>227</v>
      </c>
      <c r="C222" s="16">
        <v>336144033</v>
      </c>
      <c r="D222" s="16">
        <v>5903.7239</v>
      </c>
      <c r="E222" s="16">
        <v>56937.627621779538</v>
      </c>
    </row>
    <row r="223" spans="1:5" x14ac:dyDescent="0.25">
      <c r="A223" s="15">
        <v>48073</v>
      </c>
      <c r="B223" s="13" t="s">
        <v>228</v>
      </c>
      <c r="C223" s="16">
        <v>616390610</v>
      </c>
      <c r="D223" s="16">
        <v>8405.0761999999995</v>
      </c>
      <c r="E223" s="16">
        <v>73335.517172348787</v>
      </c>
    </row>
    <row r="224" spans="1:5" x14ac:dyDescent="0.25">
      <c r="A224" s="15">
        <v>48074</v>
      </c>
      <c r="B224" s="13" t="s">
        <v>229</v>
      </c>
      <c r="C224" s="16">
        <v>401220285</v>
      </c>
      <c r="D224" s="16">
        <v>3812.3476000000001</v>
      </c>
      <c r="E224" s="16">
        <v>105242.31447310837</v>
      </c>
    </row>
    <row r="225" spans="1:5" x14ac:dyDescent="0.25">
      <c r="A225" s="15">
        <v>48075</v>
      </c>
      <c r="B225" s="13" t="s">
        <v>230</v>
      </c>
      <c r="C225" s="16">
        <v>49364624</v>
      </c>
      <c r="D225" s="16">
        <v>526.24369999999999</v>
      </c>
      <c r="E225" s="16">
        <v>93805.634157710578</v>
      </c>
    </row>
    <row r="226" spans="1:5" x14ac:dyDescent="0.25">
      <c r="A226" s="15">
        <v>48077</v>
      </c>
      <c r="B226" s="13" t="s">
        <v>231</v>
      </c>
      <c r="C226" s="16">
        <v>926265918</v>
      </c>
      <c r="D226" s="16">
        <v>14173.905699999999</v>
      </c>
      <c r="E226" s="16">
        <v>65350.083287205729</v>
      </c>
    </row>
    <row r="227" spans="1:5" x14ac:dyDescent="0.25">
      <c r="A227" s="15">
        <v>48078</v>
      </c>
      <c r="B227" s="13" t="s">
        <v>1588</v>
      </c>
      <c r="C227" s="16">
        <v>2721421670</v>
      </c>
      <c r="D227" s="16">
        <v>23578.850200000001</v>
      </c>
      <c r="E227" s="16">
        <f>C227/D227</f>
        <v>115417.91253247793</v>
      </c>
    </row>
    <row r="228" spans="1:5" x14ac:dyDescent="0.25">
      <c r="A228" s="15">
        <v>48080</v>
      </c>
      <c r="B228" s="13" t="s">
        <v>233</v>
      </c>
      <c r="C228" s="16">
        <v>372073623</v>
      </c>
      <c r="D228" s="16">
        <v>2258.2512000000002</v>
      </c>
      <c r="E228" s="16">
        <v>164761.84004684686</v>
      </c>
    </row>
    <row r="229" spans="1:5" x14ac:dyDescent="0.25">
      <c r="A229" s="15">
        <v>49132</v>
      </c>
      <c r="B229" s="13" t="s">
        <v>234</v>
      </c>
      <c r="C229" s="16">
        <v>234422504</v>
      </c>
      <c r="D229" s="16">
        <v>3188.6907000000001</v>
      </c>
      <c r="E229" s="16">
        <v>73516.852543898349</v>
      </c>
    </row>
    <row r="230" spans="1:5" x14ac:dyDescent="0.25">
      <c r="A230" s="15">
        <v>49135</v>
      </c>
      <c r="B230" s="13" t="s">
        <v>235</v>
      </c>
      <c r="C230" s="16">
        <v>18640920</v>
      </c>
      <c r="D230" s="16">
        <v>217.27340000000001</v>
      </c>
      <c r="E230" s="16">
        <v>85794.763648012129</v>
      </c>
    </row>
    <row r="231" spans="1:5" x14ac:dyDescent="0.25">
      <c r="A231" s="15">
        <v>49137</v>
      </c>
      <c r="B231" s="13" t="s">
        <v>236</v>
      </c>
      <c r="C231" s="16">
        <v>36634319</v>
      </c>
      <c r="D231" s="16">
        <v>464.649</v>
      </c>
      <c r="E231" s="16">
        <v>78842.995465394313</v>
      </c>
    </row>
    <row r="232" spans="1:5" x14ac:dyDescent="0.25">
      <c r="A232" s="15">
        <v>49140</v>
      </c>
      <c r="B232" s="13" t="s">
        <v>237</v>
      </c>
      <c r="C232" s="16">
        <v>34542780</v>
      </c>
      <c r="D232" s="16">
        <v>772.57600000000002</v>
      </c>
      <c r="E232" s="16">
        <v>44711.174046307417</v>
      </c>
    </row>
    <row r="233" spans="1:5" x14ac:dyDescent="0.25">
      <c r="A233" s="15">
        <v>49142</v>
      </c>
      <c r="B233" s="13" t="s">
        <v>238</v>
      </c>
      <c r="C233" s="16">
        <v>292422946</v>
      </c>
      <c r="D233" s="16">
        <v>4362.5596999999998</v>
      </c>
      <c r="E233" s="16">
        <v>67030.130498844519</v>
      </c>
    </row>
    <row r="234" spans="1:5" x14ac:dyDescent="0.25">
      <c r="A234" s="15">
        <v>49144</v>
      </c>
      <c r="B234" s="13" t="s">
        <v>239</v>
      </c>
      <c r="C234" s="16">
        <v>231859828</v>
      </c>
      <c r="D234" s="16">
        <v>4051.5965000000001</v>
      </c>
      <c r="E234" s="16">
        <v>57226.781590911138</v>
      </c>
    </row>
    <row r="235" spans="1:5" x14ac:dyDescent="0.25">
      <c r="A235" s="15">
        <v>49148</v>
      </c>
      <c r="B235" s="13" t="s">
        <v>240</v>
      </c>
      <c r="C235" s="16">
        <v>856509976</v>
      </c>
      <c r="D235" s="16">
        <v>7236.0155999999997</v>
      </c>
      <c r="E235" s="16">
        <v>118367.624304182</v>
      </c>
    </row>
    <row r="236" spans="1:5" x14ac:dyDescent="0.25">
      <c r="A236" s="15">
        <v>50001</v>
      </c>
      <c r="B236" s="13" t="s">
        <v>241</v>
      </c>
      <c r="C236" s="16">
        <v>546583525</v>
      </c>
      <c r="D236" s="16">
        <v>6391.9718999999996</v>
      </c>
      <c r="E236" s="16">
        <v>85510.939902598766</v>
      </c>
    </row>
    <row r="237" spans="1:5" x14ac:dyDescent="0.25">
      <c r="A237" s="15">
        <v>50002</v>
      </c>
      <c r="B237" s="13" t="s">
        <v>242</v>
      </c>
      <c r="C237" s="16">
        <v>50185877</v>
      </c>
      <c r="D237" s="16">
        <v>749.81200000000001</v>
      </c>
      <c r="E237" s="16">
        <v>66931.280107546962</v>
      </c>
    </row>
    <row r="238" spans="1:5" x14ac:dyDescent="0.25">
      <c r="A238" s="15">
        <v>50003</v>
      </c>
      <c r="B238" s="13" t="s">
        <v>243</v>
      </c>
      <c r="C238" s="16">
        <v>242476648</v>
      </c>
      <c r="D238" s="16">
        <v>3282.6691999999998</v>
      </c>
      <c r="E238" s="16">
        <v>73865.696854255075</v>
      </c>
    </row>
    <row r="239" spans="1:5" x14ac:dyDescent="0.25">
      <c r="A239" s="15">
        <v>50005</v>
      </c>
      <c r="B239" s="13" t="s">
        <v>244</v>
      </c>
      <c r="C239" s="16">
        <v>152507521</v>
      </c>
      <c r="D239" s="16">
        <v>1506.2121999999999</v>
      </c>
      <c r="E239" s="16">
        <v>101252.34744480228</v>
      </c>
    </row>
    <row r="240" spans="1:5" x14ac:dyDescent="0.25">
      <c r="A240" s="15">
        <v>50006</v>
      </c>
      <c r="B240" s="13" t="s">
        <v>245</v>
      </c>
      <c r="C240" s="16">
        <v>241736969</v>
      </c>
      <c r="D240" s="16">
        <v>2906.4276</v>
      </c>
      <c r="E240" s="16">
        <v>83173.22922477065</v>
      </c>
    </row>
    <row r="241" spans="1:5" x14ac:dyDescent="0.25">
      <c r="A241" s="15">
        <v>50007</v>
      </c>
      <c r="B241" s="13" t="s">
        <v>246</v>
      </c>
      <c r="C241" s="16">
        <v>183954004</v>
      </c>
      <c r="D241" s="16">
        <v>961.75990000000002</v>
      </c>
      <c r="E241" s="16">
        <v>191268.11587798575</v>
      </c>
    </row>
    <row r="242" spans="1:5" x14ac:dyDescent="0.25">
      <c r="A242" s="15">
        <v>50009</v>
      </c>
      <c r="B242" s="13" t="s">
        <v>247</v>
      </c>
      <c r="C242" s="16">
        <v>34077048</v>
      </c>
      <c r="D242" s="16">
        <v>381.14010000000002</v>
      </c>
      <c r="E242" s="16">
        <v>89408.193994806628</v>
      </c>
    </row>
    <row r="243" spans="1:5" x14ac:dyDescent="0.25">
      <c r="A243" s="15">
        <v>50010</v>
      </c>
      <c r="B243" s="13" t="s">
        <v>248</v>
      </c>
      <c r="C243" s="16">
        <v>208447360</v>
      </c>
      <c r="D243" s="16">
        <v>2945.768</v>
      </c>
      <c r="E243" s="16">
        <v>70761.634996374458</v>
      </c>
    </row>
    <row r="244" spans="1:5" x14ac:dyDescent="0.25">
      <c r="A244" s="15">
        <v>50012</v>
      </c>
      <c r="B244" s="13" t="s">
        <v>249</v>
      </c>
      <c r="C244" s="16">
        <v>840606996</v>
      </c>
      <c r="D244" s="16">
        <v>11181.2991</v>
      </c>
      <c r="E244" s="16">
        <v>75179.725404179553</v>
      </c>
    </row>
    <row r="245" spans="1:5" x14ac:dyDescent="0.25">
      <c r="A245" s="15">
        <v>50013</v>
      </c>
      <c r="B245" s="13" t="s">
        <v>250</v>
      </c>
      <c r="C245" s="16">
        <v>57490818</v>
      </c>
      <c r="D245" s="16">
        <v>604.51179999999999</v>
      </c>
      <c r="E245" s="16">
        <v>95102.887983328037</v>
      </c>
    </row>
    <row r="246" spans="1:5" x14ac:dyDescent="0.25">
      <c r="A246" s="15">
        <v>50014</v>
      </c>
      <c r="B246" s="13" t="s">
        <v>251</v>
      </c>
      <c r="C246" s="16">
        <v>181170496</v>
      </c>
      <c r="D246" s="16">
        <v>2854.2179000000001</v>
      </c>
      <c r="E246" s="16">
        <v>63474.654825758043</v>
      </c>
    </row>
    <row r="247" spans="1:5" x14ac:dyDescent="0.25">
      <c r="A247" s="15">
        <v>51150</v>
      </c>
      <c r="B247" s="13" t="s">
        <v>252</v>
      </c>
      <c r="C247" s="16">
        <v>22718548</v>
      </c>
      <c r="D247" s="16">
        <v>256.43520000000001</v>
      </c>
      <c r="E247" s="16">
        <v>88593.718803034833</v>
      </c>
    </row>
    <row r="248" spans="1:5" x14ac:dyDescent="0.25">
      <c r="A248" s="15">
        <v>51152</v>
      </c>
      <c r="B248" s="13" t="s">
        <v>253</v>
      </c>
      <c r="C248" s="16">
        <v>91009380</v>
      </c>
      <c r="D248" s="16">
        <v>1198.4475</v>
      </c>
      <c r="E248" s="16">
        <v>75939.39659434394</v>
      </c>
    </row>
    <row r="249" spans="1:5" x14ac:dyDescent="0.25">
      <c r="A249" s="15">
        <v>51153</v>
      </c>
      <c r="B249" s="13" t="s">
        <v>254</v>
      </c>
      <c r="C249" s="16">
        <v>9195177</v>
      </c>
      <c r="D249" s="16">
        <v>145.33799999999999</v>
      </c>
      <c r="E249" s="16">
        <v>63267.534987408661</v>
      </c>
    </row>
    <row r="250" spans="1:5" x14ac:dyDescent="0.25">
      <c r="A250" s="15">
        <v>51154</v>
      </c>
      <c r="B250" s="13" t="s">
        <v>255</v>
      </c>
      <c r="C250" s="16">
        <v>37064875</v>
      </c>
      <c r="D250" s="16">
        <v>589.00940000000003</v>
      </c>
      <c r="E250" s="16">
        <v>62927.476199870493</v>
      </c>
    </row>
    <row r="251" spans="1:5" x14ac:dyDescent="0.25">
      <c r="A251" s="15">
        <v>51155</v>
      </c>
      <c r="B251" s="13" t="s">
        <v>256</v>
      </c>
      <c r="C251" s="16">
        <v>58248112</v>
      </c>
      <c r="D251" s="16">
        <v>1401.9643999999998</v>
      </c>
      <c r="E251" s="16">
        <v>41547.497211769434</v>
      </c>
    </row>
    <row r="252" spans="1:5" x14ac:dyDescent="0.25">
      <c r="A252" s="15">
        <v>51156</v>
      </c>
      <c r="B252" s="13" t="s">
        <v>257</v>
      </c>
      <c r="C252" s="16">
        <v>15582544</v>
      </c>
      <c r="D252" s="16">
        <v>309.98590000000002</v>
      </c>
      <c r="E252" s="16">
        <v>50268.557376319375</v>
      </c>
    </row>
    <row r="253" spans="1:5" x14ac:dyDescent="0.25">
      <c r="A253" s="15">
        <v>51159</v>
      </c>
      <c r="B253" s="13" t="s">
        <v>258</v>
      </c>
      <c r="C253" s="16">
        <v>265785548</v>
      </c>
      <c r="D253" s="16">
        <v>3059.2986000000001</v>
      </c>
      <c r="E253" s="16">
        <v>86877.936007946395</v>
      </c>
    </row>
    <row r="254" spans="1:5" x14ac:dyDescent="0.25">
      <c r="A254" s="15">
        <v>52096</v>
      </c>
      <c r="B254" s="13" t="s">
        <v>259</v>
      </c>
      <c r="C254" s="16">
        <v>63829479</v>
      </c>
      <c r="D254" s="16">
        <v>457.12900000000002</v>
      </c>
      <c r="E254" s="16">
        <v>139631.21788379209</v>
      </c>
    </row>
    <row r="255" spans="1:5" x14ac:dyDescent="0.25">
      <c r="A255" s="15">
        <v>53111</v>
      </c>
      <c r="B255" s="13" t="s">
        <v>260</v>
      </c>
      <c r="C255" s="16">
        <v>34392214</v>
      </c>
      <c r="D255" s="16">
        <v>756.49069999999995</v>
      </c>
      <c r="E255" s="16">
        <v>45462.837811489291</v>
      </c>
    </row>
    <row r="256" spans="1:5" x14ac:dyDescent="0.25">
      <c r="A256" s="15">
        <v>53112</v>
      </c>
      <c r="B256" s="13" t="s">
        <v>261</v>
      </c>
      <c r="C256" s="16">
        <v>8661476</v>
      </c>
      <c r="D256" s="16">
        <v>73.977099999999993</v>
      </c>
      <c r="E256" s="16">
        <v>117083.20547845213</v>
      </c>
    </row>
    <row r="257" spans="1:5" x14ac:dyDescent="0.25">
      <c r="A257" s="15">
        <v>53113</v>
      </c>
      <c r="B257" s="13" t="s">
        <v>262</v>
      </c>
      <c r="C257" s="16">
        <v>298035906</v>
      </c>
      <c r="D257" s="16">
        <v>4118.1181999999999</v>
      </c>
      <c r="E257" s="16">
        <v>72371.867810885087</v>
      </c>
    </row>
    <row r="258" spans="1:5" x14ac:dyDescent="0.25">
      <c r="A258" s="15">
        <v>53114</v>
      </c>
      <c r="B258" s="13" t="s">
        <v>263</v>
      </c>
      <c r="C258" s="16">
        <v>28857880</v>
      </c>
      <c r="D258" s="16">
        <v>603.2183</v>
      </c>
      <c r="E258" s="16">
        <v>47839.861622235265</v>
      </c>
    </row>
    <row r="259" spans="1:5" x14ac:dyDescent="0.25">
      <c r="A259" s="15">
        <v>54037</v>
      </c>
      <c r="B259" s="13" t="s">
        <v>264</v>
      </c>
      <c r="C259" s="16">
        <v>50631808</v>
      </c>
      <c r="D259" s="16">
        <v>408.99759999999998</v>
      </c>
      <c r="E259" s="16">
        <v>123794.87801395412</v>
      </c>
    </row>
    <row r="260" spans="1:5" x14ac:dyDescent="0.25">
      <c r="A260" s="15">
        <v>54039</v>
      </c>
      <c r="B260" s="13" t="s">
        <v>265</v>
      </c>
      <c r="C260" s="16">
        <v>67662097</v>
      </c>
      <c r="D260" s="16">
        <v>949.44460000000004</v>
      </c>
      <c r="E260" s="16">
        <v>71264.923724880835</v>
      </c>
    </row>
    <row r="261" spans="1:5" x14ac:dyDescent="0.25">
      <c r="A261" s="15">
        <v>54041</v>
      </c>
      <c r="B261" s="13" t="s">
        <v>266</v>
      </c>
      <c r="C261" s="16">
        <v>124637550</v>
      </c>
      <c r="D261" s="16">
        <v>1990.2545</v>
      </c>
      <c r="E261" s="16">
        <v>62623.925734120938</v>
      </c>
    </row>
    <row r="262" spans="1:5" x14ac:dyDescent="0.25">
      <c r="A262" s="15">
        <v>54042</v>
      </c>
      <c r="B262" s="13" t="s">
        <v>267</v>
      </c>
      <c r="C262" s="16">
        <v>31519202</v>
      </c>
      <c r="D262" s="16">
        <v>323.13560000000001</v>
      </c>
      <c r="E262" s="16">
        <v>97541.71932773733</v>
      </c>
    </row>
    <row r="263" spans="1:5" x14ac:dyDescent="0.25">
      <c r="A263" s="15">
        <v>54043</v>
      </c>
      <c r="B263" s="13" t="s">
        <v>268</v>
      </c>
      <c r="C263" s="16">
        <v>26023972</v>
      </c>
      <c r="D263" s="16">
        <v>381.87549999999999</v>
      </c>
      <c r="E263" s="16">
        <v>68147.791623186087</v>
      </c>
    </row>
    <row r="264" spans="1:5" x14ac:dyDescent="0.25">
      <c r="A264" s="15">
        <v>54045</v>
      </c>
      <c r="B264" s="13" t="s">
        <v>269</v>
      </c>
      <c r="C264" s="16">
        <v>53586358</v>
      </c>
      <c r="D264" s="16">
        <v>871.49220000000003</v>
      </c>
      <c r="E264" s="16">
        <v>61488.052331392064</v>
      </c>
    </row>
    <row r="265" spans="1:5" x14ac:dyDescent="0.25">
      <c r="A265" s="15">
        <v>55104</v>
      </c>
      <c r="B265" s="13" t="s">
        <v>270</v>
      </c>
      <c r="C265" s="16">
        <v>42655540</v>
      </c>
      <c r="D265" s="16">
        <v>471.81119999999999</v>
      </c>
      <c r="E265" s="16">
        <v>90408.070007664079</v>
      </c>
    </row>
    <row r="266" spans="1:5" x14ac:dyDescent="0.25">
      <c r="A266" s="15">
        <v>55105</v>
      </c>
      <c r="B266" s="13" t="s">
        <v>271</v>
      </c>
      <c r="C266" s="16">
        <v>37398261</v>
      </c>
      <c r="D266" s="16">
        <v>631.43150000000003</v>
      </c>
      <c r="E266" s="16">
        <v>59227.740459574787</v>
      </c>
    </row>
    <row r="267" spans="1:5" x14ac:dyDescent="0.25">
      <c r="A267" s="15">
        <v>55106</v>
      </c>
      <c r="B267" s="13" t="s">
        <v>272</v>
      </c>
      <c r="C267" s="16">
        <v>36687694</v>
      </c>
      <c r="D267" s="16">
        <v>666.12829999999997</v>
      </c>
      <c r="E267" s="16">
        <v>55076.017638043602</v>
      </c>
    </row>
    <row r="268" spans="1:5" x14ac:dyDescent="0.25">
      <c r="A268" s="15">
        <v>55108</v>
      </c>
      <c r="B268" s="13" t="s">
        <v>273</v>
      </c>
      <c r="C268" s="16">
        <v>102405744</v>
      </c>
      <c r="D268" s="16">
        <v>1388.2465</v>
      </c>
      <c r="E268" s="16">
        <v>73766.254047822207</v>
      </c>
    </row>
    <row r="269" spans="1:5" x14ac:dyDescent="0.25">
      <c r="A269" s="15">
        <v>55110</v>
      </c>
      <c r="B269" s="13" t="s">
        <v>274</v>
      </c>
      <c r="C269" s="16">
        <v>108890764</v>
      </c>
      <c r="D269" s="16">
        <v>1940.3615</v>
      </c>
      <c r="E269" s="16">
        <v>56118.802604566212</v>
      </c>
    </row>
    <row r="270" spans="1:5" x14ac:dyDescent="0.25">
      <c r="A270" s="15">
        <v>55111</v>
      </c>
      <c r="B270" s="13" t="s">
        <v>275</v>
      </c>
      <c r="C270" s="16">
        <v>24723972</v>
      </c>
      <c r="D270" s="16">
        <v>377.4522</v>
      </c>
      <c r="E270" s="16">
        <v>65502.259623867605</v>
      </c>
    </row>
    <row r="271" spans="1:5" x14ac:dyDescent="0.25">
      <c r="A271" s="15">
        <v>56015</v>
      </c>
      <c r="B271" s="13" t="s">
        <v>276</v>
      </c>
      <c r="C271" s="16">
        <v>35993620</v>
      </c>
      <c r="D271" s="16">
        <v>495.58429999999998</v>
      </c>
      <c r="E271" s="16">
        <v>72628.652683307359</v>
      </c>
    </row>
    <row r="272" spans="1:5" x14ac:dyDescent="0.25">
      <c r="A272" s="15">
        <v>56017</v>
      </c>
      <c r="B272" s="13" t="s">
        <v>277</v>
      </c>
      <c r="C272" s="16">
        <v>72085384</v>
      </c>
      <c r="D272" s="16">
        <v>970.12860000000001</v>
      </c>
      <c r="E272" s="16">
        <v>74304.977711202417</v>
      </c>
    </row>
    <row r="273" spans="1:5" x14ac:dyDescent="0.25">
      <c r="A273" s="15">
        <v>57001</v>
      </c>
      <c r="B273" s="13" t="s">
        <v>278</v>
      </c>
      <c r="C273" s="16">
        <v>29892545</v>
      </c>
      <c r="D273" s="16">
        <v>360.49209999999999</v>
      </c>
      <c r="E273" s="16">
        <v>82921.498141013362</v>
      </c>
    </row>
    <row r="274" spans="1:5" x14ac:dyDescent="0.25">
      <c r="A274" s="15">
        <v>57002</v>
      </c>
      <c r="B274" s="13" t="s">
        <v>279</v>
      </c>
      <c r="C274" s="16">
        <v>43739595</v>
      </c>
      <c r="D274" s="16">
        <v>755.53689999999995</v>
      </c>
      <c r="E274" s="16">
        <v>57892.069864489749</v>
      </c>
    </row>
    <row r="275" spans="1:5" x14ac:dyDescent="0.25">
      <c r="A275" s="15">
        <v>57003</v>
      </c>
      <c r="B275" s="13" t="s">
        <v>280</v>
      </c>
      <c r="C275" s="16">
        <v>420127812</v>
      </c>
      <c r="D275" s="16">
        <v>5704.1989000000003</v>
      </c>
      <c r="E275" s="16">
        <v>73652.37772476692</v>
      </c>
    </row>
    <row r="276" spans="1:5" x14ac:dyDescent="0.25">
      <c r="A276" s="15">
        <v>57004</v>
      </c>
      <c r="B276" s="13" t="s">
        <v>281</v>
      </c>
      <c r="C276" s="16">
        <v>94051552</v>
      </c>
      <c r="D276" s="16">
        <v>1410.9837</v>
      </c>
      <c r="E276" s="16">
        <v>66656.724666627968</v>
      </c>
    </row>
    <row r="277" spans="1:5" x14ac:dyDescent="0.25">
      <c r="A277" s="15">
        <v>58106</v>
      </c>
      <c r="B277" s="13" t="s">
        <v>282</v>
      </c>
      <c r="C277" s="16">
        <v>17319641</v>
      </c>
      <c r="D277" s="16">
        <v>223.9248</v>
      </c>
      <c r="E277" s="16">
        <v>77345.791980164766</v>
      </c>
    </row>
    <row r="278" spans="1:5" x14ac:dyDescent="0.25">
      <c r="A278" s="15">
        <v>58107</v>
      </c>
      <c r="B278" s="13" t="s">
        <v>283</v>
      </c>
      <c r="C278" s="16">
        <v>10524394</v>
      </c>
      <c r="D278" s="16">
        <v>133.14070000000001</v>
      </c>
      <c r="E278" s="16">
        <v>79047.158382072492</v>
      </c>
    </row>
    <row r="279" spans="1:5" x14ac:dyDescent="0.25">
      <c r="A279" s="15">
        <v>58108</v>
      </c>
      <c r="B279" s="13" t="s">
        <v>284</v>
      </c>
      <c r="C279" s="16">
        <v>15890972</v>
      </c>
      <c r="D279" s="16">
        <v>225.0504</v>
      </c>
      <c r="E279" s="16">
        <v>70610.725419728202</v>
      </c>
    </row>
    <row r="280" spans="1:5" x14ac:dyDescent="0.25">
      <c r="A280" s="15">
        <v>58109</v>
      </c>
      <c r="B280" s="13" t="s">
        <v>285</v>
      </c>
      <c r="C280" s="16">
        <v>37312777</v>
      </c>
      <c r="D280" s="16">
        <v>633.17399999999998</v>
      </c>
      <c r="E280" s="16">
        <v>58929.736533717434</v>
      </c>
    </row>
    <row r="281" spans="1:5" x14ac:dyDescent="0.25">
      <c r="A281" s="15">
        <v>58112</v>
      </c>
      <c r="B281" s="13" t="s">
        <v>286</v>
      </c>
      <c r="C281" s="16">
        <v>57707544</v>
      </c>
      <c r="D281" s="16">
        <v>970.93939999999998</v>
      </c>
      <c r="E281" s="16">
        <v>59434.753600482174</v>
      </c>
    </row>
    <row r="282" spans="1:5" x14ac:dyDescent="0.25">
      <c r="A282" s="15">
        <v>59113</v>
      </c>
      <c r="B282" s="13" t="s">
        <v>287</v>
      </c>
      <c r="C282" s="16">
        <v>11152214</v>
      </c>
      <c r="D282" s="16">
        <v>151.52510000000001</v>
      </c>
      <c r="E282" s="16">
        <v>73599.779838455797</v>
      </c>
    </row>
    <row r="283" spans="1:5" x14ac:dyDescent="0.25">
      <c r="A283" s="15">
        <v>59114</v>
      </c>
      <c r="B283" s="13" t="s">
        <v>288</v>
      </c>
      <c r="C283" s="16">
        <v>6712876</v>
      </c>
      <c r="D283" s="16">
        <v>79.899500000000003</v>
      </c>
      <c r="E283" s="16">
        <v>84016.495722751701</v>
      </c>
    </row>
    <row r="284" spans="1:5" x14ac:dyDescent="0.25">
      <c r="A284" s="15">
        <v>59117</v>
      </c>
      <c r="B284" s="13" t="s">
        <v>289</v>
      </c>
      <c r="C284" s="16">
        <v>137171946</v>
      </c>
      <c r="D284" s="16">
        <v>1788.443</v>
      </c>
      <c r="E284" s="16">
        <v>76699.08741849754</v>
      </c>
    </row>
    <row r="285" spans="1:5" x14ac:dyDescent="0.25">
      <c r="A285" s="15">
        <v>60077</v>
      </c>
      <c r="B285" s="13" t="s">
        <v>290</v>
      </c>
      <c r="C285" s="16">
        <v>205850980</v>
      </c>
      <c r="D285" s="16">
        <v>3700.2141000000001</v>
      </c>
      <c r="E285" s="16">
        <v>55632.180851372897</v>
      </c>
    </row>
    <row r="286" spans="1:5" x14ac:dyDescent="0.25">
      <c r="A286" s="15">
        <v>61150</v>
      </c>
      <c r="B286" s="13" t="s">
        <v>291</v>
      </c>
      <c r="C286" s="16">
        <v>14045793</v>
      </c>
      <c r="D286" s="16">
        <v>181.01910000000001</v>
      </c>
      <c r="E286" s="16">
        <v>77592.878320575008</v>
      </c>
    </row>
    <row r="287" spans="1:5" x14ac:dyDescent="0.25">
      <c r="A287" s="15">
        <v>61151</v>
      </c>
      <c r="B287" s="13" t="s">
        <v>292</v>
      </c>
      <c r="C287" s="16">
        <v>12028838</v>
      </c>
      <c r="D287" s="16">
        <v>190.28880000000001</v>
      </c>
      <c r="E287" s="16">
        <v>63213.589028886614</v>
      </c>
    </row>
    <row r="288" spans="1:5" x14ac:dyDescent="0.25">
      <c r="A288" s="15">
        <v>61154</v>
      </c>
      <c r="B288" s="13" t="s">
        <v>293</v>
      </c>
      <c r="C288" s="16">
        <v>24443935</v>
      </c>
      <c r="D288" s="16">
        <v>332.56049999999999</v>
      </c>
      <c r="E288" s="16">
        <v>73502.219896830808</v>
      </c>
    </row>
    <row r="289" spans="1:5" x14ac:dyDescent="0.25">
      <c r="A289" s="15">
        <v>61156</v>
      </c>
      <c r="B289" s="13" t="s">
        <v>294</v>
      </c>
      <c r="C289" s="16">
        <v>99713148</v>
      </c>
      <c r="D289" s="16">
        <v>1340.8508999999999</v>
      </c>
      <c r="E289" s="16">
        <v>74365.574874879836</v>
      </c>
    </row>
    <row r="290" spans="1:5" x14ac:dyDescent="0.25">
      <c r="A290" s="15">
        <v>61157</v>
      </c>
      <c r="B290" s="13" t="s">
        <v>295</v>
      </c>
      <c r="C290" s="16">
        <v>5901900</v>
      </c>
      <c r="D290" s="16">
        <v>90.143500000000003</v>
      </c>
      <c r="E290" s="16">
        <v>65472.2747619074</v>
      </c>
    </row>
    <row r="291" spans="1:5" x14ac:dyDescent="0.25">
      <c r="A291" s="15">
        <v>61158</v>
      </c>
      <c r="B291" s="13" t="s">
        <v>296</v>
      </c>
      <c r="C291" s="16">
        <v>11373743</v>
      </c>
      <c r="D291" s="16">
        <v>90.621499999999997</v>
      </c>
      <c r="E291" s="16">
        <v>125508.21824842891</v>
      </c>
    </row>
    <row r="292" spans="1:5" x14ac:dyDescent="0.25">
      <c r="A292" s="15">
        <v>62070</v>
      </c>
      <c r="B292" s="13" t="s">
        <v>297</v>
      </c>
      <c r="C292" s="16">
        <v>10369117</v>
      </c>
      <c r="D292" s="16">
        <v>162.04669999999999</v>
      </c>
      <c r="E292" s="16">
        <v>63988.449008835116</v>
      </c>
    </row>
    <row r="293" spans="1:5" x14ac:dyDescent="0.25">
      <c r="A293" s="15">
        <v>62072</v>
      </c>
      <c r="B293" s="13" t="s">
        <v>298</v>
      </c>
      <c r="C293" s="16">
        <v>97452470</v>
      </c>
      <c r="D293" s="16">
        <v>1802.3939</v>
      </c>
      <c r="E293" s="16">
        <v>54068.353205145664</v>
      </c>
    </row>
    <row r="294" spans="1:5" x14ac:dyDescent="0.25">
      <c r="A294" s="15">
        <v>63066</v>
      </c>
      <c r="B294" s="13" t="s">
        <v>299</v>
      </c>
      <c r="C294" s="16">
        <v>47911180</v>
      </c>
      <c r="D294" s="16">
        <v>478.52699999999999</v>
      </c>
      <c r="E294" s="16">
        <v>100122.20836023882</v>
      </c>
    </row>
    <row r="295" spans="1:5" x14ac:dyDescent="0.25">
      <c r="A295" s="15">
        <v>63067</v>
      </c>
      <c r="B295" s="13" t="s">
        <v>300</v>
      </c>
      <c r="C295" s="16">
        <v>60325214</v>
      </c>
      <c r="D295" s="16">
        <v>746.53390000000002</v>
      </c>
      <c r="E295" s="16">
        <v>80807.065827821076</v>
      </c>
    </row>
    <row r="296" spans="1:5" x14ac:dyDescent="0.25">
      <c r="A296" s="15">
        <v>64072</v>
      </c>
      <c r="B296" s="13" t="s">
        <v>301</v>
      </c>
      <c r="C296" s="16">
        <v>14674050</v>
      </c>
      <c r="D296" s="16">
        <v>212.88560000000001</v>
      </c>
      <c r="E296" s="16">
        <v>68929.274690256178</v>
      </c>
    </row>
    <row r="297" spans="1:5" x14ac:dyDescent="0.25">
      <c r="A297" s="15">
        <v>64074</v>
      </c>
      <c r="B297" s="13" t="s">
        <v>302</v>
      </c>
      <c r="C297" s="16">
        <v>119399495</v>
      </c>
      <c r="D297" s="16">
        <v>1119.7101</v>
      </c>
      <c r="E297" s="16">
        <v>106634.29310854658</v>
      </c>
    </row>
    <row r="298" spans="1:5" x14ac:dyDescent="0.25">
      <c r="A298" s="15">
        <v>64075</v>
      </c>
      <c r="B298" s="13" t="s">
        <v>303</v>
      </c>
      <c r="C298" s="16">
        <v>291698150</v>
      </c>
      <c r="D298" s="16">
        <v>3395.4459000000002</v>
      </c>
      <c r="E298" s="16">
        <v>85908.643103399168</v>
      </c>
    </row>
    <row r="299" spans="1:5" x14ac:dyDescent="0.25">
      <c r="A299" s="15">
        <v>65096</v>
      </c>
      <c r="B299" s="13" t="s">
        <v>304</v>
      </c>
      <c r="C299" s="16">
        <v>13277993</v>
      </c>
      <c r="D299" s="16">
        <v>202.10579999999999</v>
      </c>
      <c r="E299" s="16">
        <v>65698.228353664279</v>
      </c>
    </row>
    <row r="300" spans="1:5" x14ac:dyDescent="0.25">
      <c r="A300" s="15">
        <v>65098</v>
      </c>
      <c r="B300" s="13" t="s">
        <v>305</v>
      </c>
      <c r="C300" s="16">
        <v>36285760</v>
      </c>
      <c r="D300" s="16">
        <v>337.6694</v>
      </c>
      <c r="E300" s="16">
        <v>107459.42629092242</v>
      </c>
    </row>
    <row r="301" spans="1:5" x14ac:dyDescent="0.25">
      <c r="A301" s="15">
        <v>66102</v>
      </c>
      <c r="B301" s="13" t="s">
        <v>306</v>
      </c>
      <c r="C301" s="16">
        <v>170171113</v>
      </c>
      <c r="D301" s="16">
        <v>1766.729</v>
      </c>
      <c r="E301" s="16">
        <v>96319.873053535659</v>
      </c>
    </row>
    <row r="302" spans="1:5" x14ac:dyDescent="0.25">
      <c r="A302" s="15">
        <v>66103</v>
      </c>
      <c r="B302" s="13" t="s">
        <v>307</v>
      </c>
      <c r="C302" s="16">
        <v>10661363</v>
      </c>
      <c r="D302" s="16">
        <v>204.1131</v>
      </c>
      <c r="E302" s="16">
        <v>52232.624951558719</v>
      </c>
    </row>
    <row r="303" spans="1:5" x14ac:dyDescent="0.25">
      <c r="A303" s="15">
        <v>66104</v>
      </c>
      <c r="B303" s="13" t="s">
        <v>308</v>
      </c>
      <c r="C303" s="16">
        <v>15292591</v>
      </c>
      <c r="D303" s="16">
        <v>242.48480000000001</v>
      </c>
      <c r="E303" s="16">
        <v>63066.18394225122</v>
      </c>
    </row>
    <row r="304" spans="1:5" x14ac:dyDescent="0.25">
      <c r="A304" s="15">
        <v>66105</v>
      </c>
      <c r="B304" s="13" t="s">
        <v>309</v>
      </c>
      <c r="C304" s="16">
        <v>532708706</v>
      </c>
      <c r="D304" s="16">
        <v>1751.6502</v>
      </c>
      <c r="E304" s="16">
        <v>304118.20008355548</v>
      </c>
    </row>
    <row r="305" spans="1:5" x14ac:dyDescent="0.25">
      <c r="A305" s="15">
        <v>66107</v>
      </c>
      <c r="B305" s="13" t="s">
        <v>310</v>
      </c>
      <c r="C305" s="16">
        <v>32958638</v>
      </c>
      <c r="D305" s="16">
        <v>691.47029999999995</v>
      </c>
      <c r="E305" s="16">
        <v>47664.575036700786</v>
      </c>
    </row>
    <row r="306" spans="1:5" x14ac:dyDescent="0.25">
      <c r="A306" s="15">
        <v>67055</v>
      </c>
      <c r="B306" s="13" t="s">
        <v>311</v>
      </c>
      <c r="C306" s="16">
        <v>64713336</v>
      </c>
      <c r="D306" s="16">
        <v>1057.4604999999999</v>
      </c>
      <c r="E306" s="16">
        <v>61196.929814399693</v>
      </c>
    </row>
    <row r="307" spans="1:5" x14ac:dyDescent="0.25">
      <c r="A307" s="15">
        <v>67061</v>
      </c>
      <c r="B307" s="13" t="s">
        <v>312</v>
      </c>
      <c r="C307" s="16">
        <v>80388038</v>
      </c>
      <c r="D307" s="16">
        <v>437.26119999999997</v>
      </c>
      <c r="E307" s="16">
        <v>183844.43440213767</v>
      </c>
    </row>
    <row r="308" spans="1:5" x14ac:dyDescent="0.25">
      <c r="A308" s="15">
        <v>68070</v>
      </c>
      <c r="B308" s="13" t="s">
        <v>313</v>
      </c>
      <c r="C308" s="16">
        <v>83570589</v>
      </c>
      <c r="D308" s="16">
        <v>1232.018</v>
      </c>
      <c r="E308" s="16">
        <v>67832.279236179995</v>
      </c>
    </row>
    <row r="309" spans="1:5" x14ac:dyDescent="0.25">
      <c r="A309" s="15">
        <v>68071</v>
      </c>
      <c r="B309" s="13" t="s">
        <v>314</v>
      </c>
      <c r="C309" s="16">
        <v>9605005</v>
      </c>
      <c r="D309" s="16">
        <v>94.530600000000007</v>
      </c>
      <c r="E309" s="16">
        <v>101607.36311839764</v>
      </c>
    </row>
    <row r="310" spans="1:5" x14ac:dyDescent="0.25">
      <c r="A310" s="15">
        <v>68072</v>
      </c>
      <c r="B310" s="13" t="s">
        <v>315</v>
      </c>
      <c r="C310" s="16">
        <v>8910198</v>
      </c>
      <c r="D310" s="16">
        <v>75.543700000000001</v>
      </c>
      <c r="E310" s="16">
        <v>117947.59854230068</v>
      </c>
    </row>
    <row r="311" spans="1:5" x14ac:dyDescent="0.25">
      <c r="A311" s="15">
        <v>68073</v>
      </c>
      <c r="B311" s="13" t="s">
        <v>316</v>
      </c>
      <c r="C311" s="16">
        <v>42910901</v>
      </c>
      <c r="D311" s="16">
        <v>538.01289999999995</v>
      </c>
      <c r="E311" s="16">
        <v>79758.126617410118</v>
      </c>
    </row>
    <row r="312" spans="1:5" x14ac:dyDescent="0.25">
      <c r="A312" s="15">
        <v>68074</v>
      </c>
      <c r="B312" s="13" t="s">
        <v>317</v>
      </c>
      <c r="C312" s="16">
        <v>15542355</v>
      </c>
      <c r="D312" s="16">
        <v>214.91550000000001</v>
      </c>
      <c r="E312" s="16">
        <v>72318.446086950455</v>
      </c>
    </row>
    <row r="313" spans="1:5" x14ac:dyDescent="0.25">
      <c r="A313" s="15">
        <v>68075</v>
      </c>
      <c r="B313" s="13" t="s">
        <v>318</v>
      </c>
      <c r="C313" s="16">
        <v>6597412</v>
      </c>
      <c r="D313" s="16">
        <v>96.001199999999997</v>
      </c>
      <c r="E313" s="16">
        <v>68722.182639383682</v>
      </c>
    </row>
    <row r="314" spans="1:5" x14ac:dyDescent="0.25">
      <c r="A314" s="15">
        <v>69104</v>
      </c>
      <c r="B314" s="13" t="s">
        <v>319</v>
      </c>
      <c r="C314" s="16">
        <v>4087902</v>
      </c>
      <c r="D314" s="16">
        <v>53.3857</v>
      </c>
      <c r="E314" s="16">
        <v>76572.977407807703</v>
      </c>
    </row>
    <row r="315" spans="1:5" x14ac:dyDescent="0.25">
      <c r="A315" s="15">
        <v>69106</v>
      </c>
      <c r="B315" s="13" t="s">
        <v>320</v>
      </c>
      <c r="C315" s="16">
        <v>73484365</v>
      </c>
      <c r="D315" s="16">
        <v>646.98339999999996</v>
      </c>
      <c r="E315" s="16">
        <v>113579.98520518457</v>
      </c>
    </row>
    <row r="316" spans="1:5" x14ac:dyDescent="0.25">
      <c r="A316" s="15">
        <v>69107</v>
      </c>
      <c r="B316" s="13" t="s">
        <v>321</v>
      </c>
      <c r="C316" s="16">
        <v>7124377</v>
      </c>
      <c r="D316" s="16">
        <v>82.364199999999997</v>
      </c>
      <c r="E316" s="16">
        <v>86498.466566785093</v>
      </c>
    </row>
    <row r="317" spans="1:5" x14ac:dyDescent="0.25">
      <c r="A317" s="15">
        <v>69108</v>
      </c>
      <c r="B317" s="13" t="s">
        <v>322</v>
      </c>
      <c r="C317" s="16">
        <v>12755959</v>
      </c>
      <c r="D317" s="16">
        <v>216.91370000000001</v>
      </c>
      <c r="E317" s="16">
        <v>58806.608342396074</v>
      </c>
    </row>
    <row r="318" spans="1:5" x14ac:dyDescent="0.25">
      <c r="A318" s="15">
        <v>69109</v>
      </c>
      <c r="B318" s="13" t="s">
        <v>323</v>
      </c>
      <c r="C318" s="16">
        <v>39929860</v>
      </c>
      <c r="D318" s="16">
        <v>354.91289999999998</v>
      </c>
      <c r="E318" s="16">
        <v>112506.08247826439</v>
      </c>
    </row>
    <row r="319" spans="1:5" x14ac:dyDescent="0.25">
      <c r="A319" s="15">
        <v>70092</v>
      </c>
      <c r="B319" s="13" t="s">
        <v>324</v>
      </c>
      <c r="C319" s="16">
        <v>28687580</v>
      </c>
      <c r="D319" s="16">
        <v>352.35669999999999</v>
      </c>
      <c r="E319" s="16">
        <v>81416.303422072015</v>
      </c>
    </row>
    <row r="320" spans="1:5" x14ac:dyDescent="0.25">
      <c r="A320" s="15">
        <v>70093</v>
      </c>
      <c r="B320" s="13" t="s">
        <v>325</v>
      </c>
      <c r="C320" s="16">
        <v>123211486</v>
      </c>
      <c r="D320" s="16">
        <v>1196.1631</v>
      </c>
      <c r="E320" s="16">
        <v>103005.59012395551</v>
      </c>
    </row>
    <row r="321" spans="1:5" x14ac:dyDescent="0.25">
      <c r="A321" s="15">
        <v>71091</v>
      </c>
      <c r="B321" s="13" t="s">
        <v>326</v>
      </c>
      <c r="C321" s="16">
        <v>79980676</v>
      </c>
      <c r="D321" s="16">
        <v>557.32410000000004</v>
      </c>
      <c r="E321" s="16">
        <v>143508.375108846</v>
      </c>
    </row>
    <row r="322" spans="1:5" x14ac:dyDescent="0.25">
      <c r="A322" s="15">
        <v>71092</v>
      </c>
      <c r="B322" s="13" t="s">
        <v>327</v>
      </c>
      <c r="C322" s="16">
        <v>242613092</v>
      </c>
      <c r="D322" s="16">
        <v>1280.1027999999999</v>
      </c>
      <c r="E322" s="16">
        <v>189526.25679750097</v>
      </c>
    </row>
    <row r="323" spans="1:5" x14ac:dyDescent="0.25">
      <c r="A323" s="15">
        <v>72066</v>
      </c>
      <c r="B323" s="13" t="s">
        <v>328</v>
      </c>
      <c r="C323" s="16">
        <v>10317837</v>
      </c>
      <c r="D323" s="16">
        <v>163.54069999999999</v>
      </c>
      <c r="E323" s="16">
        <v>63090.33164221506</v>
      </c>
    </row>
    <row r="324" spans="1:5" x14ac:dyDescent="0.25">
      <c r="A324" s="15">
        <v>72068</v>
      </c>
      <c r="B324" s="13" t="s">
        <v>329</v>
      </c>
      <c r="C324" s="16">
        <v>48787809</v>
      </c>
      <c r="D324" s="16">
        <v>706.5489</v>
      </c>
      <c r="E324" s="16">
        <v>69050.859749410127</v>
      </c>
    </row>
    <row r="325" spans="1:5" x14ac:dyDescent="0.25">
      <c r="A325" s="15">
        <v>72073</v>
      </c>
      <c r="B325" s="13" t="s">
        <v>330</v>
      </c>
      <c r="C325" s="16">
        <v>14045684</v>
      </c>
      <c r="D325" s="16">
        <v>278.3997</v>
      </c>
      <c r="E325" s="16">
        <v>50451.505515271747</v>
      </c>
    </row>
    <row r="326" spans="1:5" x14ac:dyDescent="0.25">
      <c r="A326" s="15">
        <v>72074</v>
      </c>
      <c r="B326" s="13" t="s">
        <v>331</v>
      </c>
      <c r="C326" s="16">
        <v>298927283</v>
      </c>
      <c r="D326" s="16">
        <v>1338.6456000000001</v>
      </c>
      <c r="E326" s="16">
        <v>223305.76741147917</v>
      </c>
    </row>
    <row r="327" spans="1:5" x14ac:dyDescent="0.25">
      <c r="A327" s="15">
        <v>73099</v>
      </c>
      <c r="B327" s="13" t="s">
        <v>332</v>
      </c>
      <c r="C327" s="16">
        <v>66433128</v>
      </c>
      <c r="D327" s="16">
        <v>1372.2961</v>
      </c>
      <c r="E327" s="16">
        <v>48410.199518893918</v>
      </c>
    </row>
    <row r="328" spans="1:5" x14ac:dyDescent="0.25">
      <c r="A328" s="15">
        <v>73102</v>
      </c>
      <c r="B328" s="13" t="s">
        <v>333</v>
      </c>
      <c r="C328" s="16">
        <v>65137135</v>
      </c>
      <c r="D328" s="16">
        <v>811.17150000000004</v>
      </c>
      <c r="E328" s="16">
        <v>80300.078343482237</v>
      </c>
    </row>
    <row r="329" spans="1:5" x14ac:dyDescent="0.25">
      <c r="A329" s="15">
        <v>73105</v>
      </c>
      <c r="B329" s="13" t="s">
        <v>334</v>
      </c>
      <c r="C329" s="16">
        <v>8047715</v>
      </c>
      <c r="D329" s="16">
        <v>163.10669999999999</v>
      </c>
      <c r="E329" s="16">
        <v>49340.186515943249</v>
      </c>
    </row>
    <row r="330" spans="1:5" x14ac:dyDescent="0.25">
      <c r="A330" s="15">
        <v>73106</v>
      </c>
      <c r="B330" s="13" t="s">
        <v>335</v>
      </c>
      <c r="C330" s="16">
        <v>85079197</v>
      </c>
      <c r="D330" s="16">
        <v>1435.3443</v>
      </c>
      <c r="E330" s="16">
        <v>59274.41729486089</v>
      </c>
    </row>
    <row r="331" spans="1:5" x14ac:dyDescent="0.25">
      <c r="A331" s="15">
        <v>73108</v>
      </c>
      <c r="B331" s="13" t="s">
        <v>336</v>
      </c>
      <c r="C331" s="16">
        <v>276654461</v>
      </c>
      <c r="D331" s="16">
        <v>4337.0263999999997</v>
      </c>
      <c r="E331" s="16">
        <v>63788.973246738831</v>
      </c>
    </row>
    <row r="332" spans="1:5" x14ac:dyDescent="0.25">
      <c r="A332" s="15">
        <v>74187</v>
      </c>
      <c r="B332" s="13" t="s">
        <v>337</v>
      </c>
      <c r="C332" s="16">
        <v>24772584</v>
      </c>
      <c r="D332" s="16">
        <v>222.1335</v>
      </c>
      <c r="E332" s="16">
        <v>111521.15282026349</v>
      </c>
    </row>
    <row r="333" spans="1:5" x14ac:dyDescent="0.25">
      <c r="A333" s="15">
        <v>74190</v>
      </c>
      <c r="B333" s="13" t="s">
        <v>338</v>
      </c>
      <c r="C333" s="16">
        <v>24088204</v>
      </c>
      <c r="D333" s="16">
        <v>227.88929999999999</v>
      </c>
      <c r="E333" s="16">
        <v>105701.33832523072</v>
      </c>
    </row>
    <row r="334" spans="1:5" x14ac:dyDescent="0.25">
      <c r="A334" s="15">
        <v>74194</v>
      </c>
      <c r="B334" s="13" t="s">
        <v>339</v>
      </c>
      <c r="C334" s="16">
        <v>14480424</v>
      </c>
      <c r="D334" s="16">
        <v>204.14590000000001</v>
      </c>
      <c r="E334" s="16">
        <v>70931.740485603674</v>
      </c>
    </row>
    <row r="335" spans="1:5" x14ac:dyDescent="0.25">
      <c r="A335" s="15">
        <v>74195</v>
      </c>
      <c r="B335" s="13" t="s">
        <v>340</v>
      </c>
      <c r="C335" s="16">
        <v>13859982</v>
      </c>
      <c r="D335" s="16">
        <v>135.7603</v>
      </c>
      <c r="E335" s="16">
        <v>102091.56874285045</v>
      </c>
    </row>
    <row r="336" spans="1:5" x14ac:dyDescent="0.25">
      <c r="A336" s="15">
        <v>74197</v>
      </c>
      <c r="B336" s="13" t="s">
        <v>341</v>
      </c>
      <c r="C336" s="16">
        <v>15602010</v>
      </c>
      <c r="D336" s="16">
        <v>222.49119999999999</v>
      </c>
      <c r="E336" s="16">
        <v>70124.1667086159</v>
      </c>
    </row>
    <row r="337" spans="1:5" x14ac:dyDescent="0.25">
      <c r="A337" s="15">
        <v>74201</v>
      </c>
      <c r="B337" s="13" t="s">
        <v>342</v>
      </c>
      <c r="C337" s="16">
        <v>194390498</v>
      </c>
      <c r="D337" s="16">
        <v>1351.3354999999999</v>
      </c>
      <c r="E337" s="16">
        <v>143850.65588819358</v>
      </c>
    </row>
    <row r="338" spans="1:5" x14ac:dyDescent="0.25">
      <c r="A338" s="15">
        <v>74202</v>
      </c>
      <c r="B338" s="13" t="s">
        <v>343</v>
      </c>
      <c r="C338" s="16">
        <v>13822547</v>
      </c>
      <c r="D338" s="16">
        <v>158.9624</v>
      </c>
      <c r="E338" s="16">
        <v>86954.820762645759</v>
      </c>
    </row>
    <row r="339" spans="1:5" x14ac:dyDescent="0.25">
      <c r="A339" s="15">
        <v>75084</v>
      </c>
      <c r="B339" s="13" t="s">
        <v>344</v>
      </c>
      <c r="C339" s="16">
        <v>10131854</v>
      </c>
      <c r="D339" s="16">
        <v>122.2859</v>
      </c>
      <c r="E339" s="16">
        <v>82853.820432282053</v>
      </c>
    </row>
    <row r="340" spans="1:5" x14ac:dyDescent="0.25">
      <c r="A340" s="15">
        <v>75085</v>
      </c>
      <c r="B340" s="13" t="s">
        <v>345</v>
      </c>
      <c r="C340" s="16">
        <v>28805993</v>
      </c>
      <c r="D340" s="16">
        <v>622.29190000000006</v>
      </c>
      <c r="E340" s="16">
        <v>46290.162221298393</v>
      </c>
    </row>
    <row r="341" spans="1:5" x14ac:dyDescent="0.25">
      <c r="A341" s="15">
        <v>75086</v>
      </c>
      <c r="B341" s="13" t="s">
        <v>346</v>
      </c>
      <c r="C341" s="16">
        <v>12693629</v>
      </c>
      <c r="D341" s="16">
        <v>172.30670000000001</v>
      </c>
      <c r="E341" s="16">
        <v>73668.806842682257</v>
      </c>
    </row>
    <row r="342" spans="1:5" x14ac:dyDescent="0.25">
      <c r="A342" s="15">
        <v>75087</v>
      </c>
      <c r="B342" s="13" t="s">
        <v>347</v>
      </c>
      <c r="C342" s="16">
        <v>33295033</v>
      </c>
      <c r="D342" s="16">
        <v>674.71519999999998</v>
      </c>
      <c r="E342" s="16">
        <v>49346.795507200666</v>
      </c>
    </row>
    <row r="343" spans="1:5" x14ac:dyDescent="0.25">
      <c r="A343" s="15">
        <v>76081</v>
      </c>
      <c r="B343" s="13" t="s">
        <v>348</v>
      </c>
      <c r="C343" s="16">
        <v>14624100</v>
      </c>
      <c r="D343" s="16">
        <v>215.38239999999999</v>
      </c>
      <c r="E343" s="16">
        <v>67898.305525428266</v>
      </c>
    </row>
    <row r="344" spans="1:5" x14ac:dyDescent="0.25">
      <c r="A344" s="15">
        <v>76082</v>
      </c>
      <c r="B344" s="13" t="s">
        <v>349</v>
      </c>
      <c r="C344" s="16">
        <v>59042296</v>
      </c>
      <c r="D344" s="16">
        <v>607.03729999999996</v>
      </c>
      <c r="E344" s="16">
        <v>97263.044626746996</v>
      </c>
    </row>
    <row r="345" spans="1:5" x14ac:dyDescent="0.25">
      <c r="A345" s="15">
        <v>76083</v>
      </c>
      <c r="B345" s="13" t="s">
        <v>350</v>
      </c>
      <c r="C345" s="16">
        <v>81871142</v>
      </c>
      <c r="D345" s="16">
        <v>756.74580000000003</v>
      </c>
      <c r="E345" s="16">
        <v>108188.43262823526</v>
      </c>
    </row>
    <row r="346" spans="1:5" x14ac:dyDescent="0.25">
      <c r="A346" s="15">
        <v>77100</v>
      </c>
      <c r="B346" s="13" t="s">
        <v>351</v>
      </c>
      <c r="C346" s="16">
        <v>6208439</v>
      </c>
      <c r="D346" s="16">
        <v>88.027000000000001</v>
      </c>
      <c r="E346" s="16">
        <v>70528.803662512641</v>
      </c>
    </row>
    <row r="347" spans="1:5" x14ac:dyDescent="0.25">
      <c r="A347" s="15">
        <v>77101</v>
      </c>
      <c r="B347" s="13" t="s">
        <v>352</v>
      </c>
      <c r="C347" s="16">
        <v>13010140</v>
      </c>
      <c r="D347" s="16">
        <v>333.77609999999999</v>
      </c>
      <c r="E347" s="16">
        <v>38978.644666289772</v>
      </c>
    </row>
    <row r="348" spans="1:5" x14ac:dyDescent="0.25">
      <c r="A348" s="15">
        <v>77102</v>
      </c>
      <c r="B348" s="13" t="s">
        <v>353</v>
      </c>
      <c r="C348" s="16">
        <v>47028980</v>
      </c>
      <c r="D348" s="16">
        <v>597.44050000000004</v>
      </c>
      <c r="E348" s="16">
        <v>78717.42876487282</v>
      </c>
    </row>
    <row r="349" spans="1:5" x14ac:dyDescent="0.25">
      <c r="A349" s="15">
        <v>77103</v>
      </c>
      <c r="B349" s="13" t="s">
        <v>354</v>
      </c>
      <c r="C349" s="16">
        <v>15292729</v>
      </c>
      <c r="D349" s="16">
        <v>284.3381</v>
      </c>
      <c r="E349" s="16">
        <v>53783.608317000078</v>
      </c>
    </row>
    <row r="350" spans="1:5" x14ac:dyDescent="0.25">
      <c r="A350" s="15">
        <v>77104</v>
      </c>
      <c r="B350" s="13" t="s">
        <v>355</v>
      </c>
      <c r="C350" s="16">
        <v>22151888</v>
      </c>
      <c r="D350" s="16">
        <v>114.5367</v>
      </c>
      <c r="E350" s="16">
        <v>193404.28002552895</v>
      </c>
    </row>
    <row r="351" spans="1:5" x14ac:dyDescent="0.25">
      <c r="A351" s="15">
        <v>78001</v>
      </c>
      <c r="B351" s="13" t="s">
        <v>356</v>
      </c>
      <c r="C351" s="16">
        <v>19354727</v>
      </c>
      <c r="D351" s="16">
        <v>250.71430000000001</v>
      </c>
      <c r="E351" s="16">
        <v>77198.336911775667</v>
      </c>
    </row>
    <row r="352" spans="1:5" x14ac:dyDescent="0.25">
      <c r="A352" s="15">
        <v>78002</v>
      </c>
      <c r="B352" s="13" t="s">
        <v>357</v>
      </c>
      <c r="C352" s="16">
        <v>30546693</v>
      </c>
      <c r="D352" s="16">
        <v>701.58699999999999</v>
      </c>
      <c r="E352" s="16">
        <v>43539.422765815216</v>
      </c>
    </row>
    <row r="353" spans="1:5" x14ac:dyDescent="0.25">
      <c r="A353" s="15">
        <v>78003</v>
      </c>
      <c r="B353" s="13" t="s">
        <v>358</v>
      </c>
      <c r="C353" s="16">
        <v>11238737</v>
      </c>
      <c r="D353" s="16">
        <v>175.90100000000001</v>
      </c>
      <c r="E353" s="16">
        <v>63892.399702105155</v>
      </c>
    </row>
    <row r="354" spans="1:5" x14ac:dyDescent="0.25">
      <c r="A354" s="15">
        <v>78004</v>
      </c>
      <c r="B354" s="13" t="s">
        <v>359</v>
      </c>
      <c r="C354" s="16">
        <v>7879037</v>
      </c>
      <c r="D354" s="16">
        <v>210.1643</v>
      </c>
      <c r="E354" s="16">
        <v>37489.892431778375</v>
      </c>
    </row>
    <row r="355" spans="1:5" x14ac:dyDescent="0.25">
      <c r="A355" s="15">
        <v>78005</v>
      </c>
      <c r="B355" s="13" t="s">
        <v>360</v>
      </c>
      <c r="C355" s="16">
        <v>29688541</v>
      </c>
      <c r="D355" s="16">
        <v>638.07360000000006</v>
      </c>
      <c r="E355" s="16">
        <v>46528.395783809261</v>
      </c>
    </row>
    <row r="356" spans="1:5" x14ac:dyDescent="0.25">
      <c r="A356" s="15">
        <v>78009</v>
      </c>
      <c r="B356" s="13" t="s">
        <v>361</v>
      </c>
      <c r="C356" s="16">
        <v>11309890</v>
      </c>
      <c r="D356" s="16">
        <v>208.9864</v>
      </c>
      <c r="E356" s="16">
        <v>54117.827762954912</v>
      </c>
    </row>
    <row r="357" spans="1:5" x14ac:dyDescent="0.25">
      <c r="A357" s="15">
        <v>78012</v>
      </c>
      <c r="B357" s="13" t="s">
        <v>362</v>
      </c>
      <c r="C357" s="16">
        <v>50591503</v>
      </c>
      <c r="D357" s="16">
        <v>1046.4612999999999</v>
      </c>
      <c r="E357" s="16">
        <v>48345.316735554392</v>
      </c>
    </row>
    <row r="358" spans="1:5" x14ac:dyDescent="0.25">
      <c r="A358" s="15">
        <v>79077</v>
      </c>
      <c r="B358" s="13" t="s">
        <v>363</v>
      </c>
      <c r="C358" s="16">
        <v>289874880</v>
      </c>
      <c r="D358" s="16">
        <v>2197.0657999999999</v>
      </c>
      <c r="E358" s="16">
        <v>131937.27743611502</v>
      </c>
    </row>
    <row r="359" spans="1:5" x14ac:dyDescent="0.25">
      <c r="A359" s="15">
        <v>79078</v>
      </c>
      <c r="B359" s="13" t="s">
        <v>364</v>
      </c>
      <c r="C359" s="16">
        <v>16581603</v>
      </c>
      <c r="D359" s="16">
        <v>114.55200000000001</v>
      </c>
      <c r="E359" s="16">
        <v>144751.75466163838</v>
      </c>
    </row>
    <row r="360" spans="1:5" x14ac:dyDescent="0.25">
      <c r="A360" s="15">
        <v>80116</v>
      </c>
      <c r="B360" s="13" t="s">
        <v>365</v>
      </c>
      <c r="C360" s="16">
        <v>25276246</v>
      </c>
      <c r="D360" s="16">
        <v>297.74579999999997</v>
      </c>
      <c r="E360" s="16">
        <v>84892.032062249084</v>
      </c>
    </row>
    <row r="361" spans="1:5" x14ac:dyDescent="0.25">
      <c r="A361" s="15">
        <v>80118</v>
      </c>
      <c r="B361" s="13" t="s">
        <v>366</v>
      </c>
      <c r="C361" s="16">
        <v>19518344</v>
      </c>
      <c r="D361" s="16">
        <v>327.85939999999999</v>
      </c>
      <c r="E361" s="16">
        <v>59532.665526747136</v>
      </c>
    </row>
    <row r="362" spans="1:5" x14ac:dyDescent="0.25">
      <c r="A362" s="15">
        <v>80119</v>
      </c>
      <c r="B362" s="13" t="s">
        <v>367</v>
      </c>
      <c r="C362" s="16">
        <v>37913648</v>
      </c>
      <c r="D362" s="16">
        <v>553.6404</v>
      </c>
      <c r="E362" s="16">
        <v>68480.638334919204</v>
      </c>
    </row>
    <row r="363" spans="1:5" x14ac:dyDescent="0.25">
      <c r="A363" s="15">
        <v>80121</v>
      </c>
      <c r="B363" s="13" t="s">
        <v>368</v>
      </c>
      <c r="C363" s="16">
        <v>24824420</v>
      </c>
      <c r="D363" s="16">
        <v>348.58580000000001</v>
      </c>
      <c r="E363" s="16">
        <v>71214.662215156204</v>
      </c>
    </row>
    <row r="364" spans="1:5" x14ac:dyDescent="0.25">
      <c r="A364" s="15">
        <v>80122</v>
      </c>
      <c r="B364" s="13" t="s">
        <v>369</v>
      </c>
      <c r="C364" s="16">
        <v>50955145</v>
      </c>
      <c r="D364" s="16">
        <v>189.27029999999999</v>
      </c>
      <c r="E364" s="16">
        <v>269218.91601587785</v>
      </c>
    </row>
    <row r="365" spans="1:5" x14ac:dyDescent="0.25">
      <c r="A365" s="15">
        <v>80125</v>
      </c>
      <c r="B365" s="13" t="s">
        <v>370</v>
      </c>
      <c r="C365" s="16">
        <v>349653450</v>
      </c>
      <c r="D365" s="16">
        <v>4438.2403000000004</v>
      </c>
      <c r="E365" s="16">
        <v>78782.000605059613</v>
      </c>
    </row>
    <row r="366" spans="1:5" x14ac:dyDescent="0.25">
      <c r="A366" s="15">
        <v>81094</v>
      </c>
      <c r="B366" s="13" t="s">
        <v>371</v>
      </c>
      <c r="C366" s="16">
        <v>114587929</v>
      </c>
      <c r="D366" s="16">
        <v>1740.8172</v>
      </c>
      <c r="E366" s="16">
        <v>65824.216925246379</v>
      </c>
    </row>
    <row r="367" spans="1:5" x14ac:dyDescent="0.25">
      <c r="A367" s="15">
        <v>81095</v>
      </c>
      <c r="B367" s="13" t="s">
        <v>372</v>
      </c>
      <c r="C367" s="16">
        <v>26621431</v>
      </c>
      <c r="D367" s="16">
        <v>406.13639999999998</v>
      </c>
      <c r="E367" s="16">
        <v>65548.00554690494</v>
      </c>
    </row>
    <row r="368" spans="1:5" x14ac:dyDescent="0.25">
      <c r="A368" s="15">
        <v>81096</v>
      </c>
      <c r="B368" s="13" t="s">
        <v>373</v>
      </c>
      <c r="C368" s="16">
        <v>389938807</v>
      </c>
      <c r="D368" s="16">
        <v>3815.8692999999998</v>
      </c>
      <c r="E368" s="16">
        <v>102188.72197745348</v>
      </c>
    </row>
    <row r="369" spans="1:5" x14ac:dyDescent="0.25">
      <c r="A369" s="15">
        <v>81097</v>
      </c>
      <c r="B369" s="13" t="s">
        <v>374</v>
      </c>
      <c r="C369" s="16">
        <v>18040562</v>
      </c>
      <c r="D369" s="16">
        <v>243.4616</v>
      </c>
      <c r="E369" s="16">
        <v>74100.235930430092</v>
      </c>
    </row>
    <row r="370" spans="1:5" x14ac:dyDescent="0.25">
      <c r="A370" s="15">
        <v>82100</v>
      </c>
      <c r="B370" s="13" t="s">
        <v>375</v>
      </c>
      <c r="C370" s="16">
        <v>104579806</v>
      </c>
      <c r="D370" s="16">
        <v>1221.2819999999999</v>
      </c>
      <c r="E370" s="16">
        <v>85631.16954151458</v>
      </c>
    </row>
    <row r="371" spans="1:5" x14ac:dyDescent="0.25">
      <c r="A371" s="15">
        <v>82101</v>
      </c>
      <c r="B371" s="13" t="s">
        <v>376</v>
      </c>
      <c r="C371" s="16">
        <v>38913133</v>
      </c>
      <c r="D371" s="16">
        <v>398.19709999999998</v>
      </c>
      <c r="E371" s="16">
        <v>97723.295825107722</v>
      </c>
    </row>
    <row r="372" spans="1:5" x14ac:dyDescent="0.25">
      <c r="A372" s="15">
        <v>82105</v>
      </c>
      <c r="B372" s="13" t="s">
        <v>377</v>
      </c>
      <c r="C372" s="16">
        <v>14792566</v>
      </c>
      <c r="D372" s="16">
        <v>46.497999999999998</v>
      </c>
      <c r="E372" s="16">
        <v>318133.38208094973</v>
      </c>
    </row>
    <row r="373" spans="1:5" x14ac:dyDescent="0.25">
      <c r="A373" s="15">
        <v>82108</v>
      </c>
      <c r="B373" s="13" t="s">
        <v>378</v>
      </c>
      <c r="C373" s="16">
        <v>51100021</v>
      </c>
      <c r="D373" s="16">
        <v>650.57979999999998</v>
      </c>
      <c r="E373" s="16">
        <v>78545.354466892459</v>
      </c>
    </row>
    <row r="374" spans="1:5" x14ac:dyDescent="0.25">
      <c r="A374" s="15">
        <v>83001</v>
      </c>
      <c r="B374" s="13" t="s">
        <v>379</v>
      </c>
      <c r="C374" s="16">
        <v>56082032</v>
      </c>
      <c r="D374" s="16">
        <v>601.27949999999998</v>
      </c>
      <c r="E374" s="16">
        <v>93271.152600412956</v>
      </c>
    </row>
    <row r="375" spans="1:5" x14ac:dyDescent="0.25">
      <c r="A375" s="15">
        <v>83002</v>
      </c>
      <c r="B375" s="13" t="s">
        <v>380</v>
      </c>
      <c r="C375" s="16">
        <v>190472423</v>
      </c>
      <c r="D375" s="16">
        <v>565.3777</v>
      </c>
      <c r="E375" s="16">
        <v>336894.12051448086</v>
      </c>
    </row>
    <row r="376" spans="1:5" x14ac:dyDescent="0.25">
      <c r="A376" s="15">
        <v>83003</v>
      </c>
      <c r="B376" s="13" t="s">
        <v>381</v>
      </c>
      <c r="C376" s="16">
        <v>431840980</v>
      </c>
      <c r="D376" s="16">
        <v>3647.9542999999999</v>
      </c>
      <c r="E376" s="16">
        <v>118378.94460465143</v>
      </c>
    </row>
    <row r="377" spans="1:5" x14ac:dyDescent="0.25">
      <c r="A377" s="15">
        <v>83005</v>
      </c>
      <c r="B377" s="13" t="s">
        <v>382</v>
      </c>
      <c r="C377" s="16">
        <v>1479437369</v>
      </c>
      <c r="D377" s="16">
        <v>10033.827300000001</v>
      </c>
      <c r="E377" s="16">
        <v>147444.97037536214</v>
      </c>
    </row>
    <row r="378" spans="1:5" x14ac:dyDescent="0.25">
      <c r="A378" s="15">
        <v>84001</v>
      </c>
      <c r="B378" s="13" t="s">
        <v>383</v>
      </c>
      <c r="C378" s="16">
        <v>153092080</v>
      </c>
      <c r="D378" s="16">
        <v>2570.5752000000002</v>
      </c>
      <c r="E378" s="16">
        <v>59555.573398514069</v>
      </c>
    </row>
    <row r="379" spans="1:5" x14ac:dyDescent="0.25">
      <c r="A379" s="15">
        <v>84002</v>
      </c>
      <c r="B379" s="13" t="s">
        <v>384</v>
      </c>
      <c r="C379" s="16">
        <v>17117140</v>
      </c>
      <c r="D379" s="16">
        <v>376.35770000000002</v>
      </c>
      <c r="E379" s="16">
        <v>45481.041041541066</v>
      </c>
    </row>
    <row r="380" spans="1:5" x14ac:dyDescent="0.25">
      <c r="A380" s="15">
        <v>84003</v>
      </c>
      <c r="B380" s="13" t="s">
        <v>385</v>
      </c>
      <c r="C380" s="16">
        <v>17129620</v>
      </c>
      <c r="D380" s="16">
        <v>249.58920000000001</v>
      </c>
      <c r="E380" s="16">
        <v>68631.254878015548</v>
      </c>
    </row>
    <row r="381" spans="1:5" x14ac:dyDescent="0.25">
      <c r="A381" s="15">
        <v>84004</v>
      </c>
      <c r="B381" s="13" t="s">
        <v>386</v>
      </c>
      <c r="C381" s="16">
        <v>20106594</v>
      </c>
      <c r="D381" s="16">
        <v>340.46379999999999</v>
      </c>
      <c r="E381" s="16">
        <v>59056.481188308418</v>
      </c>
    </row>
    <row r="382" spans="1:5" x14ac:dyDescent="0.25">
      <c r="A382" s="15">
        <v>84005</v>
      </c>
      <c r="B382" s="13" t="s">
        <v>387</v>
      </c>
      <c r="C382" s="16">
        <v>32900220</v>
      </c>
      <c r="D382" s="16">
        <v>520.66499999999996</v>
      </c>
      <c r="E382" s="16">
        <v>63188.845034715225</v>
      </c>
    </row>
    <row r="383" spans="1:5" x14ac:dyDescent="0.25">
      <c r="A383" s="15">
        <v>84006</v>
      </c>
      <c r="B383" s="13" t="s">
        <v>388</v>
      </c>
      <c r="C383" s="16">
        <v>38783550</v>
      </c>
      <c r="D383" s="16">
        <v>846.48009999999999</v>
      </c>
      <c r="E383" s="16">
        <v>45817.438590700476</v>
      </c>
    </row>
    <row r="384" spans="1:5" x14ac:dyDescent="0.25">
      <c r="A384" s="15">
        <v>85043</v>
      </c>
      <c r="B384" s="13" t="s">
        <v>389</v>
      </c>
      <c r="C384" s="16">
        <v>5372403</v>
      </c>
      <c r="D384" s="16">
        <v>79.542400000000001</v>
      </c>
      <c r="E384" s="16">
        <v>67541.374160196327</v>
      </c>
    </row>
    <row r="385" spans="1:5" x14ac:dyDescent="0.25">
      <c r="A385" s="15">
        <v>85044</v>
      </c>
      <c r="B385" s="13" t="s">
        <v>390</v>
      </c>
      <c r="C385" s="16">
        <v>33302081</v>
      </c>
      <c r="D385" s="16">
        <v>549.40480000000002</v>
      </c>
      <c r="E385" s="16">
        <v>60614.834453575939</v>
      </c>
    </row>
    <row r="386" spans="1:5" x14ac:dyDescent="0.25">
      <c r="A386" s="15">
        <v>85045</v>
      </c>
      <c r="B386" s="13" t="s">
        <v>391</v>
      </c>
      <c r="C386" s="16">
        <v>34496733</v>
      </c>
      <c r="D386" s="16">
        <v>629.18370000000004</v>
      </c>
      <c r="E386" s="16">
        <v>54827.760159711695</v>
      </c>
    </row>
    <row r="387" spans="1:5" x14ac:dyDescent="0.25">
      <c r="A387" s="15">
        <v>85046</v>
      </c>
      <c r="B387" s="13" t="s">
        <v>392</v>
      </c>
      <c r="C387" s="16">
        <v>296749717</v>
      </c>
      <c r="D387" s="16">
        <v>5787.1419999999998</v>
      </c>
      <c r="E387" s="16">
        <v>51277.421048247998</v>
      </c>
    </row>
    <row r="388" spans="1:5" x14ac:dyDescent="0.25">
      <c r="A388" s="15">
        <v>85048</v>
      </c>
      <c r="B388" s="13" t="s">
        <v>393</v>
      </c>
      <c r="C388" s="16">
        <v>61869268</v>
      </c>
      <c r="D388" s="16">
        <v>927.73170000000005</v>
      </c>
      <c r="E388" s="16">
        <v>66688.750637711302</v>
      </c>
    </row>
    <row r="389" spans="1:5" x14ac:dyDescent="0.25">
      <c r="A389" s="15">
        <v>85049</v>
      </c>
      <c r="B389" s="13" t="s">
        <v>394</v>
      </c>
      <c r="C389" s="16">
        <v>29918166</v>
      </c>
      <c r="D389" s="16">
        <v>539.77030000000002</v>
      </c>
      <c r="E389" s="16">
        <v>55427.588364902622</v>
      </c>
    </row>
    <row r="390" spans="1:5" x14ac:dyDescent="0.25">
      <c r="A390" s="15">
        <v>86100</v>
      </c>
      <c r="B390" s="13" t="s">
        <v>395</v>
      </c>
      <c r="C390" s="16">
        <v>74789201</v>
      </c>
      <c r="D390" s="16">
        <v>715.20569999999998</v>
      </c>
      <c r="E390" s="16">
        <v>104570.19707756804</v>
      </c>
    </row>
    <row r="391" spans="1:5" x14ac:dyDescent="0.25">
      <c r="A391" s="15">
        <v>87083</v>
      </c>
      <c r="B391" s="13" t="s">
        <v>396</v>
      </c>
      <c r="C391" s="16">
        <v>72740992</v>
      </c>
      <c r="D391" s="16">
        <v>709.73009999999999</v>
      </c>
      <c r="E391" s="16">
        <v>102491.06244754168</v>
      </c>
    </row>
    <row r="392" spans="1:5" x14ac:dyDescent="0.25">
      <c r="A392" s="15">
        <v>88072</v>
      </c>
      <c r="B392" s="13" t="s">
        <v>397</v>
      </c>
      <c r="C392" s="16">
        <v>23495570</v>
      </c>
      <c r="D392" s="16">
        <v>392.48790000000002</v>
      </c>
      <c r="E392" s="16">
        <v>59863.170304103638</v>
      </c>
    </row>
    <row r="393" spans="1:5" x14ac:dyDescent="0.25">
      <c r="A393" s="15">
        <v>88073</v>
      </c>
      <c r="B393" s="13" t="s">
        <v>398</v>
      </c>
      <c r="C393" s="16">
        <v>13750093</v>
      </c>
      <c r="D393" s="16">
        <v>158.84299999999999</v>
      </c>
      <c r="E393" s="16">
        <v>86564.047518619016</v>
      </c>
    </row>
    <row r="394" spans="1:5" x14ac:dyDescent="0.25">
      <c r="A394" s="15">
        <v>88075</v>
      </c>
      <c r="B394" s="13" t="s">
        <v>399</v>
      </c>
      <c r="C394" s="16">
        <v>10885857</v>
      </c>
      <c r="D394" s="16">
        <v>209.2062</v>
      </c>
      <c r="E394" s="16">
        <v>52034.103195794392</v>
      </c>
    </row>
    <row r="395" spans="1:5" x14ac:dyDescent="0.25">
      <c r="A395" s="15">
        <v>88080</v>
      </c>
      <c r="B395" s="13" t="s">
        <v>400</v>
      </c>
      <c r="C395" s="16">
        <v>159755087</v>
      </c>
      <c r="D395" s="16">
        <v>615.95169999999996</v>
      </c>
      <c r="E395" s="16">
        <v>259363.01011913762</v>
      </c>
    </row>
    <row r="396" spans="1:5" x14ac:dyDescent="0.25">
      <c r="A396" s="15">
        <v>88081</v>
      </c>
      <c r="B396" s="13" t="s">
        <v>401</v>
      </c>
      <c r="C396" s="16">
        <v>167353001</v>
      </c>
      <c r="D396" s="16">
        <v>2153.9328999999998</v>
      </c>
      <c r="E396" s="16">
        <v>77696.478381476045</v>
      </c>
    </row>
    <row r="397" spans="1:5" x14ac:dyDescent="0.25">
      <c r="A397" s="15">
        <v>89080</v>
      </c>
      <c r="B397" s="13" t="s">
        <v>402</v>
      </c>
      <c r="C397" s="16">
        <v>65687091</v>
      </c>
      <c r="D397" s="16">
        <v>1174.742</v>
      </c>
      <c r="E397" s="16">
        <v>55916.185000621415</v>
      </c>
    </row>
    <row r="398" spans="1:5" x14ac:dyDescent="0.25">
      <c r="A398" s="15">
        <v>89087</v>
      </c>
      <c r="B398" s="13" t="s">
        <v>403</v>
      </c>
      <c r="C398" s="16">
        <v>22306787</v>
      </c>
      <c r="D398" s="16">
        <v>334.94240000000002</v>
      </c>
      <c r="E398" s="16">
        <v>66598.874911029474</v>
      </c>
    </row>
    <row r="399" spans="1:5" x14ac:dyDescent="0.25">
      <c r="A399" s="15">
        <v>89088</v>
      </c>
      <c r="B399" s="13" t="s">
        <v>404</v>
      </c>
      <c r="C399" s="16">
        <v>16853068</v>
      </c>
      <c r="D399" s="16">
        <v>212.3844</v>
      </c>
      <c r="E399" s="16">
        <v>79351.72263122903</v>
      </c>
    </row>
    <row r="400" spans="1:5" x14ac:dyDescent="0.25">
      <c r="A400" s="15">
        <v>89089</v>
      </c>
      <c r="B400" s="13" t="s">
        <v>405</v>
      </c>
      <c r="C400" s="16">
        <v>105748187</v>
      </c>
      <c r="D400" s="16">
        <v>1507.2642000000001</v>
      </c>
      <c r="E400" s="16">
        <v>70159.025206065402</v>
      </c>
    </row>
    <row r="401" spans="1:5" x14ac:dyDescent="0.25">
      <c r="A401" s="15">
        <v>90075</v>
      </c>
      <c r="B401" s="13" t="s">
        <v>406</v>
      </c>
      <c r="C401" s="16">
        <v>6148316</v>
      </c>
      <c r="D401" s="16">
        <v>75.066400000000002</v>
      </c>
      <c r="E401" s="16">
        <v>81905.033410420641</v>
      </c>
    </row>
    <row r="402" spans="1:5" x14ac:dyDescent="0.25">
      <c r="A402" s="15">
        <v>90076</v>
      </c>
      <c r="B402" s="13" t="s">
        <v>407</v>
      </c>
      <c r="C402" s="16">
        <v>34403702</v>
      </c>
      <c r="D402" s="16">
        <v>448.36709999999999</v>
      </c>
      <c r="E402" s="16">
        <v>76731.102705796206</v>
      </c>
    </row>
    <row r="403" spans="1:5" x14ac:dyDescent="0.25">
      <c r="A403" s="15">
        <v>90077</v>
      </c>
      <c r="B403" s="13" t="s">
        <v>408</v>
      </c>
      <c r="C403" s="16">
        <v>71603582</v>
      </c>
      <c r="D403" s="16">
        <v>227.27449999999999</v>
      </c>
      <c r="E403" s="16">
        <v>315053.30338423362</v>
      </c>
    </row>
    <row r="404" spans="1:5" x14ac:dyDescent="0.25">
      <c r="A404" s="15">
        <v>90078</v>
      </c>
      <c r="B404" s="13" t="s">
        <v>409</v>
      </c>
      <c r="C404" s="16">
        <v>59122574</v>
      </c>
      <c r="D404" s="16">
        <v>234.18940000000001</v>
      </c>
      <c r="E404" s="16">
        <v>252456.23414210891</v>
      </c>
    </row>
    <row r="405" spans="1:5" x14ac:dyDescent="0.25">
      <c r="A405" s="15">
        <v>91091</v>
      </c>
      <c r="B405" s="13" t="s">
        <v>410</v>
      </c>
      <c r="C405" s="16">
        <v>10399278</v>
      </c>
      <c r="D405" s="16">
        <v>390.60520000000002</v>
      </c>
      <c r="E405" s="16">
        <v>26623.501172027405</v>
      </c>
    </row>
    <row r="406" spans="1:5" x14ac:dyDescent="0.25">
      <c r="A406" s="15">
        <v>91092</v>
      </c>
      <c r="B406" s="13" t="s">
        <v>411</v>
      </c>
      <c r="C406" s="16">
        <v>70434304</v>
      </c>
      <c r="D406" s="16">
        <v>1379.1819</v>
      </c>
      <c r="E406" s="16">
        <v>51069.626131259407</v>
      </c>
    </row>
    <row r="407" spans="1:5" x14ac:dyDescent="0.25">
      <c r="A407" s="15">
        <v>91093</v>
      </c>
      <c r="B407" s="13" t="s">
        <v>412</v>
      </c>
      <c r="C407" s="16">
        <v>5973193</v>
      </c>
      <c r="D407" s="16">
        <v>177.94569999999999</v>
      </c>
      <c r="E407" s="16">
        <v>33567.504019484601</v>
      </c>
    </row>
    <row r="408" spans="1:5" x14ac:dyDescent="0.25">
      <c r="A408" s="15">
        <v>91095</v>
      </c>
      <c r="B408" s="13" t="s">
        <v>413</v>
      </c>
      <c r="C408" s="16">
        <v>5628130</v>
      </c>
      <c r="D408" s="16">
        <v>137.0299</v>
      </c>
      <c r="E408" s="16">
        <v>41072.27692642263</v>
      </c>
    </row>
    <row r="409" spans="1:5" x14ac:dyDescent="0.25">
      <c r="A409" s="15">
        <v>92087</v>
      </c>
      <c r="B409" s="13" t="s">
        <v>414</v>
      </c>
      <c r="C409" s="16">
        <v>2005071600</v>
      </c>
      <c r="D409" s="16">
        <v>17428.6011</v>
      </c>
      <c r="E409" s="16">
        <v>115044.8959440583</v>
      </c>
    </row>
    <row r="410" spans="1:5" x14ac:dyDescent="0.25">
      <c r="A410" s="15">
        <v>92088</v>
      </c>
      <c r="B410" s="13" t="s">
        <v>415</v>
      </c>
      <c r="C410" s="16">
        <v>2203977739</v>
      </c>
      <c r="D410" s="16">
        <v>16120.225200000001</v>
      </c>
      <c r="E410" s="16">
        <v>136721.27477474694</v>
      </c>
    </row>
    <row r="411" spans="1:5" x14ac:dyDescent="0.25">
      <c r="A411" s="15">
        <v>92089</v>
      </c>
      <c r="B411" s="13" t="s">
        <v>416</v>
      </c>
      <c r="C411" s="16">
        <v>1465943345</v>
      </c>
      <c r="D411" s="16">
        <v>13454.234899999999</v>
      </c>
      <c r="E411" s="16">
        <v>108957.76355145992</v>
      </c>
    </row>
    <row r="412" spans="1:5" x14ac:dyDescent="0.25">
      <c r="A412" s="15">
        <v>92090</v>
      </c>
      <c r="B412" s="13" t="s">
        <v>417</v>
      </c>
      <c r="C412" s="16">
        <v>883318860</v>
      </c>
      <c r="D412" s="16">
        <v>4687.1513000000004</v>
      </c>
      <c r="E412" s="16">
        <v>188455.37586977403</v>
      </c>
    </row>
    <row r="413" spans="1:5" x14ac:dyDescent="0.25">
      <c r="A413" s="15">
        <v>92091</v>
      </c>
      <c r="B413" s="13" t="s">
        <v>418</v>
      </c>
      <c r="C413" s="16">
        <v>266647999</v>
      </c>
      <c r="D413" s="16">
        <v>1506.1909000000001</v>
      </c>
      <c r="E413" s="16">
        <v>177034.66340156482</v>
      </c>
    </row>
    <row r="414" spans="1:5" x14ac:dyDescent="0.25">
      <c r="A414" s="15">
        <v>93120</v>
      </c>
      <c r="B414" s="13" t="s">
        <v>419</v>
      </c>
      <c r="C414" s="16">
        <v>25352845</v>
      </c>
      <c r="D414" s="16">
        <v>297.93090000000001</v>
      </c>
      <c r="E414" s="16">
        <v>85096.393156936727</v>
      </c>
    </row>
    <row r="415" spans="1:5" x14ac:dyDescent="0.25">
      <c r="A415" s="15">
        <v>93121</v>
      </c>
      <c r="B415" s="13" t="s">
        <v>420</v>
      </c>
      <c r="C415" s="16">
        <v>6103757</v>
      </c>
      <c r="D415" s="16">
        <v>80.035300000000007</v>
      </c>
      <c r="E415" s="16">
        <v>76263.311313882747</v>
      </c>
    </row>
    <row r="416" spans="1:5" x14ac:dyDescent="0.25">
      <c r="A416" s="15">
        <v>93123</v>
      </c>
      <c r="B416" s="13" t="s">
        <v>421</v>
      </c>
      <c r="C416" s="16">
        <v>30593662</v>
      </c>
      <c r="D416" s="16">
        <v>375.15730000000002</v>
      </c>
      <c r="E416" s="16">
        <v>81548.8916249264</v>
      </c>
    </row>
    <row r="417" spans="1:5" x14ac:dyDescent="0.25">
      <c r="A417" s="15">
        <v>93124</v>
      </c>
      <c r="B417" s="13" t="s">
        <v>422</v>
      </c>
      <c r="C417" s="16">
        <v>29911202</v>
      </c>
      <c r="D417" s="16">
        <v>452.29160000000002</v>
      </c>
      <c r="E417" s="16">
        <v>66132.561382966203</v>
      </c>
    </row>
    <row r="418" spans="1:5" x14ac:dyDescent="0.25">
      <c r="A418" s="15">
        <v>94076</v>
      </c>
      <c r="B418" s="13" t="s">
        <v>423</v>
      </c>
      <c r="C418" s="16">
        <v>29214885</v>
      </c>
      <c r="D418" s="16">
        <v>508.822</v>
      </c>
      <c r="E418" s="16">
        <v>57416.709576236877</v>
      </c>
    </row>
    <row r="419" spans="1:5" x14ac:dyDescent="0.25">
      <c r="A419" s="15">
        <v>94078</v>
      </c>
      <c r="B419" s="13" t="s">
        <v>424</v>
      </c>
      <c r="C419" s="16">
        <v>332322704</v>
      </c>
      <c r="D419" s="16">
        <v>3735.1824999999999</v>
      </c>
      <c r="E419" s="16">
        <v>88970.941580498416</v>
      </c>
    </row>
    <row r="420" spans="1:5" x14ac:dyDescent="0.25">
      <c r="A420" s="15">
        <v>94083</v>
      </c>
      <c r="B420" s="13" t="s">
        <v>425</v>
      </c>
      <c r="C420" s="16">
        <v>165363810</v>
      </c>
      <c r="D420" s="16">
        <v>2963.0648000000001</v>
      </c>
      <c r="E420" s="16">
        <v>55808.367741400725</v>
      </c>
    </row>
    <row r="421" spans="1:5" x14ac:dyDescent="0.25">
      <c r="A421" s="15">
        <v>94086</v>
      </c>
      <c r="B421" s="13" t="s">
        <v>426</v>
      </c>
      <c r="C421" s="16">
        <v>97541038</v>
      </c>
      <c r="D421" s="16">
        <v>2059.7199999999998</v>
      </c>
      <c r="E421" s="16">
        <v>47356.455246344165</v>
      </c>
    </row>
    <row r="422" spans="1:5" x14ac:dyDescent="0.25">
      <c r="A422" s="15">
        <v>94087</v>
      </c>
      <c r="B422" s="13" t="s">
        <v>427</v>
      </c>
      <c r="C422" s="16">
        <v>44675109</v>
      </c>
      <c r="D422" s="16">
        <v>1018.0764</v>
      </c>
      <c r="E422" s="16">
        <v>43881.88253848139</v>
      </c>
    </row>
    <row r="423" spans="1:5" x14ac:dyDescent="0.25">
      <c r="A423" s="15">
        <v>95059</v>
      </c>
      <c r="B423" s="13" t="s">
        <v>428</v>
      </c>
      <c r="C423" s="16">
        <v>333932790</v>
      </c>
      <c r="D423" s="16">
        <v>1716.701</v>
      </c>
      <c r="E423" s="16">
        <v>194520.06493850704</v>
      </c>
    </row>
    <row r="424" spans="1:5" x14ac:dyDescent="0.25">
      <c r="A424" s="15">
        <v>96088</v>
      </c>
      <c r="B424" s="13" t="s">
        <v>429</v>
      </c>
      <c r="C424" s="16">
        <v>1583935630</v>
      </c>
      <c r="D424" s="16">
        <v>16896.8593</v>
      </c>
      <c r="E424" s="16">
        <v>93741.422703330434</v>
      </c>
    </row>
    <row r="425" spans="1:5" x14ac:dyDescent="0.25">
      <c r="A425" s="15">
        <v>96089</v>
      </c>
      <c r="B425" s="13" t="s">
        <v>430</v>
      </c>
      <c r="C425" s="16">
        <v>894595820</v>
      </c>
      <c r="D425" s="16">
        <v>10247.2196</v>
      </c>
      <c r="E425" s="16">
        <v>87301.322204512922</v>
      </c>
    </row>
    <row r="426" spans="1:5" x14ac:dyDescent="0.25">
      <c r="A426" s="15">
        <v>96090</v>
      </c>
      <c r="B426" s="13" t="s">
        <v>431</v>
      </c>
      <c r="C426" s="16">
        <v>1310290560</v>
      </c>
      <c r="D426" s="16">
        <v>5196.4173000000001</v>
      </c>
      <c r="E426" s="16">
        <v>252152.68219509622</v>
      </c>
    </row>
    <row r="427" spans="1:5" x14ac:dyDescent="0.25">
      <c r="A427" s="15">
        <v>96091</v>
      </c>
      <c r="B427" s="13" t="s">
        <v>432</v>
      </c>
      <c r="C427" s="16">
        <v>3196042640</v>
      </c>
      <c r="D427" s="16">
        <v>19932.042099999999</v>
      </c>
      <c r="E427" s="16">
        <v>160346.97418183761</v>
      </c>
    </row>
    <row r="428" spans="1:5" x14ac:dyDescent="0.25">
      <c r="A428" s="15">
        <v>96092</v>
      </c>
      <c r="B428" s="13" t="s">
        <v>433</v>
      </c>
      <c r="C428" s="16">
        <v>1248397930</v>
      </c>
      <c r="D428" s="16">
        <v>5101.9453999999996</v>
      </c>
      <c r="E428" s="16">
        <v>244690.57038517113</v>
      </c>
    </row>
    <row r="429" spans="1:5" x14ac:dyDescent="0.25">
      <c r="A429" s="15">
        <v>96093</v>
      </c>
      <c r="B429" s="13" t="s">
        <v>434</v>
      </c>
      <c r="C429" s="16">
        <v>1190326610</v>
      </c>
      <c r="D429" s="16">
        <v>5603.5239000000001</v>
      </c>
      <c r="E429" s="16">
        <v>212424.65120921496</v>
      </c>
    </row>
    <row r="430" spans="1:5" x14ac:dyDescent="0.25">
      <c r="A430" s="15">
        <v>96094</v>
      </c>
      <c r="B430" s="13" t="s">
        <v>435</v>
      </c>
      <c r="C430" s="16">
        <v>1657301070</v>
      </c>
      <c r="D430" s="16">
        <v>9895.1848000000009</v>
      </c>
      <c r="E430" s="16">
        <v>167485.61077909326</v>
      </c>
    </row>
    <row r="431" spans="1:5" x14ac:dyDescent="0.25">
      <c r="A431" s="15">
        <v>96095</v>
      </c>
      <c r="B431" s="13" t="s">
        <v>436</v>
      </c>
      <c r="C431" s="16">
        <v>4135517260</v>
      </c>
      <c r="D431" s="16">
        <v>16526.006099999999</v>
      </c>
      <c r="E431" s="16">
        <v>250242.99488791791</v>
      </c>
    </row>
    <row r="432" spans="1:5" x14ac:dyDescent="0.25">
      <c r="A432" s="15">
        <v>96098</v>
      </c>
      <c r="B432" s="13" t="s">
        <v>437</v>
      </c>
      <c r="C432" s="16">
        <v>374334480</v>
      </c>
      <c r="D432" s="16">
        <v>2254.9238</v>
      </c>
      <c r="E432" s="16">
        <v>166007.59635425374</v>
      </c>
    </row>
    <row r="433" spans="1:5" x14ac:dyDescent="0.25">
      <c r="A433" s="15">
        <v>96099</v>
      </c>
      <c r="B433" s="13" t="s">
        <v>438</v>
      </c>
      <c r="C433" s="16">
        <v>143438950</v>
      </c>
      <c r="D433" s="16">
        <v>1584.2737</v>
      </c>
      <c r="E433" s="16">
        <v>90539.248363461447</v>
      </c>
    </row>
    <row r="434" spans="1:5" x14ac:dyDescent="0.25">
      <c r="A434" s="15">
        <v>96101</v>
      </c>
      <c r="B434" s="13" t="s">
        <v>439</v>
      </c>
      <c r="C434" s="16">
        <v>271396140</v>
      </c>
      <c r="D434" s="16">
        <v>726.47209999999995</v>
      </c>
      <c r="E434" s="16">
        <v>373580.95376271161</v>
      </c>
    </row>
    <row r="435" spans="1:5" x14ac:dyDescent="0.25">
      <c r="A435" s="15">
        <v>96102</v>
      </c>
      <c r="B435" s="13" t="s">
        <v>440</v>
      </c>
      <c r="C435" s="16">
        <v>1000980880</v>
      </c>
      <c r="D435" s="16">
        <v>2341.9398999999999</v>
      </c>
      <c r="E435" s="16">
        <v>427415.27227065054</v>
      </c>
    </row>
    <row r="436" spans="1:5" x14ac:dyDescent="0.25">
      <c r="A436" s="15">
        <v>96103</v>
      </c>
      <c r="B436" s="13" t="s">
        <v>441</v>
      </c>
      <c r="C436" s="16">
        <v>138928310</v>
      </c>
      <c r="D436" s="16">
        <v>1385.8689999999999</v>
      </c>
      <c r="E436" s="16">
        <v>100246.35084557055</v>
      </c>
    </row>
    <row r="437" spans="1:5" x14ac:dyDescent="0.25">
      <c r="A437" s="15">
        <v>96104</v>
      </c>
      <c r="B437" s="13" t="s">
        <v>442</v>
      </c>
      <c r="C437" s="16">
        <v>98142200</v>
      </c>
      <c r="D437" s="16">
        <v>2396.1574999999998</v>
      </c>
      <c r="E437" s="16">
        <v>40958.159052566458</v>
      </c>
    </row>
    <row r="438" spans="1:5" x14ac:dyDescent="0.25">
      <c r="A438" s="15">
        <v>96106</v>
      </c>
      <c r="B438" s="13" t="s">
        <v>443</v>
      </c>
      <c r="C438" s="16">
        <v>1411277590</v>
      </c>
      <c r="D438" s="16">
        <v>3761.5545999999999</v>
      </c>
      <c r="E438" s="16">
        <v>375184.66168216727</v>
      </c>
    </row>
    <row r="439" spans="1:5" x14ac:dyDescent="0.25">
      <c r="A439" s="15">
        <v>96107</v>
      </c>
      <c r="B439" s="13" t="s">
        <v>444</v>
      </c>
      <c r="C439" s="16">
        <v>255242310</v>
      </c>
      <c r="D439" s="16">
        <v>1083.3341</v>
      </c>
      <c r="E439" s="16">
        <v>235608.1194157924</v>
      </c>
    </row>
    <row r="440" spans="1:5" x14ac:dyDescent="0.25">
      <c r="A440" s="15">
        <v>96109</v>
      </c>
      <c r="B440" s="13" t="s">
        <v>521</v>
      </c>
      <c r="C440" s="16">
        <v>234107020</v>
      </c>
      <c r="D440" s="16">
        <v>3647.6914999999999</v>
      </c>
      <c r="E440" s="16">
        <v>64179.50092544833</v>
      </c>
    </row>
    <row r="441" spans="1:5" x14ac:dyDescent="0.25">
      <c r="A441" s="15">
        <v>96110</v>
      </c>
      <c r="B441" s="13" t="s">
        <v>445</v>
      </c>
      <c r="C441" s="16">
        <v>533923510</v>
      </c>
      <c r="D441" s="16">
        <v>5808.8355000000001</v>
      </c>
      <c r="E441" s="16">
        <v>91915.756609048403</v>
      </c>
    </row>
    <row r="442" spans="1:5" x14ac:dyDescent="0.25">
      <c r="A442" s="15">
        <v>96111</v>
      </c>
      <c r="B442" s="13" t="s">
        <v>446</v>
      </c>
      <c r="C442" s="16">
        <v>195843230</v>
      </c>
      <c r="D442" s="16">
        <v>5498.6403</v>
      </c>
      <c r="E442" s="16">
        <v>35616.665087185283</v>
      </c>
    </row>
    <row r="443" spans="1:5" x14ac:dyDescent="0.25">
      <c r="A443" s="15">
        <v>96112</v>
      </c>
      <c r="B443" s="13" t="s">
        <v>447</v>
      </c>
      <c r="C443" s="16">
        <v>572630380</v>
      </c>
      <c r="D443" s="16">
        <v>2731.4097000000002</v>
      </c>
      <c r="E443" s="16">
        <v>209646.46204485543</v>
      </c>
    </row>
    <row r="444" spans="1:5" x14ac:dyDescent="0.25">
      <c r="A444" s="15">
        <v>96113</v>
      </c>
      <c r="B444" s="13" t="s">
        <v>448</v>
      </c>
      <c r="C444" s="16">
        <v>157336410</v>
      </c>
      <c r="D444" s="16">
        <v>935.59820000000002</v>
      </c>
      <c r="E444" s="16">
        <v>168166.64461304009</v>
      </c>
    </row>
    <row r="445" spans="1:5" x14ac:dyDescent="0.25">
      <c r="A445" s="15">
        <v>96114</v>
      </c>
      <c r="B445" s="13" t="s">
        <v>449</v>
      </c>
      <c r="C445" s="16">
        <v>698788630</v>
      </c>
      <c r="D445" s="16">
        <v>4039.8341</v>
      </c>
      <c r="E445" s="16">
        <v>172974.58576331142</v>
      </c>
    </row>
    <row r="446" spans="1:5" x14ac:dyDescent="0.25">
      <c r="A446" s="15">
        <v>97116</v>
      </c>
      <c r="B446" s="13" t="s">
        <v>30</v>
      </c>
      <c r="C446" s="16">
        <v>10168150</v>
      </c>
      <c r="D446" s="16">
        <v>60.661700000000003</v>
      </c>
      <c r="E446" s="16">
        <v>167620.5909165091</v>
      </c>
    </row>
    <row r="447" spans="1:5" x14ac:dyDescent="0.25">
      <c r="A447" s="15">
        <v>97118</v>
      </c>
      <c r="B447" s="13" t="s">
        <v>450</v>
      </c>
      <c r="C447" s="16">
        <v>6517744</v>
      </c>
      <c r="D447" s="16">
        <v>56.133299999999998</v>
      </c>
      <c r="E447" s="16">
        <v>116111.89792868048</v>
      </c>
    </row>
    <row r="448" spans="1:5" x14ac:dyDescent="0.25">
      <c r="A448" s="15">
        <v>97119</v>
      </c>
      <c r="B448" s="13" t="s">
        <v>451</v>
      </c>
      <c r="C448" s="16">
        <v>10928466</v>
      </c>
      <c r="D448" s="16">
        <v>67.465699999999998</v>
      </c>
      <c r="E448" s="16">
        <v>161985.51263827397</v>
      </c>
    </row>
    <row r="449" spans="1:5" x14ac:dyDescent="0.25">
      <c r="A449" s="15">
        <v>97122</v>
      </c>
      <c r="B449" s="13" t="s">
        <v>452</v>
      </c>
      <c r="C449" s="16">
        <v>8061528</v>
      </c>
      <c r="D449" s="16">
        <v>63.622199999999999</v>
      </c>
      <c r="E449" s="16">
        <v>126709.35616812999</v>
      </c>
    </row>
    <row r="450" spans="1:5" x14ac:dyDescent="0.25">
      <c r="A450" s="15">
        <v>97127</v>
      </c>
      <c r="B450" s="13" t="s">
        <v>453</v>
      </c>
      <c r="C450" s="16">
        <v>3225671</v>
      </c>
      <c r="D450" s="16">
        <v>35.384599999999999</v>
      </c>
      <c r="E450" s="16">
        <v>91160.307026220442</v>
      </c>
    </row>
    <row r="451" spans="1:5" x14ac:dyDescent="0.25">
      <c r="A451" s="15">
        <v>97129</v>
      </c>
      <c r="B451" s="13" t="s">
        <v>454</v>
      </c>
      <c r="C451" s="16">
        <v>155559694</v>
      </c>
      <c r="D451" s="16">
        <v>2312.2231000000002</v>
      </c>
      <c r="E451" s="16">
        <v>67277.112662701096</v>
      </c>
    </row>
    <row r="452" spans="1:5" x14ac:dyDescent="0.25">
      <c r="A452" s="15">
        <v>97130</v>
      </c>
      <c r="B452" s="13" t="s">
        <v>455</v>
      </c>
      <c r="C452" s="16">
        <v>19233296</v>
      </c>
      <c r="D452" s="16">
        <v>293.68099999999998</v>
      </c>
      <c r="E452" s="16">
        <v>65490.433497570499</v>
      </c>
    </row>
    <row r="453" spans="1:5" x14ac:dyDescent="0.25">
      <c r="A453" s="15">
        <v>97131</v>
      </c>
      <c r="B453" s="13" t="s">
        <v>456</v>
      </c>
      <c r="C453" s="16">
        <v>29798817</v>
      </c>
      <c r="D453" s="16">
        <v>442.40910000000002</v>
      </c>
      <c r="E453" s="16">
        <v>67355.795800764492</v>
      </c>
    </row>
    <row r="454" spans="1:5" x14ac:dyDescent="0.25">
      <c r="A454" s="15">
        <v>98080</v>
      </c>
      <c r="B454" s="13" t="s">
        <v>457</v>
      </c>
      <c r="C454" s="16">
        <v>38968116</v>
      </c>
      <c r="D454" s="16">
        <v>578.47630000000004</v>
      </c>
      <c r="E454" s="16">
        <v>67363.375128764994</v>
      </c>
    </row>
    <row r="455" spans="1:5" x14ac:dyDescent="0.25">
      <c r="A455" s="15">
        <v>99078</v>
      </c>
      <c r="B455" s="13" t="s">
        <v>1045</v>
      </c>
      <c r="C455" s="16">
        <v>4536403</v>
      </c>
      <c r="D455" s="16">
        <v>23.439499999999999</v>
      </c>
      <c r="E455" s="16">
        <v>193536.67953667956</v>
      </c>
    </row>
    <row r="456" spans="1:5" x14ac:dyDescent="0.25">
      <c r="A456" s="15">
        <v>99082</v>
      </c>
      <c r="B456" s="13" t="s">
        <v>458</v>
      </c>
      <c r="C456" s="16">
        <v>54168720</v>
      </c>
      <c r="D456" s="16">
        <v>531.31150000000002</v>
      </c>
      <c r="E456" s="16">
        <v>101952.84687043288</v>
      </c>
    </row>
    <row r="457" spans="1:5" x14ac:dyDescent="0.25">
      <c r="A457" s="15">
        <v>100059</v>
      </c>
      <c r="B457" s="13" t="s">
        <v>459</v>
      </c>
      <c r="C457" s="16">
        <v>53511260</v>
      </c>
      <c r="D457" s="16">
        <v>786.88189999999997</v>
      </c>
      <c r="E457" s="16">
        <v>68004.182076115874</v>
      </c>
    </row>
    <row r="458" spans="1:5" x14ac:dyDescent="0.25">
      <c r="A458" s="15">
        <v>100060</v>
      </c>
      <c r="B458" s="13" t="s">
        <v>460</v>
      </c>
      <c r="C458" s="16">
        <v>24290340</v>
      </c>
      <c r="D458" s="16">
        <v>574.75639999999999</v>
      </c>
      <c r="E458" s="16">
        <v>42261.973942351928</v>
      </c>
    </row>
    <row r="459" spans="1:5" x14ac:dyDescent="0.25">
      <c r="A459" s="15">
        <v>100061</v>
      </c>
      <c r="B459" s="13" t="s">
        <v>461</v>
      </c>
      <c r="C459" s="16">
        <v>58519710</v>
      </c>
      <c r="D459" s="16">
        <v>923.50429999999994</v>
      </c>
      <c r="E459" s="16">
        <v>63367.014100529908</v>
      </c>
    </row>
    <row r="460" spans="1:5" x14ac:dyDescent="0.25">
      <c r="A460" s="15">
        <v>100062</v>
      </c>
      <c r="B460" s="13" t="s">
        <v>462</v>
      </c>
      <c r="C460" s="16">
        <v>16771350</v>
      </c>
      <c r="D460" s="16">
        <v>335.14679999999998</v>
      </c>
      <c r="E460" s="16">
        <v>50041.802577258684</v>
      </c>
    </row>
    <row r="461" spans="1:5" x14ac:dyDescent="0.25">
      <c r="A461" s="15">
        <v>100063</v>
      </c>
      <c r="B461" s="13" t="s">
        <v>463</v>
      </c>
      <c r="C461" s="16">
        <v>231821596</v>
      </c>
      <c r="D461" s="16">
        <v>3197.1509000000001</v>
      </c>
      <c r="E461" s="16">
        <v>72508.806512698531</v>
      </c>
    </row>
    <row r="462" spans="1:5" x14ac:dyDescent="0.25">
      <c r="A462" s="15">
        <v>100064</v>
      </c>
      <c r="B462" s="13" t="s">
        <v>464</v>
      </c>
      <c r="C462" s="16">
        <v>24961700</v>
      </c>
      <c r="D462" s="16">
        <v>119.1426</v>
      </c>
      <c r="E462" s="16">
        <v>209511.12364511099</v>
      </c>
    </row>
    <row r="463" spans="1:5" x14ac:dyDescent="0.25">
      <c r="A463" s="15">
        <v>100065</v>
      </c>
      <c r="B463" s="13" t="s">
        <v>465</v>
      </c>
      <c r="C463" s="16">
        <v>21030990</v>
      </c>
      <c r="D463" s="16">
        <v>348.39569999999998</v>
      </c>
      <c r="E463" s="16">
        <v>60365.239869493227</v>
      </c>
    </row>
    <row r="464" spans="1:5" x14ac:dyDescent="0.25">
      <c r="A464" s="15">
        <v>101105</v>
      </c>
      <c r="B464" s="13" t="s">
        <v>466</v>
      </c>
      <c r="C464" s="16">
        <v>16520601</v>
      </c>
      <c r="D464" s="16">
        <v>474.36160000000001</v>
      </c>
      <c r="E464" s="16">
        <v>34827.020146656054</v>
      </c>
    </row>
    <row r="465" spans="1:5" x14ac:dyDescent="0.25">
      <c r="A465" s="15">
        <v>101107</v>
      </c>
      <c r="B465" s="13" t="s">
        <v>467</v>
      </c>
      <c r="C465" s="16">
        <v>20646765</v>
      </c>
      <c r="D465" s="16">
        <v>273.67970000000003</v>
      </c>
      <c r="E465" s="16">
        <v>75441.34621603282</v>
      </c>
    </row>
    <row r="466" spans="1:5" x14ac:dyDescent="0.25">
      <c r="A466" s="15">
        <v>102081</v>
      </c>
      <c r="B466" s="13" t="s">
        <v>468</v>
      </c>
      <c r="C466" s="16">
        <v>33052086</v>
      </c>
      <c r="D466" s="16">
        <v>269.93169999999998</v>
      </c>
      <c r="E466" s="16">
        <v>122446.10766353119</v>
      </c>
    </row>
    <row r="467" spans="1:5" x14ac:dyDescent="0.25">
      <c r="A467" s="15">
        <v>102085</v>
      </c>
      <c r="B467" s="13" t="s">
        <v>469</v>
      </c>
      <c r="C467" s="16">
        <v>59128913</v>
      </c>
      <c r="D467" s="16">
        <v>698.93880000000001</v>
      </c>
      <c r="E467" s="16">
        <v>84598.126474020333</v>
      </c>
    </row>
    <row r="468" spans="1:5" x14ac:dyDescent="0.25">
      <c r="A468" s="15">
        <v>103127</v>
      </c>
      <c r="B468" s="13" t="s">
        <v>470</v>
      </c>
      <c r="C468" s="16">
        <v>25529205</v>
      </c>
      <c r="D468" s="16">
        <v>239.99629999999999</v>
      </c>
      <c r="E468" s="16">
        <v>106373.3274221311</v>
      </c>
    </row>
    <row r="469" spans="1:5" x14ac:dyDescent="0.25">
      <c r="A469" s="15">
        <v>103128</v>
      </c>
      <c r="B469" s="13" t="s">
        <v>471</v>
      </c>
      <c r="C469" s="16">
        <v>31102691</v>
      </c>
      <c r="D469" s="16">
        <v>219.4188</v>
      </c>
      <c r="E469" s="16">
        <v>141750.34682534038</v>
      </c>
    </row>
    <row r="470" spans="1:5" x14ac:dyDescent="0.25">
      <c r="A470" s="15">
        <v>103129</v>
      </c>
      <c r="B470" s="13" t="s">
        <v>472</v>
      </c>
      <c r="C470" s="16">
        <v>31965115</v>
      </c>
      <c r="D470" s="16">
        <v>408.59300000000002</v>
      </c>
      <c r="E470" s="16">
        <v>78232.165015063889</v>
      </c>
    </row>
    <row r="471" spans="1:5" x14ac:dyDescent="0.25">
      <c r="A471" s="15">
        <v>103130</v>
      </c>
      <c r="B471" s="13" t="s">
        <v>473</v>
      </c>
      <c r="C471" s="16">
        <v>43154018</v>
      </c>
      <c r="D471" s="16">
        <v>778.2962</v>
      </c>
      <c r="E471" s="16">
        <v>55446.779773561786</v>
      </c>
    </row>
    <row r="472" spans="1:5" x14ac:dyDescent="0.25">
      <c r="A472" s="15">
        <v>103131</v>
      </c>
      <c r="B472" s="13" t="s">
        <v>474</v>
      </c>
      <c r="C472" s="16">
        <v>46891172</v>
      </c>
      <c r="D472" s="16">
        <v>680.33789999999999</v>
      </c>
      <c r="E472" s="16">
        <v>68923.35705536911</v>
      </c>
    </row>
    <row r="473" spans="1:5" x14ac:dyDescent="0.25">
      <c r="A473" s="15">
        <v>103132</v>
      </c>
      <c r="B473" s="13" t="s">
        <v>475</v>
      </c>
      <c r="C473" s="16">
        <v>182678483</v>
      </c>
      <c r="D473" s="16">
        <v>2024.9438</v>
      </c>
      <c r="E473" s="16">
        <v>90214.100262930748</v>
      </c>
    </row>
    <row r="474" spans="1:5" x14ac:dyDescent="0.25">
      <c r="A474" s="15">
        <v>103135</v>
      </c>
      <c r="B474" s="13" t="s">
        <v>476</v>
      </c>
      <c r="C474" s="16">
        <v>34919751</v>
      </c>
      <c r="D474" s="16">
        <v>512.31780000000003</v>
      </c>
      <c r="E474" s="16">
        <v>68160.331341210476</v>
      </c>
    </row>
    <row r="475" spans="1:5" x14ac:dyDescent="0.25">
      <c r="A475" s="15">
        <v>104041</v>
      </c>
      <c r="B475" s="13" t="s">
        <v>477</v>
      </c>
      <c r="C475" s="16">
        <v>10367572</v>
      </c>
      <c r="D475" s="16">
        <v>250.79409999999999</v>
      </c>
      <c r="E475" s="16">
        <v>41338.978867525198</v>
      </c>
    </row>
    <row r="476" spans="1:5" x14ac:dyDescent="0.25">
      <c r="A476" s="15">
        <v>104042</v>
      </c>
      <c r="B476" s="13" t="s">
        <v>478</v>
      </c>
      <c r="C476" s="16">
        <v>30258947</v>
      </c>
      <c r="D476" s="16">
        <v>496.04599999999999</v>
      </c>
      <c r="E476" s="16">
        <v>61000.284247831856</v>
      </c>
    </row>
    <row r="477" spans="1:5" x14ac:dyDescent="0.25">
      <c r="A477" s="15">
        <v>104043</v>
      </c>
      <c r="B477" s="13" t="s">
        <v>479</v>
      </c>
      <c r="C477" s="16">
        <v>26125883</v>
      </c>
      <c r="D477" s="16">
        <v>642.57650000000001</v>
      </c>
      <c r="E477" s="16">
        <v>40658.011925428335</v>
      </c>
    </row>
    <row r="478" spans="1:5" x14ac:dyDescent="0.25">
      <c r="A478" s="15">
        <v>104044</v>
      </c>
      <c r="B478" s="13" t="s">
        <v>480</v>
      </c>
      <c r="C478" s="16">
        <v>343371936</v>
      </c>
      <c r="D478" s="16">
        <v>1835.0334</v>
      </c>
      <c r="E478" s="16">
        <v>187120.26494994588</v>
      </c>
    </row>
    <row r="479" spans="1:5" x14ac:dyDescent="0.25">
      <c r="A479" s="15">
        <v>104045</v>
      </c>
      <c r="B479" s="13" t="s">
        <v>481</v>
      </c>
      <c r="C479" s="16">
        <v>105199797</v>
      </c>
      <c r="D479" s="16">
        <v>535.3587</v>
      </c>
      <c r="E479" s="16">
        <v>196503.38548715095</v>
      </c>
    </row>
    <row r="480" spans="1:5" x14ac:dyDescent="0.25">
      <c r="A480" s="15">
        <v>105123</v>
      </c>
      <c r="B480" s="13" t="s">
        <v>482</v>
      </c>
      <c r="C480" s="16">
        <v>23336309</v>
      </c>
      <c r="D480" s="16">
        <v>250.05080000000001</v>
      </c>
      <c r="E480" s="16">
        <v>93326.272101508963</v>
      </c>
    </row>
    <row r="481" spans="1:5" x14ac:dyDescent="0.25">
      <c r="A481" s="15">
        <v>105124</v>
      </c>
      <c r="B481" s="13" t="s">
        <v>483</v>
      </c>
      <c r="C481" s="16">
        <v>42537060</v>
      </c>
      <c r="D481" s="16">
        <v>642.77369999999996</v>
      </c>
      <c r="E481" s="16">
        <v>66177.349820006639</v>
      </c>
    </row>
    <row r="482" spans="1:5" x14ac:dyDescent="0.25">
      <c r="A482" s="15">
        <v>105125</v>
      </c>
      <c r="B482" s="13" t="s">
        <v>484</v>
      </c>
      <c r="C482" s="16">
        <v>10583508</v>
      </c>
      <c r="D482" s="16">
        <v>91.112700000000004</v>
      </c>
      <c r="E482" s="16">
        <v>116158.4279688781</v>
      </c>
    </row>
    <row r="483" spans="1:5" x14ac:dyDescent="0.25">
      <c r="A483" s="15">
        <v>106001</v>
      </c>
      <c r="B483" s="13" t="s">
        <v>485</v>
      </c>
      <c r="C483" s="16">
        <v>8017990</v>
      </c>
      <c r="D483" s="16">
        <v>171.50020000000001</v>
      </c>
      <c r="E483" s="16">
        <v>46752.073758514569</v>
      </c>
    </row>
    <row r="484" spans="1:5" x14ac:dyDescent="0.25">
      <c r="A484" s="15">
        <v>106002</v>
      </c>
      <c r="B484" s="13" t="s">
        <v>486</v>
      </c>
      <c r="C484" s="16">
        <v>10921073</v>
      </c>
      <c r="D484" s="16">
        <v>254.79349999999999</v>
      </c>
      <c r="E484" s="16">
        <v>42862.447432921173</v>
      </c>
    </row>
    <row r="485" spans="1:5" x14ac:dyDescent="0.25">
      <c r="A485" s="15">
        <v>106003</v>
      </c>
      <c r="B485" s="13" t="s">
        <v>487</v>
      </c>
      <c r="C485" s="16">
        <v>74099045</v>
      </c>
      <c r="D485" s="16">
        <v>1084.4813999999999</v>
      </c>
      <c r="E485" s="16">
        <v>68326.708968913634</v>
      </c>
    </row>
    <row r="486" spans="1:5" x14ac:dyDescent="0.25">
      <c r="A486" s="15">
        <v>106004</v>
      </c>
      <c r="B486" s="13" t="s">
        <v>488</v>
      </c>
      <c r="C486" s="16">
        <v>644673319</v>
      </c>
      <c r="D486" s="16">
        <v>4149.8806999999997</v>
      </c>
      <c r="E486" s="16">
        <v>155347.43420455436</v>
      </c>
    </row>
    <row r="487" spans="1:5" x14ac:dyDescent="0.25">
      <c r="A487" s="15">
        <v>106005</v>
      </c>
      <c r="B487" s="13" t="s">
        <v>489</v>
      </c>
      <c r="C487" s="16">
        <v>190464361</v>
      </c>
      <c r="D487" s="16">
        <v>1322.9945</v>
      </c>
      <c r="E487" s="16">
        <v>143964.59017781253</v>
      </c>
    </row>
    <row r="488" spans="1:5" x14ac:dyDescent="0.25">
      <c r="A488" s="15">
        <v>106006</v>
      </c>
      <c r="B488" s="13" t="s">
        <v>490</v>
      </c>
      <c r="C488" s="16">
        <v>37219179</v>
      </c>
      <c r="D488" s="16">
        <v>390.815</v>
      </c>
      <c r="E488" s="16">
        <v>95234.776044931743</v>
      </c>
    </row>
    <row r="489" spans="1:5" x14ac:dyDescent="0.25">
      <c r="A489" s="15">
        <v>106008</v>
      </c>
      <c r="B489" s="13" t="s">
        <v>491</v>
      </c>
      <c r="C489" s="16">
        <v>6713806</v>
      </c>
      <c r="D489" s="16">
        <v>60.356299999999997</v>
      </c>
      <c r="E489" s="16">
        <v>111236.20897901297</v>
      </c>
    </row>
    <row r="490" spans="1:5" x14ac:dyDescent="0.25">
      <c r="A490" s="15">
        <v>107151</v>
      </c>
      <c r="B490" s="13" t="s">
        <v>492</v>
      </c>
      <c r="C490" s="16">
        <v>7980081</v>
      </c>
      <c r="D490" s="16">
        <v>126.1682</v>
      </c>
      <c r="E490" s="16">
        <v>63249.543070282372</v>
      </c>
    </row>
    <row r="491" spans="1:5" x14ac:dyDescent="0.25">
      <c r="A491" s="15">
        <v>107152</v>
      </c>
      <c r="B491" s="13" t="s">
        <v>493</v>
      </c>
      <c r="C491" s="16">
        <v>55257697</v>
      </c>
      <c r="D491" s="16">
        <v>913.06169999999997</v>
      </c>
      <c r="E491" s="16">
        <v>60519.127020660271</v>
      </c>
    </row>
    <row r="492" spans="1:5" x14ac:dyDescent="0.25">
      <c r="A492" s="15">
        <v>107153</v>
      </c>
      <c r="B492" s="13" t="s">
        <v>494</v>
      </c>
      <c r="C492" s="16">
        <v>26590628</v>
      </c>
      <c r="D492" s="16">
        <v>358.97890000000001</v>
      </c>
      <c r="E492" s="16">
        <v>74072.955262830204</v>
      </c>
    </row>
    <row r="493" spans="1:5" x14ac:dyDescent="0.25">
      <c r="A493" s="15">
        <v>107154</v>
      </c>
      <c r="B493" s="13" t="s">
        <v>495</v>
      </c>
      <c r="C493" s="16">
        <v>37320203</v>
      </c>
      <c r="D493" s="16">
        <v>752.86</v>
      </c>
      <c r="E493" s="16">
        <v>49571.239008580611</v>
      </c>
    </row>
    <row r="494" spans="1:5" x14ac:dyDescent="0.25">
      <c r="A494" s="15">
        <v>107155</v>
      </c>
      <c r="B494" s="13" t="s">
        <v>496</v>
      </c>
      <c r="C494" s="16">
        <v>44723430</v>
      </c>
      <c r="D494" s="16">
        <v>719.27149999999995</v>
      </c>
      <c r="E494" s="16">
        <v>62178.787842977239</v>
      </c>
    </row>
    <row r="495" spans="1:5" x14ac:dyDescent="0.25">
      <c r="A495" s="15">
        <v>107156</v>
      </c>
      <c r="B495" s="13" t="s">
        <v>497</v>
      </c>
      <c r="C495" s="16">
        <v>32010933</v>
      </c>
      <c r="D495" s="16">
        <v>537.25319999999999</v>
      </c>
      <c r="E495" s="16">
        <v>59582.582290808132</v>
      </c>
    </row>
    <row r="496" spans="1:5" x14ac:dyDescent="0.25">
      <c r="A496" s="15">
        <v>107158</v>
      </c>
      <c r="B496" s="13" t="s">
        <v>498</v>
      </c>
      <c r="C496" s="16">
        <v>8903744</v>
      </c>
      <c r="D496" s="16">
        <v>177.0926</v>
      </c>
      <c r="E496" s="16">
        <v>50277.335134274384</v>
      </c>
    </row>
    <row r="497" spans="1:5" x14ac:dyDescent="0.25">
      <c r="A497" s="15">
        <v>108142</v>
      </c>
      <c r="B497" s="13" t="s">
        <v>499</v>
      </c>
      <c r="C497" s="16">
        <v>166621322</v>
      </c>
      <c r="D497" s="16">
        <v>2396.9204</v>
      </c>
      <c r="E497" s="16">
        <v>69514.749843173762</v>
      </c>
    </row>
    <row r="498" spans="1:5" x14ac:dyDescent="0.25">
      <c r="A498" s="15">
        <v>108143</v>
      </c>
      <c r="B498" s="13" t="s">
        <v>500</v>
      </c>
      <c r="C498" s="16">
        <v>12363834</v>
      </c>
      <c r="D498" s="16">
        <v>190.9659</v>
      </c>
      <c r="E498" s="16">
        <v>64743.674132397457</v>
      </c>
    </row>
    <row r="499" spans="1:5" x14ac:dyDescent="0.25">
      <c r="A499" s="15">
        <v>108144</v>
      </c>
      <c r="B499" s="13" t="s">
        <v>501</v>
      </c>
      <c r="C499" s="16">
        <v>11391713</v>
      </c>
      <c r="D499" s="16">
        <v>180.69030000000001</v>
      </c>
      <c r="E499" s="16">
        <v>63045.514894822794</v>
      </c>
    </row>
    <row r="500" spans="1:5" x14ac:dyDescent="0.25">
      <c r="A500" s="15">
        <v>108147</v>
      </c>
      <c r="B500" s="13" t="s">
        <v>502</v>
      </c>
      <c r="C500" s="16">
        <v>17179322</v>
      </c>
      <c r="D500" s="16">
        <v>203.46709999999999</v>
      </c>
      <c r="E500" s="16">
        <v>84432.923062254296</v>
      </c>
    </row>
    <row r="501" spans="1:5" x14ac:dyDescent="0.25">
      <c r="A501" s="15">
        <v>109002</v>
      </c>
      <c r="B501" s="13" t="s">
        <v>522</v>
      </c>
      <c r="C501" s="16">
        <v>177900783</v>
      </c>
      <c r="D501" s="16">
        <v>1477.6297</v>
      </c>
      <c r="E501" s="16">
        <v>120396.05254279879</v>
      </c>
    </row>
    <row r="502" spans="1:5" x14ac:dyDescent="0.25">
      <c r="A502" s="15">
        <v>109003</v>
      </c>
      <c r="B502" s="13" t="s">
        <v>503</v>
      </c>
      <c r="C502" s="16">
        <v>258684538</v>
      </c>
      <c r="D502" s="16">
        <v>2982.6677</v>
      </c>
      <c r="E502" s="16">
        <v>86729.25180367897</v>
      </c>
    </row>
    <row r="503" spans="1:5" x14ac:dyDescent="0.25">
      <c r="A503" s="15">
        <v>110014</v>
      </c>
      <c r="B503" s="13" t="s">
        <v>504</v>
      </c>
      <c r="C503" s="16">
        <v>29979645</v>
      </c>
      <c r="D503" s="16">
        <v>760.67639999999994</v>
      </c>
      <c r="E503" s="16">
        <v>39411.824791724845</v>
      </c>
    </row>
    <row r="504" spans="1:5" x14ac:dyDescent="0.25">
      <c r="A504" s="15">
        <v>110029</v>
      </c>
      <c r="B504" s="13" t="s">
        <v>505</v>
      </c>
      <c r="C504" s="16">
        <v>85121373</v>
      </c>
      <c r="D504" s="16">
        <v>2210.3438999999998</v>
      </c>
      <c r="E504" s="16">
        <v>38510.465724360816</v>
      </c>
    </row>
    <row r="505" spans="1:5" x14ac:dyDescent="0.25">
      <c r="A505" s="15">
        <v>110030</v>
      </c>
      <c r="B505" s="13" t="s">
        <v>506</v>
      </c>
      <c r="C505" s="16">
        <v>12863826</v>
      </c>
      <c r="D505" s="16">
        <v>212.5514</v>
      </c>
      <c r="E505" s="16">
        <v>60521.012799727498</v>
      </c>
    </row>
    <row r="506" spans="1:5" x14ac:dyDescent="0.25">
      <c r="A506" s="15">
        <v>110031</v>
      </c>
      <c r="B506" s="13" t="s">
        <v>507</v>
      </c>
      <c r="C506" s="16">
        <v>22841894</v>
      </c>
      <c r="D506" s="16">
        <v>339.9545</v>
      </c>
      <c r="E506" s="16">
        <v>67191.032917640448</v>
      </c>
    </row>
    <row r="507" spans="1:5" x14ac:dyDescent="0.25">
      <c r="A507" s="15">
        <v>111086</v>
      </c>
      <c r="B507" s="13" t="s">
        <v>508</v>
      </c>
      <c r="C507" s="16">
        <v>42043872</v>
      </c>
      <c r="D507" s="16">
        <v>767.34469999999999</v>
      </c>
      <c r="E507" s="16">
        <v>54791.376026966762</v>
      </c>
    </row>
    <row r="508" spans="1:5" x14ac:dyDescent="0.25">
      <c r="A508" s="15">
        <v>111087</v>
      </c>
      <c r="B508" s="13" t="s">
        <v>509</v>
      </c>
      <c r="C508" s="16">
        <v>63749403</v>
      </c>
      <c r="D508" s="16">
        <v>976.91669999999999</v>
      </c>
      <c r="E508" s="16">
        <v>65255.720370017218</v>
      </c>
    </row>
    <row r="509" spans="1:5" x14ac:dyDescent="0.25">
      <c r="A509" s="15">
        <v>112099</v>
      </c>
      <c r="B509" s="13" t="s">
        <v>510</v>
      </c>
      <c r="C509" s="16">
        <v>13952771</v>
      </c>
      <c r="D509" s="16">
        <v>237.50530000000001</v>
      </c>
      <c r="E509" s="16">
        <v>58747.198483570683</v>
      </c>
    </row>
    <row r="510" spans="1:5" x14ac:dyDescent="0.25">
      <c r="A510" s="15">
        <v>112101</v>
      </c>
      <c r="B510" s="13" t="s">
        <v>511</v>
      </c>
      <c r="C510" s="16">
        <v>30503377</v>
      </c>
      <c r="D510" s="16">
        <v>575.48630000000003</v>
      </c>
      <c r="E510" s="16">
        <v>53004.52330489883</v>
      </c>
    </row>
    <row r="511" spans="1:5" x14ac:dyDescent="0.25">
      <c r="A511" s="15">
        <v>112102</v>
      </c>
      <c r="B511" s="13" t="s">
        <v>512</v>
      </c>
      <c r="C511" s="16">
        <v>174757728</v>
      </c>
      <c r="D511" s="16">
        <v>2832.8148000000001</v>
      </c>
      <c r="E511" s="16">
        <v>61690.488202758614</v>
      </c>
    </row>
    <row r="512" spans="1:5" x14ac:dyDescent="0.25">
      <c r="A512" s="15">
        <v>112103</v>
      </c>
      <c r="B512" s="13" t="s">
        <v>513</v>
      </c>
      <c r="C512" s="16">
        <v>44029158</v>
      </c>
      <c r="D512" s="16">
        <v>731.78369999999995</v>
      </c>
      <c r="E512" s="16">
        <v>60166.901777123487</v>
      </c>
    </row>
    <row r="513" spans="1:5" x14ac:dyDescent="0.25">
      <c r="A513" s="15">
        <v>113001</v>
      </c>
      <c r="B513" s="13" t="s">
        <v>514</v>
      </c>
      <c r="C513" s="16">
        <v>26372530</v>
      </c>
      <c r="D513" s="16">
        <v>302.04430000000002</v>
      </c>
      <c r="E513" s="16">
        <v>87313.450377974354</v>
      </c>
    </row>
    <row r="514" spans="1:5" x14ac:dyDescent="0.25">
      <c r="A514" s="15">
        <v>114112</v>
      </c>
      <c r="B514" s="13" t="s">
        <v>515</v>
      </c>
      <c r="C514" s="16">
        <v>16083965</v>
      </c>
      <c r="D514" s="16">
        <v>387.92439999999999</v>
      </c>
      <c r="E514" s="16">
        <v>41461.596640994998</v>
      </c>
    </row>
    <row r="515" spans="1:5" x14ac:dyDescent="0.25">
      <c r="A515" s="15">
        <v>114113</v>
      </c>
      <c r="B515" s="13" t="s">
        <v>516</v>
      </c>
      <c r="C515" s="16">
        <v>34599585</v>
      </c>
      <c r="D515" s="16">
        <v>643.32929999999999</v>
      </c>
      <c r="E515" s="16">
        <v>53782.07552492946</v>
      </c>
    </row>
    <row r="516" spans="1:5" x14ac:dyDescent="0.25">
      <c r="A516" s="15">
        <v>114114</v>
      </c>
      <c r="B516" s="13" t="s">
        <v>517</v>
      </c>
      <c r="C516" s="16">
        <v>87026758</v>
      </c>
      <c r="D516" s="16">
        <v>1387.0210999999999</v>
      </c>
      <c r="E516" s="16">
        <v>62743.643914285087</v>
      </c>
    </row>
    <row r="517" spans="1:5" x14ac:dyDescent="0.25">
      <c r="A517" s="15">
        <v>114115</v>
      </c>
      <c r="B517" s="13" t="s">
        <v>518</v>
      </c>
      <c r="C517" s="16">
        <v>34641930</v>
      </c>
      <c r="D517" s="16">
        <v>692.75049999999999</v>
      </c>
      <c r="E517" s="16">
        <v>50006.358710675777</v>
      </c>
    </row>
    <row r="518" spans="1:5" x14ac:dyDescent="0.25">
      <c r="A518" s="15">
        <v>114116</v>
      </c>
      <c r="B518" s="13" t="s">
        <v>519</v>
      </c>
      <c r="C518" s="16">
        <v>4837679</v>
      </c>
      <c r="D518" s="16">
        <v>75.5167</v>
      </c>
      <c r="E518" s="16">
        <v>64061.048748157693</v>
      </c>
    </row>
    <row r="519" spans="1:5" x14ac:dyDescent="0.25">
      <c r="A519" s="15">
        <v>115115</v>
      </c>
      <c r="B519" s="13" t="s">
        <v>1589</v>
      </c>
      <c r="C519" s="16">
        <v>3937987680</v>
      </c>
      <c r="D519" s="16">
        <v>32550.733199999999</v>
      </c>
      <c r="E519" s="16">
        <f>C519/D519</f>
        <v>120979.99930766536</v>
      </c>
    </row>
    <row r="520" spans="1:5" x14ac:dyDescent="0.25">
      <c r="C520" s="12"/>
      <c r="D520" s="12"/>
    </row>
    <row r="521" spans="1:5" ht="15.75" thickBot="1" x14ac:dyDescent="0.3">
      <c r="A521" s="26" t="s">
        <v>1048</v>
      </c>
      <c r="B521" s="24"/>
      <c r="C521" s="27"/>
      <c r="D521" s="18"/>
      <c r="E521" s="5">
        <f>AVERAGE(E2:E519)</f>
        <v>93113.411309548013</v>
      </c>
    </row>
    <row r="522" spans="1:5" ht="15.75" thickTop="1" x14ac:dyDescent="0.25">
      <c r="A522" s="11" t="s">
        <v>3</v>
      </c>
    </row>
    <row r="523" spans="1:5" x14ac:dyDescent="0.25">
      <c r="A523" s="11"/>
    </row>
    <row r="524" spans="1:5" x14ac:dyDescent="0.25">
      <c r="A524" s="11" t="s">
        <v>4</v>
      </c>
    </row>
    <row r="525" spans="1:5" x14ac:dyDescent="0.25">
      <c r="A525" s="11" t="s">
        <v>5</v>
      </c>
    </row>
    <row r="526" spans="1:5" x14ac:dyDescent="0.25">
      <c r="A526" s="11"/>
    </row>
    <row r="527" spans="1:5" x14ac:dyDescent="0.25">
      <c r="A527" s="11" t="s">
        <v>6</v>
      </c>
    </row>
    <row r="528" spans="1:5" x14ac:dyDescent="0.25">
      <c r="A528" s="11" t="s">
        <v>7</v>
      </c>
    </row>
    <row r="529" spans="1:1" x14ac:dyDescent="0.25">
      <c r="A529" s="11"/>
    </row>
    <row r="530" spans="1:1" x14ac:dyDescent="0.25">
      <c r="A530" s="11" t="s">
        <v>1046</v>
      </c>
    </row>
    <row r="531" spans="1:1" x14ac:dyDescent="0.25">
      <c r="A531" s="11" t="s">
        <v>1047</v>
      </c>
    </row>
  </sheetData>
  <pageMargins left="0.7" right="0.7" top="0.97499999999999998" bottom="0.75" header="0.3" footer="0.3"/>
  <pageSetup orientation="portrait" horizontalDpi="4294967295" verticalDpi="4294967295" r:id="rId1"/>
  <headerFooter>
    <oddHeader xml:space="preserve">&amp;C&amp;"-,Bold"Missouri Department of Elementary and Secondary Education
School Finance 
Assessed Valuation per ADA for 2013-2014
</oddHeader>
    <oddFooter>&amp;LDecember 11, 2018&amp;R&amp;P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3"/>
  <sheetViews>
    <sheetView view="pageLayout" zoomScaleNormal="100" workbookViewId="0">
      <selection activeCell="B16" sqref="B16"/>
    </sheetView>
  </sheetViews>
  <sheetFormatPr defaultColWidth="8.85546875" defaultRowHeight="15" x14ac:dyDescent="0.25"/>
  <cols>
    <col min="1" max="1" width="9.140625" style="15" customWidth="1"/>
    <col min="2" max="2" width="28.85546875" style="13" bestFit="1" customWidth="1"/>
    <col min="3" max="3" width="15.42578125" style="17" bestFit="1" customWidth="1"/>
    <col min="4" max="4" width="12.140625" style="14" bestFit="1" customWidth="1"/>
    <col min="5" max="5" width="15.42578125" style="16" customWidth="1"/>
    <col min="6" max="16384" width="8.85546875" style="13"/>
  </cols>
  <sheetData>
    <row r="1" spans="1:5" s="1" customFormat="1" ht="45.75" thickBot="1" x14ac:dyDescent="0.3">
      <c r="A1" s="6" t="s">
        <v>0</v>
      </c>
      <c r="B1" s="7" t="s">
        <v>1</v>
      </c>
      <c r="C1" s="8" t="s">
        <v>1049</v>
      </c>
      <c r="D1" s="9" t="s">
        <v>1043</v>
      </c>
      <c r="E1" s="10" t="s">
        <v>2</v>
      </c>
    </row>
    <row r="2" spans="1:5" x14ac:dyDescent="0.25">
      <c r="A2" s="15">
        <v>1090</v>
      </c>
      <c r="B2" s="11" t="s">
        <v>8</v>
      </c>
      <c r="C2" s="16">
        <v>14734711</v>
      </c>
      <c r="D2" s="14">
        <v>255.11799999999999</v>
      </c>
      <c r="E2" s="16">
        <v>57756.453876245505</v>
      </c>
    </row>
    <row r="3" spans="1:5" x14ac:dyDescent="0.25">
      <c r="A3" s="15">
        <v>1091</v>
      </c>
      <c r="B3" s="11" t="s">
        <v>9</v>
      </c>
      <c r="C3" s="16">
        <v>201953509</v>
      </c>
      <c r="D3" s="14">
        <v>2380.2386000000001</v>
      </c>
      <c r="E3" s="16">
        <v>84845.909565536829</v>
      </c>
    </row>
    <row r="4" spans="1:5" x14ac:dyDescent="0.25">
      <c r="A4" s="15">
        <v>1092</v>
      </c>
      <c r="B4" s="11" t="s">
        <v>10</v>
      </c>
      <c r="C4" s="16">
        <v>13132714</v>
      </c>
      <c r="D4" s="14">
        <v>194.8091</v>
      </c>
      <c r="E4" s="16">
        <v>67413.247122439352</v>
      </c>
    </row>
    <row r="5" spans="1:5" x14ac:dyDescent="0.25">
      <c r="A5" s="15">
        <v>2089</v>
      </c>
      <c r="B5" s="11" t="s">
        <v>11</v>
      </c>
      <c r="C5" s="16">
        <v>19437070</v>
      </c>
      <c r="D5" s="14">
        <v>349.61200000000002</v>
      </c>
      <c r="E5" s="16">
        <v>55596.117982220283</v>
      </c>
    </row>
    <row r="6" spans="1:5" x14ac:dyDescent="0.25">
      <c r="A6" s="15">
        <v>2090</v>
      </c>
      <c r="B6" s="11" t="s">
        <v>12</v>
      </c>
      <c r="C6" s="16">
        <v>19290600</v>
      </c>
      <c r="D6" s="14">
        <v>186.87909999999999</v>
      </c>
      <c r="E6" s="16">
        <v>103225.02623353816</v>
      </c>
    </row>
    <row r="7" spans="1:5" x14ac:dyDescent="0.25">
      <c r="A7" s="15">
        <v>2097</v>
      </c>
      <c r="B7" s="11" t="s">
        <v>13</v>
      </c>
      <c r="C7" s="16">
        <v>157999560</v>
      </c>
      <c r="D7" s="14">
        <v>2228.5138999999999</v>
      </c>
      <c r="E7" s="16">
        <v>70899.06865736848</v>
      </c>
    </row>
    <row r="8" spans="1:5" x14ac:dyDescent="0.25">
      <c r="A8" s="15">
        <v>3031</v>
      </c>
      <c r="B8" s="11" t="s">
        <v>14</v>
      </c>
      <c r="C8" s="16">
        <v>42332337</v>
      </c>
      <c r="D8" s="14">
        <v>282.41059999999999</v>
      </c>
      <c r="E8" s="16">
        <v>149896.41677755723</v>
      </c>
    </row>
    <row r="9" spans="1:5" x14ac:dyDescent="0.25">
      <c r="A9" s="15">
        <v>3032</v>
      </c>
      <c r="B9" s="11" t="s">
        <v>15</v>
      </c>
      <c r="C9" s="16">
        <v>43685222</v>
      </c>
      <c r="D9" s="14">
        <v>339.072</v>
      </c>
      <c r="E9" s="16">
        <v>128837.59791430729</v>
      </c>
    </row>
    <row r="10" spans="1:5" x14ac:dyDescent="0.25">
      <c r="A10" s="15">
        <v>3033</v>
      </c>
      <c r="B10" s="11" t="s">
        <v>16</v>
      </c>
      <c r="C10" s="16">
        <v>17086956</v>
      </c>
      <c r="D10" s="14">
        <v>127.0763</v>
      </c>
      <c r="E10" s="16">
        <v>134462.17744772235</v>
      </c>
    </row>
    <row r="11" spans="1:5" x14ac:dyDescent="0.25">
      <c r="A11" s="15">
        <v>4106</v>
      </c>
      <c r="B11" s="11" t="s">
        <v>17</v>
      </c>
      <c r="C11" s="16">
        <v>27985936</v>
      </c>
      <c r="D11" s="14">
        <v>256.738</v>
      </c>
      <c r="E11" s="16">
        <v>109005.81916194721</v>
      </c>
    </row>
    <row r="12" spans="1:5" x14ac:dyDescent="0.25">
      <c r="A12" s="15">
        <v>4109</v>
      </c>
      <c r="B12" s="11" t="s">
        <v>18</v>
      </c>
      <c r="C12" s="16">
        <v>40648827</v>
      </c>
      <c r="D12" s="14">
        <v>574.61369999999999</v>
      </c>
      <c r="E12" s="16">
        <v>70741.137915785861</v>
      </c>
    </row>
    <row r="13" spans="1:5" x14ac:dyDescent="0.25">
      <c r="A13" s="15">
        <v>4110</v>
      </c>
      <c r="B13" s="11" t="s">
        <v>19</v>
      </c>
      <c r="C13" s="16">
        <v>185122209</v>
      </c>
      <c r="D13" s="14">
        <v>2282.8226</v>
      </c>
      <c r="E13" s="16">
        <v>81093.55891254975</v>
      </c>
    </row>
    <row r="14" spans="1:5" x14ac:dyDescent="0.25">
      <c r="A14" s="15">
        <v>5120</v>
      </c>
      <c r="B14" s="11" t="s">
        <v>20</v>
      </c>
      <c r="C14" s="16">
        <v>18619678</v>
      </c>
      <c r="D14" s="14">
        <v>384.22570000000002</v>
      </c>
      <c r="E14" s="16">
        <v>48460.261768018121</v>
      </c>
    </row>
    <row r="15" spans="1:5" x14ac:dyDescent="0.25">
      <c r="A15" s="15">
        <v>5121</v>
      </c>
      <c r="B15" s="11" t="s">
        <v>21</v>
      </c>
      <c r="C15" s="16">
        <v>33687762</v>
      </c>
      <c r="D15" s="14">
        <v>785.16970000000003</v>
      </c>
      <c r="E15" s="16">
        <v>42905.071349543927</v>
      </c>
    </row>
    <row r="16" spans="1:5" x14ac:dyDescent="0.25">
      <c r="A16" s="15">
        <v>5122</v>
      </c>
      <c r="B16" s="11" t="s">
        <v>22</v>
      </c>
      <c r="C16" s="16">
        <v>13030288</v>
      </c>
      <c r="D16" s="14">
        <v>311.32089999999999</v>
      </c>
      <c r="E16" s="16">
        <v>41854.844952587511</v>
      </c>
    </row>
    <row r="17" spans="1:5" x14ac:dyDescent="0.25">
      <c r="A17" s="15">
        <v>5123</v>
      </c>
      <c r="B17" s="11" t="s">
        <v>23</v>
      </c>
      <c r="C17" s="16">
        <v>157207154</v>
      </c>
      <c r="D17" s="14">
        <v>1704.5686000000001</v>
      </c>
      <c r="E17" s="16">
        <v>92226.944694393635</v>
      </c>
    </row>
    <row r="18" spans="1:5" x14ac:dyDescent="0.25">
      <c r="A18" s="15">
        <v>5124</v>
      </c>
      <c r="B18" s="11" t="s">
        <v>24</v>
      </c>
      <c r="C18" s="16">
        <v>25287740</v>
      </c>
      <c r="D18" s="14">
        <v>643.15309999999999</v>
      </c>
      <c r="E18" s="16">
        <v>39318.383134591124</v>
      </c>
    </row>
    <row r="19" spans="1:5" x14ac:dyDescent="0.25">
      <c r="A19" s="15">
        <v>5127</v>
      </c>
      <c r="B19" s="11" t="s">
        <v>25</v>
      </c>
      <c r="C19" s="16">
        <v>59550663</v>
      </c>
      <c r="D19" s="14">
        <v>172.06979999999999</v>
      </c>
      <c r="E19" s="16">
        <v>346084.33902985882</v>
      </c>
    </row>
    <row r="20" spans="1:5" x14ac:dyDescent="0.25">
      <c r="A20" s="15">
        <v>5128</v>
      </c>
      <c r="B20" s="11" t="s">
        <v>26</v>
      </c>
      <c r="C20" s="16">
        <v>155356430</v>
      </c>
      <c r="D20" s="14">
        <v>2193.3054999999999</v>
      </c>
      <c r="E20" s="16">
        <v>70832.09794531588</v>
      </c>
    </row>
    <row r="21" spans="1:5" x14ac:dyDescent="0.25">
      <c r="A21" s="15">
        <v>6101</v>
      </c>
      <c r="B21" s="11" t="s">
        <v>27</v>
      </c>
      <c r="C21" s="16">
        <v>30004729</v>
      </c>
      <c r="D21" s="14">
        <v>450.48660000000001</v>
      </c>
      <c r="E21" s="16">
        <v>66605.15318324673</v>
      </c>
    </row>
    <row r="22" spans="1:5" x14ac:dyDescent="0.25">
      <c r="A22" s="15">
        <v>6103</v>
      </c>
      <c r="B22" s="11" t="s">
        <v>28</v>
      </c>
      <c r="C22" s="16">
        <v>16798339</v>
      </c>
      <c r="D22" s="14">
        <v>222.03489999999999</v>
      </c>
      <c r="E22" s="16">
        <v>75656.299978066512</v>
      </c>
    </row>
    <row r="23" spans="1:5" x14ac:dyDescent="0.25">
      <c r="A23" s="15">
        <v>6104</v>
      </c>
      <c r="B23" s="11" t="s">
        <v>29</v>
      </c>
      <c r="C23" s="16">
        <v>103171054</v>
      </c>
      <c r="D23" s="14">
        <v>1258.0512000000001</v>
      </c>
      <c r="E23" s="16">
        <v>82008.628901590011</v>
      </c>
    </row>
    <row r="24" spans="1:5" x14ac:dyDescent="0.25">
      <c r="A24" s="15">
        <v>7121</v>
      </c>
      <c r="B24" s="11" t="s">
        <v>30</v>
      </c>
      <c r="C24" s="16">
        <v>13460926</v>
      </c>
      <c r="D24" s="14">
        <v>180.08860000000001</v>
      </c>
      <c r="E24" s="16">
        <v>74746.130515757235</v>
      </c>
    </row>
    <row r="25" spans="1:5" x14ac:dyDescent="0.25">
      <c r="A25" s="15">
        <v>7122</v>
      </c>
      <c r="B25" s="11" t="s">
        <v>31</v>
      </c>
      <c r="C25" s="16">
        <v>9208339</v>
      </c>
      <c r="D25" s="14">
        <v>146.31720000000001</v>
      </c>
      <c r="E25" s="16">
        <v>62934.084304511016</v>
      </c>
    </row>
    <row r="26" spans="1:5" x14ac:dyDescent="0.25">
      <c r="A26" s="15">
        <v>7123</v>
      </c>
      <c r="B26" s="11" t="s">
        <v>32</v>
      </c>
      <c r="C26" s="16">
        <v>36686539</v>
      </c>
      <c r="D26" s="14">
        <v>690.92409999999995</v>
      </c>
      <c r="E26" s="16">
        <v>53097.784546812021</v>
      </c>
    </row>
    <row r="27" spans="1:5" x14ac:dyDescent="0.25">
      <c r="A27" s="15">
        <v>7124</v>
      </c>
      <c r="B27" s="11" t="s">
        <v>33</v>
      </c>
      <c r="C27" s="16">
        <v>21305991</v>
      </c>
      <c r="D27" s="14">
        <v>393.9701</v>
      </c>
      <c r="E27" s="16">
        <v>54080.22334689866</v>
      </c>
    </row>
    <row r="28" spans="1:5" x14ac:dyDescent="0.25">
      <c r="A28" s="15">
        <v>7125</v>
      </c>
      <c r="B28" s="11" t="s">
        <v>34</v>
      </c>
      <c r="C28" s="16">
        <v>7581697</v>
      </c>
      <c r="D28" s="14">
        <v>131.64510000000001</v>
      </c>
      <c r="E28" s="16">
        <v>57591.942275101763</v>
      </c>
    </row>
    <row r="29" spans="1:5" x14ac:dyDescent="0.25">
      <c r="A29" s="15">
        <v>7126</v>
      </c>
      <c r="B29" s="11" t="s">
        <v>35</v>
      </c>
      <c r="C29" s="16">
        <v>6655647</v>
      </c>
      <c r="D29" s="14">
        <v>74.925799999999995</v>
      </c>
      <c r="E29" s="16">
        <v>88829.842324005891</v>
      </c>
    </row>
    <row r="30" spans="1:5" x14ac:dyDescent="0.25">
      <c r="A30" s="15">
        <v>7129</v>
      </c>
      <c r="B30" s="11" t="s">
        <v>36</v>
      </c>
      <c r="C30" s="16">
        <v>69570110</v>
      </c>
      <c r="D30" s="14">
        <v>949.4923</v>
      </c>
      <c r="E30" s="16">
        <v>73270.852222814239</v>
      </c>
    </row>
    <row r="31" spans="1:5" x14ac:dyDescent="0.25">
      <c r="A31" s="15">
        <v>8106</v>
      </c>
      <c r="B31" s="11" t="s">
        <v>37</v>
      </c>
      <c r="C31" s="16">
        <v>42515258</v>
      </c>
      <c r="D31" s="14">
        <v>469.94459999999998</v>
      </c>
      <c r="E31" s="16">
        <v>90468.65949731096</v>
      </c>
    </row>
    <row r="32" spans="1:5" x14ac:dyDescent="0.25">
      <c r="A32" s="15">
        <v>8107</v>
      </c>
      <c r="B32" s="11" t="s">
        <v>38</v>
      </c>
      <c r="C32" s="16">
        <v>144466553</v>
      </c>
      <c r="D32" s="14">
        <v>1224.9590000000001</v>
      </c>
      <c r="E32" s="16">
        <v>117935.8272399321</v>
      </c>
    </row>
    <row r="33" spans="1:5" x14ac:dyDescent="0.25">
      <c r="A33" s="15">
        <v>8111</v>
      </c>
      <c r="B33" s="11" t="s">
        <v>39</v>
      </c>
      <c r="C33" s="16">
        <v>53007070</v>
      </c>
      <c r="D33" s="14">
        <v>722.87070000000006</v>
      </c>
      <c r="E33" s="16">
        <v>73328.563462317674</v>
      </c>
    </row>
    <row r="34" spans="1:5" x14ac:dyDescent="0.25">
      <c r="A34" s="15">
        <v>9077</v>
      </c>
      <c r="B34" s="11" t="s">
        <v>40</v>
      </c>
      <c r="C34" s="16">
        <v>33484385</v>
      </c>
      <c r="D34" s="14">
        <v>509.92329999999998</v>
      </c>
      <c r="E34" s="16">
        <v>65665.532443800868</v>
      </c>
    </row>
    <row r="35" spans="1:5" x14ac:dyDescent="0.25">
      <c r="A35" s="15">
        <v>9078</v>
      </c>
      <c r="B35" s="11" t="s">
        <v>41</v>
      </c>
      <c r="C35" s="16">
        <v>8336345</v>
      </c>
      <c r="D35" s="14">
        <v>183.08279999999999</v>
      </c>
      <c r="E35" s="16">
        <v>45533.195909173337</v>
      </c>
    </row>
    <row r="36" spans="1:5" x14ac:dyDescent="0.25">
      <c r="A36" s="15">
        <v>9079</v>
      </c>
      <c r="B36" s="11" t="s">
        <v>42</v>
      </c>
      <c r="C36" s="16">
        <v>12624390</v>
      </c>
      <c r="D36" s="14">
        <v>231.23330000000001</v>
      </c>
      <c r="E36" s="16">
        <v>54595.89946603711</v>
      </c>
    </row>
    <row r="37" spans="1:5" x14ac:dyDescent="0.25">
      <c r="A37" s="15">
        <v>9080</v>
      </c>
      <c r="B37" s="11" t="s">
        <v>43</v>
      </c>
      <c r="C37" s="16">
        <v>51366874</v>
      </c>
      <c r="D37" s="14">
        <v>878.7183</v>
      </c>
      <c r="E37" s="16">
        <v>58456.588419747262</v>
      </c>
    </row>
    <row r="38" spans="1:5" x14ac:dyDescent="0.25">
      <c r="A38" s="15">
        <v>10087</v>
      </c>
      <c r="B38" s="11" t="s">
        <v>44</v>
      </c>
      <c r="C38" s="16">
        <v>109601178</v>
      </c>
      <c r="D38" s="14">
        <v>1462.7647999999999</v>
      </c>
      <c r="E38" s="16">
        <v>74927.410066197932</v>
      </c>
    </row>
    <row r="39" spans="1:5" x14ac:dyDescent="0.25">
      <c r="A39" s="15">
        <v>10089</v>
      </c>
      <c r="B39" s="11" t="s">
        <v>45</v>
      </c>
      <c r="C39" s="16">
        <v>72308887</v>
      </c>
      <c r="D39" s="14">
        <v>1362.9293</v>
      </c>
      <c r="E39" s="16">
        <v>53054.026353384579</v>
      </c>
    </row>
    <row r="40" spans="1:5" x14ac:dyDescent="0.25">
      <c r="A40" s="15">
        <v>10090</v>
      </c>
      <c r="B40" s="11" t="s">
        <v>46</v>
      </c>
      <c r="C40" s="16">
        <v>32111964</v>
      </c>
      <c r="D40" s="14">
        <v>446.36450000000002</v>
      </c>
      <c r="E40" s="16">
        <v>71941.124350166734</v>
      </c>
    </row>
    <row r="41" spans="1:5" x14ac:dyDescent="0.25">
      <c r="A41" s="15">
        <v>10091</v>
      </c>
      <c r="B41" s="11" t="s">
        <v>47</v>
      </c>
      <c r="C41" s="16">
        <v>88278381</v>
      </c>
      <c r="D41" s="14">
        <v>1349.4555</v>
      </c>
      <c r="E41" s="16">
        <v>65417.778503996611</v>
      </c>
    </row>
    <row r="42" spans="1:5" x14ac:dyDescent="0.25">
      <c r="A42" s="15">
        <v>10092</v>
      </c>
      <c r="B42" s="11" t="s">
        <v>48</v>
      </c>
      <c r="C42" s="16">
        <v>35947886</v>
      </c>
      <c r="D42" s="14">
        <v>518.38009999999997</v>
      </c>
      <c r="E42" s="16">
        <v>69346.577926120241</v>
      </c>
    </row>
    <row r="43" spans="1:5" x14ac:dyDescent="0.25">
      <c r="A43" s="15">
        <v>10093</v>
      </c>
      <c r="B43" s="11" t="s">
        <v>49</v>
      </c>
      <c r="C43" s="16">
        <v>2089930353</v>
      </c>
      <c r="D43" s="14">
        <v>16310.6777</v>
      </c>
      <c r="E43" s="16">
        <v>128132.64975495162</v>
      </c>
    </row>
    <row r="44" spans="1:5" x14ac:dyDescent="0.25">
      <c r="A44" s="15">
        <v>11076</v>
      </c>
      <c r="B44" s="11" t="s">
        <v>50</v>
      </c>
      <c r="C44" s="16">
        <v>51905990</v>
      </c>
      <c r="D44" s="14">
        <v>718.154</v>
      </c>
      <c r="E44" s="16">
        <v>72276.962879828003</v>
      </c>
    </row>
    <row r="45" spans="1:5" x14ac:dyDescent="0.25">
      <c r="A45" s="15">
        <v>11078</v>
      </c>
      <c r="B45" s="11" t="s">
        <v>51</v>
      </c>
      <c r="C45" s="16">
        <v>56582390</v>
      </c>
      <c r="D45" s="14">
        <v>635.8107</v>
      </c>
      <c r="E45" s="16">
        <v>88992.50987754688</v>
      </c>
    </row>
    <row r="46" spans="1:5" x14ac:dyDescent="0.25">
      <c r="A46" s="15">
        <v>11079</v>
      </c>
      <c r="B46" s="11" t="s">
        <v>52</v>
      </c>
      <c r="C46" s="16">
        <v>18998630</v>
      </c>
      <c r="D46" s="14">
        <v>292.13040000000001</v>
      </c>
      <c r="E46" s="16">
        <v>65034.758450335874</v>
      </c>
    </row>
    <row r="47" spans="1:5" x14ac:dyDescent="0.25">
      <c r="A47" s="15">
        <v>11082</v>
      </c>
      <c r="B47" s="11" t="s">
        <v>53</v>
      </c>
      <c r="C47" s="16">
        <v>996823922</v>
      </c>
      <c r="D47" s="14">
        <v>11141.140600000001</v>
      </c>
      <c r="E47" s="16">
        <v>89472.340201864063</v>
      </c>
    </row>
    <row r="48" spans="1:5" x14ac:dyDescent="0.25">
      <c r="A48" s="15">
        <v>12108</v>
      </c>
      <c r="B48" s="11" t="s">
        <v>54</v>
      </c>
      <c r="C48" s="16">
        <v>32467641</v>
      </c>
      <c r="D48" s="14">
        <v>581.12289999999996</v>
      </c>
      <c r="E48" s="16">
        <v>55870.524118048008</v>
      </c>
    </row>
    <row r="49" spans="1:5" x14ac:dyDescent="0.25">
      <c r="A49" s="15">
        <v>12109</v>
      </c>
      <c r="B49" s="11" t="s">
        <v>55</v>
      </c>
      <c r="C49" s="16">
        <v>407599993</v>
      </c>
      <c r="D49" s="14">
        <v>4825.6364000000003</v>
      </c>
      <c r="E49" s="16">
        <v>84465.541788436443</v>
      </c>
    </row>
    <row r="50" spans="1:5" x14ac:dyDescent="0.25">
      <c r="A50" s="15">
        <v>12110</v>
      </c>
      <c r="B50" s="11" t="s">
        <v>56</v>
      </c>
      <c r="C50" s="16">
        <v>58126657</v>
      </c>
      <c r="D50" s="14">
        <v>900.29849999999999</v>
      </c>
      <c r="E50" s="16">
        <v>64563.760797113406</v>
      </c>
    </row>
    <row r="51" spans="1:5" x14ac:dyDescent="0.25">
      <c r="A51" s="15">
        <v>13054</v>
      </c>
      <c r="B51" s="11" t="s">
        <v>57</v>
      </c>
      <c r="C51" s="16">
        <v>6399402</v>
      </c>
      <c r="D51" s="14">
        <v>71.026600000000002</v>
      </c>
      <c r="E51" s="16">
        <v>90098.667259871654</v>
      </c>
    </row>
    <row r="52" spans="1:5" x14ac:dyDescent="0.25">
      <c r="A52" s="15">
        <v>13055</v>
      </c>
      <c r="B52" s="11" t="s">
        <v>58</v>
      </c>
      <c r="C52" s="16">
        <v>35457047</v>
      </c>
      <c r="D52" s="14">
        <v>635.72739999999999</v>
      </c>
      <c r="E52" s="16">
        <v>55773.979539028835</v>
      </c>
    </row>
    <row r="53" spans="1:5" x14ac:dyDescent="0.25">
      <c r="A53" s="15">
        <v>13057</v>
      </c>
      <c r="B53" s="11" t="s">
        <v>59</v>
      </c>
      <c r="C53" s="16">
        <v>3674330</v>
      </c>
      <c r="D53" s="14">
        <v>52.953600000000002</v>
      </c>
      <c r="E53" s="16">
        <v>69387.728124244619</v>
      </c>
    </row>
    <row r="54" spans="1:5" x14ac:dyDescent="0.25">
      <c r="A54" s="15">
        <v>13058</v>
      </c>
      <c r="B54" s="11" t="s">
        <v>60</v>
      </c>
      <c r="C54" s="16">
        <v>3842260</v>
      </c>
      <c r="D54" s="14">
        <v>34.349299999999999</v>
      </c>
      <c r="E54" s="16">
        <v>111858.46582026417</v>
      </c>
    </row>
    <row r="55" spans="1:5" x14ac:dyDescent="0.25">
      <c r="A55" s="15">
        <v>13059</v>
      </c>
      <c r="B55" s="11" t="s">
        <v>61</v>
      </c>
      <c r="C55" s="16">
        <v>22814683</v>
      </c>
      <c r="D55" s="14">
        <v>361.51729999999998</v>
      </c>
      <c r="E55" s="16">
        <v>63108.136180481546</v>
      </c>
    </row>
    <row r="56" spans="1:5" x14ac:dyDescent="0.25">
      <c r="A56" s="15">
        <v>13060</v>
      </c>
      <c r="B56" s="11" t="s">
        <v>62</v>
      </c>
      <c r="C56" s="16">
        <v>4470630</v>
      </c>
      <c r="D56" s="14">
        <v>66.822900000000004</v>
      </c>
      <c r="E56" s="16">
        <v>66902.663607835028</v>
      </c>
    </row>
    <row r="57" spans="1:5" x14ac:dyDescent="0.25">
      <c r="A57" s="15">
        <v>13061</v>
      </c>
      <c r="B57" s="11" t="s">
        <v>63</v>
      </c>
      <c r="C57" s="16">
        <v>18180851</v>
      </c>
      <c r="D57" s="14">
        <v>297.52019999999999</v>
      </c>
      <c r="E57" s="16">
        <v>61107.955022885842</v>
      </c>
    </row>
    <row r="58" spans="1:5" x14ac:dyDescent="0.25">
      <c r="A58" s="15">
        <v>13062</v>
      </c>
      <c r="B58" s="11" t="s">
        <v>64</v>
      </c>
      <c r="C58" s="16">
        <v>3942950</v>
      </c>
      <c r="D58" s="14">
        <v>50.2667</v>
      </c>
      <c r="E58" s="16">
        <v>78440.597851062426</v>
      </c>
    </row>
    <row r="59" spans="1:5" x14ac:dyDescent="0.25">
      <c r="A59" s="15">
        <v>14126</v>
      </c>
      <c r="B59" s="11" t="s">
        <v>65</v>
      </c>
      <c r="C59" s="16">
        <v>87571269</v>
      </c>
      <c r="D59" s="14">
        <v>1073.7117000000001</v>
      </c>
      <c r="E59" s="16">
        <v>81559.387869201761</v>
      </c>
    </row>
    <row r="60" spans="1:5" x14ac:dyDescent="0.25">
      <c r="A60" s="15">
        <v>14127</v>
      </c>
      <c r="B60" s="11" t="s">
        <v>66</v>
      </c>
      <c r="C60" s="16">
        <v>44147528</v>
      </c>
      <c r="D60" s="14">
        <v>625.45259999999996</v>
      </c>
      <c r="E60" s="16">
        <v>70584.930017078834</v>
      </c>
    </row>
    <row r="61" spans="1:5" x14ac:dyDescent="0.25">
      <c r="A61" s="15">
        <v>14129</v>
      </c>
      <c r="B61" s="11" t="s">
        <v>67</v>
      </c>
      <c r="C61" s="16">
        <v>169836670</v>
      </c>
      <c r="D61" s="14">
        <v>2034.8617999999999</v>
      </c>
      <c r="E61" s="16">
        <v>83463.491230706684</v>
      </c>
    </row>
    <row r="62" spans="1:5" x14ac:dyDescent="0.25">
      <c r="A62" s="15">
        <v>14130</v>
      </c>
      <c r="B62" s="11" t="s">
        <v>68</v>
      </c>
      <c r="C62" s="16">
        <v>308032603</v>
      </c>
      <c r="D62" s="14">
        <v>775.22159999999997</v>
      </c>
      <c r="E62" s="16">
        <v>397347.80738823587</v>
      </c>
    </row>
    <row r="63" spans="1:5" x14ac:dyDescent="0.25">
      <c r="A63" s="15">
        <v>15001</v>
      </c>
      <c r="B63" s="11" t="s">
        <v>69</v>
      </c>
      <c r="C63" s="16">
        <v>23346849</v>
      </c>
      <c r="D63" s="14">
        <v>442.56540000000001</v>
      </c>
      <c r="E63" s="16">
        <v>52753.44389778324</v>
      </c>
    </row>
    <row r="64" spans="1:5" x14ac:dyDescent="0.25">
      <c r="A64" s="15">
        <v>15002</v>
      </c>
      <c r="B64" s="11" t="s">
        <v>70</v>
      </c>
      <c r="C64" s="16">
        <v>1078979666</v>
      </c>
      <c r="D64" s="14">
        <v>3880.3161</v>
      </c>
      <c r="E64" s="16">
        <v>278064.88909498893</v>
      </c>
    </row>
    <row r="65" spans="1:5" x14ac:dyDescent="0.25">
      <c r="A65" s="15">
        <v>15003</v>
      </c>
      <c r="B65" s="11" t="s">
        <v>71</v>
      </c>
      <c r="C65" s="16">
        <v>86707519</v>
      </c>
      <c r="D65" s="14">
        <v>215.98269999999999</v>
      </c>
      <c r="E65" s="16">
        <v>401455.85271412943</v>
      </c>
    </row>
    <row r="66" spans="1:5" x14ac:dyDescent="0.25">
      <c r="A66" s="15">
        <v>15004</v>
      </c>
      <c r="B66" s="11" t="s">
        <v>72</v>
      </c>
      <c r="C66" s="16">
        <v>30249985</v>
      </c>
      <c r="D66" s="14">
        <v>322.32459999999998</v>
      </c>
      <c r="E66" s="16">
        <v>93849.445558917942</v>
      </c>
    </row>
    <row r="67" spans="1:5" x14ac:dyDescent="0.25">
      <c r="A67" s="15">
        <v>16090</v>
      </c>
      <c r="B67" s="11" t="s">
        <v>73</v>
      </c>
      <c r="C67" s="16">
        <v>402066334</v>
      </c>
      <c r="D67" s="14">
        <v>4371.817</v>
      </c>
      <c r="E67" s="16">
        <v>91967.786849266558</v>
      </c>
    </row>
    <row r="68" spans="1:5" x14ac:dyDescent="0.25">
      <c r="A68" s="15">
        <v>16092</v>
      </c>
      <c r="B68" s="11" t="s">
        <v>74</v>
      </c>
      <c r="C68" s="16">
        <v>20620260</v>
      </c>
      <c r="D68" s="14">
        <v>294.04169999999999</v>
      </c>
      <c r="E68" s="16">
        <v>70126.992191923797</v>
      </c>
    </row>
    <row r="69" spans="1:5" x14ac:dyDescent="0.25">
      <c r="A69" s="15">
        <v>16094</v>
      </c>
      <c r="B69" s="11" t="s">
        <v>75</v>
      </c>
      <c r="C69" s="16">
        <v>23088074</v>
      </c>
      <c r="D69" s="14">
        <v>319.12900000000002</v>
      </c>
      <c r="E69" s="16">
        <v>72347.151152041959</v>
      </c>
    </row>
    <row r="70" spans="1:5" x14ac:dyDescent="0.25">
      <c r="A70" s="15">
        <v>16096</v>
      </c>
      <c r="B70" s="11" t="s">
        <v>76</v>
      </c>
      <c r="C70" s="16">
        <v>571076399</v>
      </c>
      <c r="D70" s="14">
        <v>3744.4342000000001</v>
      </c>
      <c r="E70" s="16">
        <v>152513.40215832874</v>
      </c>
    </row>
    <row r="71" spans="1:5" x14ac:dyDescent="0.25">
      <c r="A71" s="15">
        <v>16097</v>
      </c>
      <c r="B71" s="11" t="s">
        <v>77</v>
      </c>
      <c r="C71" s="16">
        <v>51343069</v>
      </c>
      <c r="D71" s="14">
        <v>372.72019999999998</v>
      </c>
      <c r="E71" s="16">
        <v>137752.31125117448</v>
      </c>
    </row>
    <row r="72" spans="1:5" x14ac:dyDescent="0.25">
      <c r="A72" s="15">
        <v>17121</v>
      </c>
      <c r="B72" s="11" t="s">
        <v>78</v>
      </c>
      <c r="C72" s="16">
        <v>8045787</v>
      </c>
      <c r="D72" s="14">
        <v>132.0967</v>
      </c>
      <c r="E72" s="16">
        <v>60908.311865474308</v>
      </c>
    </row>
    <row r="73" spans="1:5" x14ac:dyDescent="0.25">
      <c r="A73" s="15">
        <v>17122</v>
      </c>
      <c r="B73" s="11" t="s">
        <v>79</v>
      </c>
      <c r="C73" s="16">
        <v>9482946</v>
      </c>
      <c r="D73" s="14">
        <v>156.0967</v>
      </c>
      <c r="E73" s="16">
        <v>60750.457889244295</v>
      </c>
    </row>
    <row r="74" spans="1:5" x14ac:dyDescent="0.25">
      <c r="A74" s="15">
        <v>17124</v>
      </c>
      <c r="B74" s="11" t="s">
        <v>80</v>
      </c>
      <c r="C74" s="16">
        <v>7576545</v>
      </c>
      <c r="D74" s="14">
        <v>80.899100000000004</v>
      </c>
      <c r="E74" s="16">
        <v>93654.255733376514</v>
      </c>
    </row>
    <row r="75" spans="1:5" x14ac:dyDescent="0.25">
      <c r="A75" s="15">
        <v>17125</v>
      </c>
      <c r="B75" s="11" t="s">
        <v>81</v>
      </c>
      <c r="C75" s="16">
        <v>59369310</v>
      </c>
      <c r="D75" s="14">
        <v>837.6046</v>
      </c>
      <c r="E75" s="16">
        <v>70879.875779096721</v>
      </c>
    </row>
    <row r="76" spans="1:5" x14ac:dyDescent="0.25">
      <c r="A76" s="15">
        <v>17126</v>
      </c>
      <c r="B76" s="11" t="s">
        <v>82</v>
      </c>
      <c r="C76" s="16">
        <v>15873269</v>
      </c>
      <c r="D76" s="14">
        <v>203.90430000000001</v>
      </c>
      <c r="E76" s="16">
        <v>77846.661399489851</v>
      </c>
    </row>
    <row r="77" spans="1:5" x14ac:dyDescent="0.25">
      <c r="A77" s="15">
        <v>18047</v>
      </c>
      <c r="B77" s="11" t="s">
        <v>83</v>
      </c>
      <c r="C77" s="16">
        <v>29037462</v>
      </c>
      <c r="D77" s="14">
        <v>654.35360000000003</v>
      </c>
      <c r="E77" s="16">
        <v>44375.796205598926</v>
      </c>
    </row>
    <row r="78" spans="1:5" x14ac:dyDescent="0.25">
      <c r="A78" s="15">
        <v>18050</v>
      </c>
      <c r="B78" s="11" t="s">
        <v>84</v>
      </c>
      <c r="C78" s="16">
        <v>29407484</v>
      </c>
      <c r="D78" s="14">
        <v>496.90699999999998</v>
      </c>
      <c r="E78" s="16">
        <v>59181.062049840315</v>
      </c>
    </row>
    <row r="79" spans="1:5" x14ac:dyDescent="0.25">
      <c r="A79" s="15">
        <v>19139</v>
      </c>
      <c r="B79" s="11" t="s">
        <v>85</v>
      </c>
      <c r="C79" s="16">
        <v>30936580</v>
      </c>
      <c r="D79" s="14">
        <v>540.72130000000004</v>
      </c>
      <c r="E79" s="16">
        <v>57213.54050598709</v>
      </c>
    </row>
    <row r="80" spans="1:5" x14ac:dyDescent="0.25">
      <c r="A80" s="15">
        <v>19140</v>
      </c>
      <c r="B80" s="11" t="s">
        <v>86</v>
      </c>
      <c r="C80" s="16">
        <v>11394709</v>
      </c>
      <c r="D80" s="14">
        <v>145.76609999999999</v>
      </c>
      <c r="E80" s="16">
        <v>78171.186579046844</v>
      </c>
    </row>
    <row r="81" spans="1:5" x14ac:dyDescent="0.25">
      <c r="A81" s="15">
        <v>19142</v>
      </c>
      <c r="B81" s="11" t="s">
        <v>87</v>
      </c>
      <c r="C81" s="16">
        <v>463171516</v>
      </c>
      <c r="D81" s="14">
        <v>5690.3622999999998</v>
      </c>
      <c r="E81" s="16">
        <v>81395.786697096599</v>
      </c>
    </row>
    <row r="82" spans="1:5" x14ac:dyDescent="0.25">
      <c r="A82" s="15">
        <v>19144</v>
      </c>
      <c r="B82" s="11" t="s">
        <v>88</v>
      </c>
      <c r="C82" s="16">
        <v>49311939</v>
      </c>
      <c r="D82" s="14">
        <v>837.9674</v>
      </c>
      <c r="E82" s="16">
        <v>58847.085220737703</v>
      </c>
    </row>
    <row r="83" spans="1:5" x14ac:dyDescent="0.25">
      <c r="A83" s="15">
        <v>19147</v>
      </c>
      <c r="B83" s="11" t="s">
        <v>89</v>
      </c>
      <c r="C83" s="16">
        <v>15441739</v>
      </c>
      <c r="D83" s="14">
        <v>176.11269999999999</v>
      </c>
      <c r="E83" s="16">
        <v>87681.007672927619</v>
      </c>
    </row>
    <row r="84" spans="1:5" x14ac:dyDescent="0.25">
      <c r="A84" s="15">
        <v>19148</v>
      </c>
      <c r="B84" s="11" t="s">
        <v>90</v>
      </c>
      <c r="C84" s="16">
        <v>138373564</v>
      </c>
      <c r="D84" s="14">
        <v>2002.8676</v>
      </c>
      <c r="E84" s="16">
        <v>69087.724021298258</v>
      </c>
    </row>
    <row r="85" spans="1:5" x14ac:dyDescent="0.25">
      <c r="A85" s="15">
        <v>19149</v>
      </c>
      <c r="B85" s="11" t="s">
        <v>91</v>
      </c>
      <c r="C85" s="16">
        <v>182043255</v>
      </c>
      <c r="D85" s="14">
        <v>2357.0846999999999</v>
      </c>
      <c r="E85" s="16">
        <v>77232.377351564835</v>
      </c>
    </row>
    <row r="86" spans="1:5" x14ac:dyDescent="0.25">
      <c r="A86" s="15">
        <v>19150</v>
      </c>
      <c r="B86" s="11" t="s">
        <v>92</v>
      </c>
      <c r="C86" s="16">
        <v>17796574</v>
      </c>
      <c r="D86" s="14">
        <v>301.64150000000001</v>
      </c>
      <c r="E86" s="16">
        <v>58999.089979329765</v>
      </c>
    </row>
    <row r="87" spans="1:5" x14ac:dyDescent="0.25">
      <c r="A87" s="15">
        <v>19151</v>
      </c>
      <c r="B87" s="11" t="s">
        <v>93</v>
      </c>
      <c r="C87" s="16">
        <v>41150187</v>
      </c>
      <c r="D87" s="14">
        <v>459.161</v>
      </c>
      <c r="E87" s="16">
        <v>89620.38805560577</v>
      </c>
    </row>
    <row r="88" spans="1:5" x14ac:dyDescent="0.25">
      <c r="A88" s="15">
        <v>19152</v>
      </c>
      <c r="B88" s="11" t="s">
        <v>94</v>
      </c>
      <c r="C88" s="16">
        <v>297333544</v>
      </c>
      <c r="D88" s="14">
        <v>4629.2939999999999</v>
      </c>
      <c r="E88" s="16">
        <v>64228.701827967721</v>
      </c>
    </row>
    <row r="89" spans="1:5" x14ac:dyDescent="0.25">
      <c r="A89" s="15">
        <v>20001</v>
      </c>
      <c r="B89" s="11" t="s">
        <v>95</v>
      </c>
      <c r="C89" s="16">
        <v>85828760</v>
      </c>
      <c r="D89" s="14">
        <v>1011.1790999999999</v>
      </c>
      <c r="E89" s="16">
        <v>84879.879340860585</v>
      </c>
    </row>
    <row r="90" spans="1:5" x14ac:dyDescent="0.25">
      <c r="A90" s="15">
        <v>20002</v>
      </c>
      <c r="B90" s="11" t="s">
        <v>96</v>
      </c>
      <c r="C90" s="16">
        <v>81695733</v>
      </c>
      <c r="D90" s="14">
        <v>1191.1237000000001</v>
      </c>
      <c r="E90" s="16">
        <v>68587.110641825027</v>
      </c>
    </row>
    <row r="91" spans="1:5" x14ac:dyDescent="0.25">
      <c r="A91" s="15">
        <v>21148</v>
      </c>
      <c r="B91" s="11" t="s">
        <v>97</v>
      </c>
      <c r="C91" s="16">
        <v>15623812</v>
      </c>
      <c r="D91" s="14">
        <v>166.11850000000001</v>
      </c>
      <c r="E91" s="16">
        <v>94052.209717761711</v>
      </c>
    </row>
    <row r="92" spans="1:5" x14ac:dyDescent="0.25">
      <c r="A92" s="15">
        <v>21149</v>
      </c>
      <c r="B92" s="11" t="s">
        <v>98</v>
      </c>
      <c r="C92" s="16">
        <v>18845470</v>
      </c>
      <c r="D92" s="14">
        <v>249.3006</v>
      </c>
      <c r="E92" s="16">
        <v>75593.359983890929</v>
      </c>
    </row>
    <row r="93" spans="1:5" x14ac:dyDescent="0.25">
      <c r="A93" s="15">
        <v>21150</v>
      </c>
      <c r="B93" s="11" t="s">
        <v>99</v>
      </c>
      <c r="C93" s="16">
        <v>14722038</v>
      </c>
      <c r="D93" s="14">
        <v>126.0715</v>
      </c>
      <c r="E93" s="16">
        <v>116775.30607631383</v>
      </c>
    </row>
    <row r="94" spans="1:5" x14ac:dyDescent="0.25">
      <c r="A94" s="15">
        <v>21151</v>
      </c>
      <c r="B94" s="11" t="s">
        <v>100</v>
      </c>
      <c r="C94" s="16">
        <v>44548602</v>
      </c>
      <c r="D94" s="14">
        <v>405.60430000000002</v>
      </c>
      <c r="E94" s="16">
        <v>109832.66696137097</v>
      </c>
    </row>
    <row r="95" spans="1:5" x14ac:dyDescent="0.25">
      <c r="A95" s="15">
        <v>22088</v>
      </c>
      <c r="B95" s="11" t="s">
        <v>101</v>
      </c>
      <c r="C95" s="16">
        <v>10810504</v>
      </c>
      <c r="D95" s="14">
        <v>180.20480000000001</v>
      </c>
      <c r="E95" s="16">
        <v>59990.100152715131</v>
      </c>
    </row>
    <row r="96" spans="1:5" x14ac:dyDescent="0.25">
      <c r="A96" s="15">
        <v>22089</v>
      </c>
      <c r="B96" s="11" t="s">
        <v>102</v>
      </c>
      <c r="C96" s="16">
        <v>388292397</v>
      </c>
      <c r="D96" s="14">
        <v>5581.6136999999999</v>
      </c>
      <c r="E96" s="16">
        <v>69566.332940597451</v>
      </c>
    </row>
    <row r="97" spans="1:5" x14ac:dyDescent="0.25">
      <c r="A97" s="15">
        <v>22090</v>
      </c>
      <c r="B97" s="11" t="s">
        <v>103</v>
      </c>
      <c r="C97" s="16">
        <v>36782579</v>
      </c>
      <c r="D97" s="14">
        <v>736.16290000000004</v>
      </c>
      <c r="E97" s="16">
        <v>49965.271273518396</v>
      </c>
    </row>
    <row r="98" spans="1:5" x14ac:dyDescent="0.25">
      <c r="A98" s="15">
        <v>22091</v>
      </c>
      <c r="B98" s="11" t="s">
        <v>104</v>
      </c>
      <c r="C98" s="16">
        <v>30305803</v>
      </c>
      <c r="D98" s="14">
        <v>374.28280000000001</v>
      </c>
      <c r="E98" s="16">
        <v>80970.333127784659</v>
      </c>
    </row>
    <row r="99" spans="1:5" x14ac:dyDescent="0.25">
      <c r="A99" s="15">
        <v>22092</v>
      </c>
      <c r="B99" s="11" t="s">
        <v>105</v>
      </c>
      <c r="C99" s="16">
        <v>58851520</v>
      </c>
      <c r="D99" s="14">
        <v>1040.2524000000001</v>
      </c>
      <c r="E99" s="16">
        <v>56574.26985989169</v>
      </c>
    </row>
    <row r="100" spans="1:5" x14ac:dyDescent="0.25">
      <c r="A100" s="15">
        <v>22093</v>
      </c>
      <c r="B100" s="11" t="s">
        <v>106</v>
      </c>
      <c r="C100" s="16">
        <v>387352191</v>
      </c>
      <c r="D100" s="14">
        <v>5153.1724999999997</v>
      </c>
      <c r="E100" s="16">
        <v>75167.712899189777</v>
      </c>
    </row>
    <row r="101" spans="1:5" x14ac:dyDescent="0.25">
      <c r="A101" s="15">
        <v>22094</v>
      </c>
      <c r="B101" s="11" t="s">
        <v>107</v>
      </c>
      <c r="C101" s="16">
        <v>57831111</v>
      </c>
      <c r="D101" s="14">
        <v>736.25239999999997</v>
      </c>
      <c r="E101" s="16">
        <v>78547.94225458552</v>
      </c>
    </row>
    <row r="102" spans="1:5" x14ac:dyDescent="0.25">
      <c r="A102" s="15">
        <v>23099</v>
      </c>
      <c r="B102" s="11" t="s">
        <v>1044</v>
      </c>
      <c r="C102" s="16">
        <v>4455025</v>
      </c>
      <c r="D102" s="14">
        <v>55.508600000000001</v>
      </c>
      <c r="E102" s="16">
        <v>80258.284301891952</v>
      </c>
    </row>
    <row r="103" spans="1:5" x14ac:dyDescent="0.25">
      <c r="A103" s="15">
        <v>23101</v>
      </c>
      <c r="B103" s="11" t="s">
        <v>108</v>
      </c>
      <c r="C103" s="16">
        <v>75862366</v>
      </c>
      <c r="D103" s="14">
        <v>933.27</v>
      </c>
      <c r="E103" s="16">
        <v>81286.622306513658</v>
      </c>
    </row>
    <row r="104" spans="1:5" x14ac:dyDescent="0.25">
      <c r="A104" s="15">
        <v>24086</v>
      </c>
      <c r="B104" s="11" t="s">
        <v>109</v>
      </c>
      <c r="C104" s="16">
        <v>304484898</v>
      </c>
      <c r="D104" s="14">
        <v>3413.6651999999999</v>
      </c>
      <c r="E104" s="16">
        <v>89195.887751382295</v>
      </c>
    </row>
    <row r="105" spans="1:5" x14ac:dyDescent="0.25">
      <c r="A105" s="15">
        <v>24087</v>
      </c>
      <c r="B105" s="11" t="s">
        <v>110</v>
      </c>
      <c r="C105" s="16">
        <v>202567490</v>
      </c>
      <c r="D105" s="14">
        <v>2422.5947999999999</v>
      </c>
      <c r="E105" s="16">
        <v>83615.918766109797</v>
      </c>
    </row>
    <row r="106" spans="1:5" x14ac:dyDescent="0.25">
      <c r="A106" s="15">
        <v>24089</v>
      </c>
      <c r="B106" s="11" t="s">
        <v>111</v>
      </c>
      <c r="C106" s="16">
        <v>205990887</v>
      </c>
      <c r="D106" s="14">
        <v>2766.1974</v>
      </c>
      <c r="E106" s="16">
        <v>74467.168178236301</v>
      </c>
    </row>
    <row r="107" spans="1:5" x14ac:dyDescent="0.25">
      <c r="A107" s="15">
        <v>24090</v>
      </c>
      <c r="B107" s="11" t="s">
        <v>112</v>
      </c>
      <c r="C107" s="16">
        <v>770062710</v>
      </c>
      <c r="D107" s="14">
        <v>11039.698899999999</v>
      </c>
      <c r="E107" s="16">
        <v>69753.959503370148</v>
      </c>
    </row>
    <row r="108" spans="1:5" x14ac:dyDescent="0.25">
      <c r="A108" s="15">
        <v>24091</v>
      </c>
      <c r="B108" s="11" t="s">
        <v>113</v>
      </c>
      <c r="C108" s="16">
        <v>6447428</v>
      </c>
      <c r="D108" s="14">
        <v>32.544899999999998</v>
      </c>
      <c r="E108" s="16">
        <v>198108.70520419482</v>
      </c>
    </row>
    <row r="109" spans="1:5" x14ac:dyDescent="0.25">
      <c r="A109" s="15">
        <v>24093</v>
      </c>
      <c r="B109" s="11" t="s">
        <v>114</v>
      </c>
      <c r="C109" s="16">
        <v>1871506546</v>
      </c>
      <c r="D109" s="14">
        <v>18202.787</v>
      </c>
      <c r="E109" s="16">
        <v>102814.28585633618</v>
      </c>
    </row>
    <row r="110" spans="1:5" x14ac:dyDescent="0.25">
      <c r="A110" s="15">
        <v>25001</v>
      </c>
      <c r="B110" s="11" t="s">
        <v>115</v>
      </c>
      <c r="C110" s="16">
        <v>111594550</v>
      </c>
      <c r="D110" s="14">
        <v>1756.9375</v>
      </c>
      <c r="E110" s="16">
        <v>63516.516666073781</v>
      </c>
    </row>
    <row r="111" spans="1:5" x14ac:dyDescent="0.25">
      <c r="A111" s="15">
        <v>25002</v>
      </c>
      <c r="B111" s="11" t="s">
        <v>116</v>
      </c>
      <c r="C111" s="16">
        <v>59252549</v>
      </c>
      <c r="D111" s="14">
        <v>915.94359999999995</v>
      </c>
      <c r="E111" s="16">
        <v>64690.171971287316</v>
      </c>
    </row>
    <row r="112" spans="1:5" x14ac:dyDescent="0.25">
      <c r="A112" s="15">
        <v>25003</v>
      </c>
      <c r="B112" s="11" t="s">
        <v>117</v>
      </c>
      <c r="C112" s="16">
        <v>71699170</v>
      </c>
      <c r="D112" s="14">
        <v>666.76210000000003</v>
      </c>
      <c r="E112" s="16">
        <v>107533.36159928706</v>
      </c>
    </row>
    <row r="113" spans="1:5" x14ac:dyDescent="0.25">
      <c r="A113" s="15">
        <v>26001</v>
      </c>
      <c r="B113" s="11" t="s">
        <v>118</v>
      </c>
      <c r="C113" s="16">
        <v>50854621</v>
      </c>
      <c r="D113" s="14">
        <v>569.26880000000006</v>
      </c>
      <c r="E113" s="16">
        <v>89333.230628483405</v>
      </c>
    </row>
    <row r="114" spans="1:5" x14ac:dyDescent="0.25">
      <c r="A114" s="15">
        <v>26002</v>
      </c>
      <c r="B114" s="11" t="s">
        <v>119</v>
      </c>
      <c r="C114" s="16">
        <v>92506200</v>
      </c>
      <c r="D114" s="14">
        <v>1143.4708000000001</v>
      </c>
      <c r="E114" s="16">
        <v>80899.486020981029</v>
      </c>
    </row>
    <row r="115" spans="1:5" x14ac:dyDescent="0.25">
      <c r="A115" s="15">
        <v>26005</v>
      </c>
      <c r="B115" s="11" t="s">
        <v>120</v>
      </c>
      <c r="C115" s="16">
        <v>60917226</v>
      </c>
      <c r="D115" s="14">
        <v>616.40239999999994</v>
      </c>
      <c r="E115" s="16">
        <v>98827.042204897327</v>
      </c>
    </row>
    <row r="116" spans="1:5" x14ac:dyDescent="0.25">
      <c r="A116" s="15">
        <v>26006</v>
      </c>
      <c r="B116" s="11" t="s">
        <v>121</v>
      </c>
      <c r="C116" s="16">
        <v>1200133337</v>
      </c>
      <c r="D116" s="14">
        <v>8257.3372999999992</v>
      </c>
      <c r="E116" s="16">
        <v>145341.44523804303</v>
      </c>
    </row>
    <row r="117" spans="1:5" x14ac:dyDescent="0.25">
      <c r="A117" s="15">
        <v>27055</v>
      </c>
      <c r="B117" s="11" t="s">
        <v>122</v>
      </c>
      <c r="C117" s="16">
        <v>7938489</v>
      </c>
      <c r="D117" s="14">
        <v>139.13310000000001</v>
      </c>
      <c r="E117" s="16">
        <v>57056.796693238342</v>
      </c>
    </row>
    <row r="118" spans="1:5" x14ac:dyDescent="0.25">
      <c r="A118" s="15">
        <v>27056</v>
      </c>
      <c r="B118" s="11" t="s">
        <v>123</v>
      </c>
      <c r="C118" s="16">
        <v>8609958</v>
      </c>
      <c r="D118" s="14">
        <v>127.3571</v>
      </c>
      <c r="E118" s="16">
        <v>67604.852811504024</v>
      </c>
    </row>
    <row r="119" spans="1:5" x14ac:dyDescent="0.25">
      <c r="A119" s="15">
        <v>27057</v>
      </c>
      <c r="B119" s="11" t="s">
        <v>124</v>
      </c>
      <c r="C119" s="16">
        <v>12241298</v>
      </c>
      <c r="D119" s="14">
        <v>156.11940000000001</v>
      </c>
      <c r="E119" s="16">
        <v>78409.84528508308</v>
      </c>
    </row>
    <row r="120" spans="1:5" x14ac:dyDescent="0.25">
      <c r="A120" s="15">
        <v>27058</v>
      </c>
      <c r="B120" s="11" t="s">
        <v>125</v>
      </c>
      <c r="C120" s="16">
        <v>12957736</v>
      </c>
      <c r="D120" s="14">
        <v>215.2824</v>
      </c>
      <c r="E120" s="16">
        <v>60189.481351006863</v>
      </c>
    </row>
    <row r="121" spans="1:5" x14ac:dyDescent="0.25">
      <c r="A121" s="15">
        <v>27059</v>
      </c>
      <c r="B121" s="11" t="s">
        <v>126</v>
      </c>
      <c r="C121" s="16">
        <v>16875844</v>
      </c>
      <c r="D121" s="14">
        <v>253.5395</v>
      </c>
      <c r="E121" s="16">
        <v>66561.00528714461</v>
      </c>
    </row>
    <row r="122" spans="1:5" x14ac:dyDescent="0.25">
      <c r="A122" s="15">
        <v>27061</v>
      </c>
      <c r="B122" s="11" t="s">
        <v>127</v>
      </c>
      <c r="C122" s="16">
        <v>135018255</v>
      </c>
      <c r="D122" s="14">
        <v>1398.7711999999999</v>
      </c>
      <c r="E122" s="16">
        <v>96526.33325593207</v>
      </c>
    </row>
    <row r="123" spans="1:5" x14ac:dyDescent="0.25">
      <c r="A123" s="15">
        <v>28101</v>
      </c>
      <c r="B123" s="11" t="s">
        <v>128</v>
      </c>
      <c r="C123" s="16">
        <v>60216331</v>
      </c>
      <c r="D123" s="14">
        <v>930.67619999999999</v>
      </c>
      <c r="E123" s="16">
        <v>64701.698614405308</v>
      </c>
    </row>
    <row r="124" spans="1:5" x14ac:dyDescent="0.25">
      <c r="A124" s="15">
        <v>28102</v>
      </c>
      <c r="B124" s="11" t="s">
        <v>129</v>
      </c>
      <c r="C124" s="16">
        <v>111204661</v>
      </c>
      <c r="D124" s="14">
        <v>1487.4836</v>
      </c>
      <c r="E124" s="16">
        <v>74760.260213961345</v>
      </c>
    </row>
    <row r="125" spans="1:5" x14ac:dyDescent="0.25">
      <c r="A125" s="15">
        <v>28103</v>
      </c>
      <c r="B125" s="11" t="s">
        <v>130</v>
      </c>
      <c r="C125" s="16">
        <v>54278834</v>
      </c>
      <c r="D125" s="14">
        <v>898.26800000000003</v>
      </c>
      <c r="E125" s="16">
        <v>60426.102232295925</v>
      </c>
    </row>
    <row r="126" spans="1:5" x14ac:dyDescent="0.25">
      <c r="A126" s="15">
        <v>29001</v>
      </c>
      <c r="B126" s="11" t="s">
        <v>131</v>
      </c>
      <c r="C126" s="16">
        <v>28428844</v>
      </c>
      <c r="D126" s="14">
        <v>341.22710000000001</v>
      </c>
      <c r="E126" s="16">
        <v>83313.558624153826</v>
      </c>
    </row>
    <row r="127" spans="1:5" x14ac:dyDescent="0.25">
      <c r="A127" s="15">
        <v>29002</v>
      </c>
      <c r="B127" s="11" t="s">
        <v>132</v>
      </c>
      <c r="C127" s="16">
        <v>10059304</v>
      </c>
      <c r="D127" s="14">
        <v>134.59270000000001</v>
      </c>
      <c r="E127" s="16">
        <v>74738.85285011743</v>
      </c>
    </row>
    <row r="128" spans="1:5" x14ac:dyDescent="0.25">
      <c r="A128" s="15">
        <v>29003</v>
      </c>
      <c r="B128" s="11" t="s">
        <v>133</v>
      </c>
      <c r="C128" s="16">
        <v>10011491</v>
      </c>
      <c r="D128" s="14">
        <v>162.29759999999999</v>
      </c>
      <c r="E128" s="16">
        <v>61686.007679719238</v>
      </c>
    </row>
    <row r="129" spans="1:5" x14ac:dyDescent="0.25">
      <c r="A129" s="15">
        <v>29004</v>
      </c>
      <c r="B129" s="11" t="s">
        <v>134</v>
      </c>
      <c r="C129" s="16">
        <v>35620591</v>
      </c>
      <c r="D129" s="14">
        <v>409.52940000000001</v>
      </c>
      <c r="E129" s="16">
        <v>86979.325538044402</v>
      </c>
    </row>
    <row r="130" spans="1:5" x14ac:dyDescent="0.25">
      <c r="A130" s="15">
        <v>30093</v>
      </c>
      <c r="B130" s="11" t="s">
        <v>135</v>
      </c>
      <c r="C130" s="16">
        <v>109408890</v>
      </c>
      <c r="D130" s="14">
        <v>1640.6238000000001</v>
      </c>
      <c r="E130" s="16">
        <v>66687.372205620806</v>
      </c>
    </row>
    <row r="131" spans="1:5" x14ac:dyDescent="0.25">
      <c r="A131" s="15">
        <v>31116</v>
      </c>
      <c r="B131" s="11" t="s">
        <v>136</v>
      </c>
      <c r="C131" s="16">
        <v>13117520</v>
      </c>
      <c r="D131" s="14">
        <v>166.66749999999999</v>
      </c>
      <c r="E131" s="16">
        <v>78704.726476367621</v>
      </c>
    </row>
    <row r="132" spans="1:5" x14ac:dyDescent="0.25">
      <c r="A132" s="15">
        <v>31117</v>
      </c>
      <c r="B132" s="11" t="s">
        <v>137</v>
      </c>
      <c r="C132" s="16">
        <v>20986907</v>
      </c>
      <c r="D132" s="14">
        <v>154.1035</v>
      </c>
      <c r="E132" s="16">
        <v>136187.08854763195</v>
      </c>
    </row>
    <row r="133" spans="1:5" x14ac:dyDescent="0.25">
      <c r="A133" s="15">
        <v>31118</v>
      </c>
      <c r="B133" s="11" t="s">
        <v>138</v>
      </c>
      <c r="C133" s="16">
        <v>9574100</v>
      </c>
      <c r="D133" s="14">
        <v>63.776499999999999</v>
      </c>
      <c r="E133" s="16">
        <v>150119.55814445761</v>
      </c>
    </row>
    <row r="134" spans="1:5" x14ac:dyDescent="0.25">
      <c r="A134" s="15">
        <v>31121</v>
      </c>
      <c r="B134" s="11" t="s">
        <v>139</v>
      </c>
      <c r="C134" s="16">
        <v>39582016</v>
      </c>
      <c r="D134" s="14">
        <v>580.32650000000001</v>
      </c>
      <c r="E134" s="16">
        <v>68206.459639530498</v>
      </c>
    </row>
    <row r="135" spans="1:5" x14ac:dyDescent="0.25">
      <c r="A135" s="15">
        <v>31122</v>
      </c>
      <c r="B135" s="11" t="s">
        <v>140</v>
      </c>
      <c r="C135" s="16">
        <v>15888051</v>
      </c>
      <c r="D135" s="14">
        <v>135.1764</v>
      </c>
      <c r="E135" s="16">
        <v>117535.68670270847</v>
      </c>
    </row>
    <row r="136" spans="1:5" x14ac:dyDescent="0.25">
      <c r="A136" s="15">
        <v>32054</v>
      </c>
      <c r="B136" s="11" t="s">
        <v>141</v>
      </c>
      <c r="C136" s="16">
        <v>9360348</v>
      </c>
      <c r="D136" s="14">
        <v>126.7946</v>
      </c>
      <c r="E136" s="16">
        <v>73822.923058237488</v>
      </c>
    </row>
    <row r="137" spans="1:5" x14ac:dyDescent="0.25">
      <c r="A137" s="15">
        <v>32055</v>
      </c>
      <c r="B137" s="11" t="s">
        <v>142</v>
      </c>
      <c r="C137" s="16">
        <v>43005072</v>
      </c>
      <c r="D137" s="14">
        <v>539.17669999999998</v>
      </c>
      <c r="E137" s="16">
        <v>79760.627638397578</v>
      </c>
    </row>
    <row r="138" spans="1:5" x14ac:dyDescent="0.25">
      <c r="A138" s="15">
        <v>32056</v>
      </c>
      <c r="B138" s="11" t="s">
        <v>143</v>
      </c>
      <c r="C138" s="16">
        <v>26428935</v>
      </c>
      <c r="D138" s="14">
        <v>131.0001</v>
      </c>
      <c r="E138" s="16">
        <v>201747.44141416685</v>
      </c>
    </row>
    <row r="139" spans="1:5" x14ac:dyDescent="0.25">
      <c r="A139" s="15">
        <v>32058</v>
      </c>
      <c r="B139" s="11" t="s">
        <v>144</v>
      </c>
      <c r="C139" s="16">
        <v>14168651</v>
      </c>
      <c r="D139" s="14">
        <v>181.12530000000001</v>
      </c>
      <c r="E139" s="16">
        <v>78225.686858765723</v>
      </c>
    </row>
    <row r="140" spans="1:5" x14ac:dyDescent="0.25">
      <c r="A140" s="15">
        <v>33090</v>
      </c>
      <c r="B140" s="11" t="s">
        <v>145</v>
      </c>
      <c r="C140" s="16">
        <v>65778151</v>
      </c>
      <c r="D140" s="14">
        <v>1032.1949999999999</v>
      </c>
      <c r="E140" s="16">
        <v>63726.477070708541</v>
      </c>
    </row>
    <row r="141" spans="1:5" x14ac:dyDescent="0.25">
      <c r="A141" s="15">
        <v>33091</v>
      </c>
      <c r="B141" s="11" t="s">
        <v>146</v>
      </c>
      <c r="C141" s="16">
        <v>13373000</v>
      </c>
      <c r="D141" s="14">
        <v>151.25120000000001</v>
      </c>
      <c r="E141" s="16">
        <v>88415.827444674811</v>
      </c>
    </row>
    <row r="142" spans="1:5" x14ac:dyDescent="0.25">
      <c r="A142" s="15">
        <v>33092</v>
      </c>
      <c r="B142" s="11" t="s">
        <v>147</v>
      </c>
      <c r="C142" s="16">
        <v>18641540</v>
      </c>
      <c r="D142" s="14">
        <v>258.50599999999997</v>
      </c>
      <c r="E142" s="16">
        <v>72112.600868064968</v>
      </c>
    </row>
    <row r="143" spans="1:5" x14ac:dyDescent="0.25">
      <c r="A143" s="15">
        <v>33093</v>
      </c>
      <c r="B143" s="11" t="s">
        <v>148</v>
      </c>
      <c r="C143" s="16">
        <v>29406050</v>
      </c>
      <c r="D143" s="14">
        <v>342.8227</v>
      </c>
      <c r="E143" s="16">
        <v>85776.262773731141</v>
      </c>
    </row>
    <row r="144" spans="1:5" x14ac:dyDescent="0.25">
      <c r="A144" s="15">
        <v>33094</v>
      </c>
      <c r="B144" s="11" t="s">
        <v>149</v>
      </c>
      <c r="C144" s="16">
        <v>18234983</v>
      </c>
      <c r="D144" s="14">
        <v>252.69409999999999</v>
      </c>
      <c r="E144" s="16">
        <v>72162.28238015846</v>
      </c>
    </row>
    <row r="145" spans="1:5" x14ac:dyDescent="0.25">
      <c r="A145" s="15">
        <v>34121</v>
      </c>
      <c r="B145" s="11" t="s">
        <v>150</v>
      </c>
      <c r="C145" s="16">
        <v>8974431</v>
      </c>
      <c r="D145" s="14">
        <v>110.6296</v>
      </c>
      <c r="E145" s="16">
        <v>81121.426815246552</v>
      </c>
    </row>
    <row r="146" spans="1:5" x14ac:dyDescent="0.25">
      <c r="A146" s="15">
        <v>34122</v>
      </c>
      <c r="B146" s="11" t="s">
        <v>151</v>
      </c>
      <c r="C146" s="16">
        <v>5936388</v>
      </c>
      <c r="D146" s="14">
        <v>142.37739999999999</v>
      </c>
      <c r="E146" s="16">
        <v>41694.735259949965</v>
      </c>
    </row>
    <row r="147" spans="1:5" x14ac:dyDescent="0.25">
      <c r="A147" s="15">
        <v>34124</v>
      </c>
      <c r="B147" s="11" t="s">
        <v>152</v>
      </c>
      <c r="C147" s="16">
        <v>90554496</v>
      </c>
      <c r="D147" s="14">
        <v>1210.1582000000001</v>
      </c>
      <c r="E147" s="16">
        <v>74828.643065014141</v>
      </c>
    </row>
    <row r="148" spans="1:5" x14ac:dyDescent="0.25">
      <c r="A148" s="15">
        <v>35092</v>
      </c>
      <c r="B148" s="11" t="s">
        <v>153</v>
      </c>
      <c r="C148" s="16">
        <v>45995880</v>
      </c>
      <c r="D148" s="14">
        <v>1022.2358</v>
      </c>
      <c r="E148" s="16">
        <v>44995.371909299203</v>
      </c>
    </row>
    <row r="149" spans="1:5" x14ac:dyDescent="0.25">
      <c r="A149" s="15">
        <v>35093</v>
      </c>
      <c r="B149" s="11" t="s">
        <v>154</v>
      </c>
      <c r="C149" s="16">
        <v>50389125</v>
      </c>
      <c r="D149" s="14">
        <v>594.35090000000002</v>
      </c>
      <c r="E149" s="16">
        <v>84780.093712317073</v>
      </c>
    </row>
    <row r="150" spans="1:5" x14ac:dyDescent="0.25">
      <c r="A150" s="15">
        <v>35094</v>
      </c>
      <c r="B150" s="11" t="s">
        <v>155</v>
      </c>
      <c r="C150" s="16">
        <v>21420450</v>
      </c>
      <c r="D150" s="14">
        <v>524.85109999999997</v>
      </c>
      <c r="E150" s="16">
        <v>40812.432326044473</v>
      </c>
    </row>
    <row r="151" spans="1:5" x14ac:dyDescent="0.25">
      <c r="A151" s="15">
        <v>35097</v>
      </c>
      <c r="B151" s="11" t="s">
        <v>156</v>
      </c>
      <c r="C151" s="16">
        <v>12200795</v>
      </c>
      <c r="D151" s="14">
        <v>300.70249999999999</v>
      </c>
      <c r="E151" s="16">
        <v>40574.305168729894</v>
      </c>
    </row>
    <row r="152" spans="1:5" x14ac:dyDescent="0.25">
      <c r="A152" s="15">
        <v>35098</v>
      </c>
      <c r="B152" s="11" t="s">
        <v>157</v>
      </c>
      <c r="C152" s="16">
        <v>47396595</v>
      </c>
      <c r="D152" s="14">
        <v>797.93330000000003</v>
      </c>
      <c r="E152" s="16">
        <v>59399.19414316961</v>
      </c>
    </row>
    <row r="153" spans="1:5" x14ac:dyDescent="0.25">
      <c r="A153" s="15">
        <v>35099</v>
      </c>
      <c r="B153" s="11" t="s">
        <v>158</v>
      </c>
      <c r="C153" s="16">
        <v>15834655</v>
      </c>
      <c r="D153" s="14">
        <v>302.66809999999998</v>
      </c>
      <c r="E153" s="16">
        <v>52316.894314267018</v>
      </c>
    </row>
    <row r="154" spans="1:5" x14ac:dyDescent="0.25">
      <c r="A154" s="15">
        <v>35102</v>
      </c>
      <c r="B154" s="11" t="s">
        <v>159</v>
      </c>
      <c r="C154" s="16">
        <v>93669166</v>
      </c>
      <c r="D154" s="14">
        <v>1868.5059000000001</v>
      </c>
      <c r="E154" s="16">
        <v>50130.516580118907</v>
      </c>
    </row>
    <row r="155" spans="1:5" x14ac:dyDescent="0.25">
      <c r="A155" s="15">
        <v>36123</v>
      </c>
      <c r="B155" s="11" t="s">
        <v>160</v>
      </c>
      <c r="C155" s="16">
        <v>24850544</v>
      </c>
      <c r="D155" s="14">
        <v>198.74549999999999</v>
      </c>
      <c r="E155" s="16">
        <v>125037.0146745461</v>
      </c>
    </row>
    <row r="156" spans="1:5" x14ac:dyDescent="0.25">
      <c r="A156" s="15">
        <v>36126</v>
      </c>
      <c r="B156" s="11" t="s">
        <v>161</v>
      </c>
      <c r="C156" s="16">
        <v>321682183</v>
      </c>
      <c r="D156" s="14">
        <v>2913.9591</v>
      </c>
      <c r="E156" s="16">
        <v>110393.51341616291</v>
      </c>
    </row>
    <row r="157" spans="1:5" x14ac:dyDescent="0.25">
      <c r="A157" s="15">
        <v>36131</v>
      </c>
      <c r="B157" s="11" t="s">
        <v>162</v>
      </c>
      <c r="C157" s="16">
        <v>302995203</v>
      </c>
      <c r="D157" s="14">
        <v>2952.1219000000001</v>
      </c>
      <c r="E157" s="16">
        <v>102636.41315082551</v>
      </c>
    </row>
    <row r="158" spans="1:5" x14ac:dyDescent="0.25">
      <c r="A158" s="15">
        <v>36133</v>
      </c>
      <c r="B158" s="11" t="s">
        <v>163</v>
      </c>
      <c r="C158" s="16">
        <v>38685203</v>
      </c>
      <c r="D158" s="14">
        <v>448.24599999999998</v>
      </c>
      <c r="E158" s="16">
        <v>86303.509679952534</v>
      </c>
    </row>
    <row r="159" spans="1:5" x14ac:dyDescent="0.25">
      <c r="A159" s="15">
        <v>36134</v>
      </c>
      <c r="B159" s="11" t="s">
        <v>164</v>
      </c>
      <c r="C159" s="16">
        <v>24461965</v>
      </c>
      <c r="D159" s="14">
        <v>349.87540000000001</v>
      </c>
      <c r="E159" s="16">
        <v>69916.2187453019</v>
      </c>
    </row>
    <row r="160" spans="1:5" x14ac:dyDescent="0.25">
      <c r="A160" s="15">
        <v>36135</v>
      </c>
      <c r="B160" s="11" t="s">
        <v>165</v>
      </c>
      <c r="C160" s="16">
        <v>11245023</v>
      </c>
      <c r="D160" s="14">
        <v>103.5548</v>
      </c>
      <c r="E160" s="16">
        <v>108590.07018506144</v>
      </c>
    </row>
    <row r="161" spans="1:5" x14ac:dyDescent="0.25">
      <c r="A161" s="15">
        <v>36136</v>
      </c>
      <c r="B161" s="11" t="s">
        <v>166</v>
      </c>
      <c r="C161" s="16">
        <v>148021069</v>
      </c>
      <c r="D161" s="14">
        <v>2050.2514000000001</v>
      </c>
      <c r="E161" s="16">
        <v>72196.545750438207</v>
      </c>
    </row>
    <row r="162" spans="1:5" x14ac:dyDescent="0.25">
      <c r="A162" s="15">
        <v>36137</v>
      </c>
      <c r="B162" s="11" t="s">
        <v>167</v>
      </c>
      <c r="C162" s="16">
        <v>158376592</v>
      </c>
      <c r="D162" s="14">
        <v>1953.9177</v>
      </c>
      <c r="E162" s="16">
        <v>81055.917554767017</v>
      </c>
    </row>
    <row r="163" spans="1:5" x14ac:dyDescent="0.25">
      <c r="A163" s="15">
        <v>36138</v>
      </c>
      <c r="B163" s="11" t="s">
        <v>168</v>
      </c>
      <c r="C163" s="16">
        <v>35494715</v>
      </c>
      <c r="D163" s="14">
        <v>459.96589999999998</v>
      </c>
      <c r="E163" s="16">
        <v>77168.144421140794</v>
      </c>
    </row>
    <row r="164" spans="1:5" x14ac:dyDescent="0.25">
      <c r="A164" s="15">
        <v>36139</v>
      </c>
      <c r="B164" s="11" t="s">
        <v>169</v>
      </c>
      <c r="C164" s="16">
        <v>762447744</v>
      </c>
      <c r="D164" s="14">
        <v>3791.8022000000001</v>
      </c>
      <c r="E164" s="16">
        <v>201077.93175498449</v>
      </c>
    </row>
    <row r="165" spans="1:5" x14ac:dyDescent="0.25">
      <c r="A165" s="15">
        <v>37037</v>
      </c>
      <c r="B165" s="11" t="s">
        <v>170</v>
      </c>
      <c r="C165" s="16">
        <v>148738329</v>
      </c>
      <c r="D165" s="14">
        <v>1761.1034</v>
      </c>
      <c r="E165" s="16">
        <v>84457.465132370999</v>
      </c>
    </row>
    <row r="166" spans="1:5" x14ac:dyDescent="0.25">
      <c r="A166" s="15">
        <v>37039</v>
      </c>
      <c r="B166" s="11" t="s">
        <v>171</v>
      </c>
      <c r="C166" s="16">
        <v>112178768</v>
      </c>
      <c r="D166" s="14">
        <v>881.88490000000002</v>
      </c>
      <c r="E166" s="16">
        <v>127203.41169238753</v>
      </c>
    </row>
    <row r="167" spans="1:5" x14ac:dyDescent="0.25">
      <c r="A167" s="15">
        <v>38044</v>
      </c>
      <c r="B167" s="11" t="s">
        <v>172</v>
      </c>
      <c r="C167" s="16">
        <v>44979194</v>
      </c>
      <c r="D167" s="14">
        <v>304.53820000000002</v>
      </c>
      <c r="E167" s="16">
        <v>147696.39408126796</v>
      </c>
    </row>
    <row r="168" spans="1:5" x14ac:dyDescent="0.25">
      <c r="A168" s="15">
        <v>38045</v>
      </c>
      <c r="B168" s="11" t="s">
        <v>173</v>
      </c>
      <c r="C168" s="16">
        <v>23864428</v>
      </c>
      <c r="D168" s="14">
        <v>308.40210000000002</v>
      </c>
      <c r="E168" s="16">
        <v>77380.886835725178</v>
      </c>
    </row>
    <row r="169" spans="1:5" x14ac:dyDescent="0.25">
      <c r="A169" s="15">
        <v>38046</v>
      </c>
      <c r="B169" s="11" t="s">
        <v>174</v>
      </c>
      <c r="C169" s="16">
        <v>36661162</v>
      </c>
      <c r="D169" s="14">
        <v>448.27870000000001</v>
      </c>
      <c r="E169" s="16">
        <v>81782.074410405839</v>
      </c>
    </row>
    <row r="170" spans="1:5" x14ac:dyDescent="0.25">
      <c r="A170" s="15">
        <v>39133</v>
      </c>
      <c r="B170" s="11" t="s">
        <v>175</v>
      </c>
      <c r="C170" s="16">
        <v>339394460</v>
      </c>
      <c r="D170" s="14">
        <v>4132.3041000000003</v>
      </c>
      <c r="E170" s="16">
        <v>82132.014437175618</v>
      </c>
    </row>
    <row r="171" spans="1:5" x14ac:dyDescent="0.25">
      <c r="A171" s="15">
        <v>39134</v>
      </c>
      <c r="B171" s="11" t="s">
        <v>176</v>
      </c>
      <c r="C171" s="16">
        <v>325240906</v>
      </c>
      <c r="D171" s="14">
        <v>4377.7557999999999</v>
      </c>
      <c r="E171" s="16">
        <v>74293.980947955119</v>
      </c>
    </row>
    <row r="172" spans="1:5" x14ac:dyDescent="0.25">
      <c r="A172" s="15">
        <v>39135</v>
      </c>
      <c r="B172" s="11" t="s">
        <v>177</v>
      </c>
      <c r="C172" s="16">
        <v>54243990</v>
      </c>
      <c r="D172" s="14">
        <v>733.76110000000006</v>
      </c>
      <c r="E172" s="16">
        <v>73925.95491911468</v>
      </c>
    </row>
    <row r="173" spans="1:5" x14ac:dyDescent="0.25">
      <c r="A173" s="15">
        <v>39136</v>
      </c>
      <c r="B173" s="11" t="s">
        <v>178</v>
      </c>
      <c r="C173" s="16">
        <v>18024370</v>
      </c>
      <c r="D173" s="14">
        <v>247.55600000000001</v>
      </c>
      <c r="E173" s="16">
        <v>72809.263358593613</v>
      </c>
    </row>
    <row r="174" spans="1:5" x14ac:dyDescent="0.25">
      <c r="A174" s="15">
        <v>39137</v>
      </c>
      <c r="B174" s="11" t="s">
        <v>179</v>
      </c>
      <c r="C174" s="16">
        <v>167517572</v>
      </c>
      <c r="D174" s="14">
        <v>1119.8679999999999</v>
      </c>
      <c r="E174" s="16">
        <v>149586.89059782046</v>
      </c>
    </row>
    <row r="175" spans="1:5" x14ac:dyDescent="0.25">
      <c r="A175" s="15">
        <v>39139</v>
      </c>
      <c r="B175" s="11" t="s">
        <v>180</v>
      </c>
      <c r="C175" s="16">
        <v>218660826</v>
      </c>
      <c r="D175" s="14">
        <v>2067.8847000000001</v>
      </c>
      <c r="E175" s="16">
        <v>105741.30462883158</v>
      </c>
    </row>
    <row r="176" spans="1:5" x14ac:dyDescent="0.25">
      <c r="A176" s="15">
        <v>39141</v>
      </c>
      <c r="B176" s="11" t="s">
        <v>181</v>
      </c>
      <c r="C176" s="16">
        <v>3304997880</v>
      </c>
      <c r="D176" s="14">
        <v>23000.3017</v>
      </c>
      <c r="E176" s="16">
        <v>143693.67511383558</v>
      </c>
    </row>
    <row r="177" spans="1:5" x14ac:dyDescent="0.25">
      <c r="A177" s="15">
        <v>39142</v>
      </c>
      <c r="B177" s="11" t="s">
        <v>182</v>
      </c>
      <c r="C177" s="16">
        <v>63083297</v>
      </c>
      <c r="D177" s="14">
        <v>1055.2144000000001</v>
      </c>
      <c r="E177" s="16">
        <v>59782.445159959905</v>
      </c>
    </row>
    <row r="178" spans="1:5" x14ac:dyDescent="0.25">
      <c r="A178" s="15">
        <v>40100</v>
      </c>
      <c r="B178" s="11" t="s">
        <v>183</v>
      </c>
      <c r="C178" s="16">
        <v>11960823</v>
      </c>
      <c r="D178" s="14">
        <v>143.25470000000001</v>
      </c>
      <c r="E178" s="16">
        <v>83493.407197111155</v>
      </c>
    </row>
    <row r="179" spans="1:5" x14ac:dyDescent="0.25">
      <c r="A179" s="15">
        <v>40101</v>
      </c>
      <c r="B179" s="11" t="s">
        <v>184</v>
      </c>
      <c r="C179" s="16">
        <v>3876248</v>
      </c>
      <c r="D179" s="14">
        <v>50.3568</v>
      </c>
      <c r="E179" s="16">
        <v>76975.661678263903</v>
      </c>
    </row>
    <row r="180" spans="1:5" x14ac:dyDescent="0.25">
      <c r="A180" s="15">
        <v>40103</v>
      </c>
      <c r="B180" s="11" t="s">
        <v>185</v>
      </c>
      <c r="C180" s="16">
        <v>8087031</v>
      </c>
      <c r="D180" s="14">
        <v>74.318700000000007</v>
      </c>
      <c r="E180" s="16">
        <v>108815.56055205486</v>
      </c>
    </row>
    <row r="181" spans="1:5" x14ac:dyDescent="0.25">
      <c r="A181" s="15">
        <v>40104</v>
      </c>
      <c r="B181" s="11" t="s">
        <v>186</v>
      </c>
      <c r="C181" s="16">
        <v>5396018</v>
      </c>
      <c r="D181" s="14">
        <v>80.295900000000003</v>
      </c>
      <c r="E181" s="16">
        <v>67201.662849535278</v>
      </c>
    </row>
    <row r="182" spans="1:5" x14ac:dyDescent="0.25">
      <c r="A182" s="15">
        <v>40107</v>
      </c>
      <c r="B182" s="11" t="s">
        <v>187</v>
      </c>
      <c r="C182" s="16">
        <v>73668738</v>
      </c>
      <c r="D182" s="14">
        <v>1124.4709</v>
      </c>
      <c r="E182" s="16">
        <v>65514.134692147214</v>
      </c>
    </row>
    <row r="183" spans="1:5" x14ac:dyDescent="0.25">
      <c r="A183" s="15">
        <v>41001</v>
      </c>
      <c r="B183" s="11" t="s">
        <v>188</v>
      </c>
      <c r="C183" s="16">
        <v>5328779</v>
      </c>
      <c r="D183" s="14">
        <v>78.238299999999995</v>
      </c>
      <c r="E183" s="16">
        <v>68109.595939584586</v>
      </c>
    </row>
    <row r="184" spans="1:5" x14ac:dyDescent="0.25">
      <c r="A184" s="15">
        <v>41002</v>
      </c>
      <c r="B184" s="11" t="s">
        <v>189</v>
      </c>
      <c r="C184" s="16">
        <v>58815713</v>
      </c>
      <c r="D184" s="14">
        <v>818.55190000000005</v>
      </c>
      <c r="E184" s="16">
        <v>71853.370568194878</v>
      </c>
    </row>
    <row r="185" spans="1:5" x14ac:dyDescent="0.25">
      <c r="A185" s="15">
        <v>41003</v>
      </c>
      <c r="B185" s="11" t="s">
        <v>190</v>
      </c>
      <c r="C185" s="16">
        <v>16118324</v>
      </c>
      <c r="D185" s="14">
        <v>210.2687</v>
      </c>
      <c r="E185" s="16">
        <v>76655.840836035044</v>
      </c>
    </row>
    <row r="186" spans="1:5" x14ac:dyDescent="0.25">
      <c r="A186" s="15">
        <v>41004</v>
      </c>
      <c r="B186" s="11" t="s">
        <v>191</v>
      </c>
      <c r="C186" s="16">
        <v>10101633</v>
      </c>
      <c r="D186" s="14">
        <v>126.71599999999999</v>
      </c>
      <c r="E186" s="16">
        <v>79718.685880236124</v>
      </c>
    </row>
    <row r="187" spans="1:5" x14ac:dyDescent="0.25">
      <c r="A187" s="15">
        <v>41005</v>
      </c>
      <c r="B187" s="11" t="s">
        <v>192</v>
      </c>
      <c r="C187" s="16">
        <v>6981955</v>
      </c>
      <c r="D187" s="14">
        <v>91.543199999999999</v>
      </c>
      <c r="E187" s="16">
        <v>76269.509914444759</v>
      </c>
    </row>
    <row r="188" spans="1:5" x14ac:dyDescent="0.25">
      <c r="A188" s="15">
        <v>42111</v>
      </c>
      <c r="B188" s="11" t="s">
        <v>193</v>
      </c>
      <c r="C188" s="16">
        <v>42519374</v>
      </c>
      <c r="D188" s="14">
        <v>661.58510000000001</v>
      </c>
      <c r="E188" s="16">
        <v>64268.941365215149</v>
      </c>
    </row>
    <row r="189" spans="1:5" x14ac:dyDescent="0.25">
      <c r="A189" s="15">
        <v>42113</v>
      </c>
      <c r="B189" s="11" t="s">
        <v>194</v>
      </c>
      <c r="C189" s="16">
        <v>9303263</v>
      </c>
      <c r="D189" s="14">
        <v>88.965100000000007</v>
      </c>
      <c r="E189" s="16">
        <v>104572.05128752734</v>
      </c>
    </row>
    <row r="190" spans="1:5" x14ac:dyDescent="0.25">
      <c r="A190" s="15">
        <v>42117</v>
      </c>
      <c r="B190" s="11" t="s">
        <v>195</v>
      </c>
      <c r="C190" s="16">
        <v>9658111</v>
      </c>
      <c r="D190" s="14">
        <v>151.35069999999999</v>
      </c>
      <c r="E190" s="16">
        <v>63812.793730058736</v>
      </c>
    </row>
    <row r="191" spans="1:5" x14ac:dyDescent="0.25">
      <c r="A191" s="15">
        <v>42118</v>
      </c>
      <c r="B191" s="11" t="s">
        <v>196</v>
      </c>
      <c r="C191" s="16">
        <v>15364559</v>
      </c>
      <c r="D191" s="14">
        <v>103.4871</v>
      </c>
      <c r="E191" s="16">
        <v>148468.35016151771</v>
      </c>
    </row>
    <row r="192" spans="1:5" x14ac:dyDescent="0.25">
      <c r="A192" s="15">
        <v>42119</v>
      </c>
      <c r="B192" s="11" t="s">
        <v>197</v>
      </c>
      <c r="C192" s="16">
        <v>17239772</v>
      </c>
      <c r="D192" s="14">
        <v>48.320700000000002</v>
      </c>
      <c r="E192" s="16">
        <v>356778.19236890192</v>
      </c>
    </row>
    <row r="193" spans="1:5" x14ac:dyDescent="0.25">
      <c r="A193" s="15">
        <v>42121</v>
      </c>
      <c r="B193" s="11" t="s">
        <v>198</v>
      </c>
      <c r="C193" s="16">
        <v>10688031</v>
      </c>
      <c r="D193" s="14">
        <v>78.5488</v>
      </c>
      <c r="E193" s="16">
        <v>136068.67323243638</v>
      </c>
    </row>
    <row r="194" spans="1:5" x14ac:dyDescent="0.25">
      <c r="A194" s="15">
        <v>42124</v>
      </c>
      <c r="B194" s="11" t="s">
        <v>199</v>
      </c>
      <c r="C194" s="16">
        <v>159978936</v>
      </c>
      <c r="D194" s="14">
        <v>1586.0961</v>
      </c>
      <c r="E194" s="16">
        <v>100863.33104280378</v>
      </c>
    </row>
    <row r="195" spans="1:5" x14ac:dyDescent="0.25">
      <c r="A195" s="15">
        <v>43001</v>
      </c>
      <c r="B195" s="11" t="s">
        <v>200</v>
      </c>
      <c r="C195" s="16">
        <v>39378905</v>
      </c>
      <c r="D195" s="14">
        <v>694.8134</v>
      </c>
      <c r="E195" s="16">
        <v>56675.511727321318</v>
      </c>
    </row>
    <row r="196" spans="1:5" x14ac:dyDescent="0.25">
      <c r="A196" s="15">
        <v>43002</v>
      </c>
      <c r="B196" s="11" t="s">
        <v>201</v>
      </c>
      <c r="C196" s="16">
        <v>33113410</v>
      </c>
      <c r="D196" s="14">
        <v>261.66390000000001</v>
      </c>
      <c r="E196" s="16">
        <v>126549.40173252787</v>
      </c>
    </row>
    <row r="197" spans="1:5" x14ac:dyDescent="0.25">
      <c r="A197" s="15">
        <v>43003</v>
      </c>
      <c r="B197" s="11" t="s">
        <v>202</v>
      </c>
      <c r="C197" s="16">
        <v>21935899</v>
      </c>
      <c r="D197" s="14">
        <v>301.1438</v>
      </c>
      <c r="E197" s="16">
        <v>72841.941291834664</v>
      </c>
    </row>
    <row r="198" spans="1:5" x14ac:dyDescent="0.25">
      <c r="A198" s="15">
        <v>43004</v>
      </c>
      <c r="B198" s="11" t="s">
        <v>203</v>
      </c>
      <c r="C198" s="16">
        <v>38599702</v>
      </c>
      <c r="D198" s="14">
        <v>263.6234</v>
      </c>
      <c r="E198" s="16">
        <v>146419.86257669085</v>
      </c>
    </row>
    <row r="199" spans="1:5" x14ac:dyDescent="0.25">
      <c r="A199" s="15">
        <v>44078</v>
      </c>
      <c r="B199" s="11" t="s">
        <v>204</v>
      </c>
      <c r="C199" s="16">
        <v>22928765</v>
      </c>
      <c r="D199" s="14">
        <v>65.930499999999995</v>
      </c>
      <c r="E199" s="16">
        <v>347771.74448851444</v>
      </c>
    </row>
    <row r="200" spans="1:5" x14ac:dyDescent="0.25">
      <c r="A200" s="15">
        <v>44083</v>
      </c>
      <c r="B200" s="11" t="s">
        <v>205</v>
      </c>
      <c r="C200" s="16">
        <v>28053377</v>
      </c>
      <c r="D200" s="14">
        <v>244.32769999999999</v>
      </c>
      <c r="E200" s="16">
        <v>114818.65134407602</v>
      </c>
    </row>
    <row r="201" spans="1:5" x14ac:dyDescent="0.25">
      <c r="A201" s="15">
        <v>44084</v>
      </c>
      <c r="B201" s="11" t="s">
        <v>206</v>
      </c>
      <c r="C201" s="16">
        <v>28844395</v>
      </c>
      <c r="D201" s="14">
        <v>248.35849999999999</v>
      </c>
      <c r="E201" s="16">
        <v>116140.15626604285</v>
      </c>
    </row>
    <row r="202" spans="1:5" x14ac:dyDescent="0.25">
      <c r="A202" s="15">
        <v>45076</v>
      </c>
      <c r="B202" s="11" t="s">
        <v>207</v>
      </c>
      <c r="C202" s="16">
        <v>25193672</v>
      </c>
      <c r="D202" s="14">
        <v>426.51519999999999</v>
      </c>
      <c r="E202" s="16">
        <v>59068.638116531372</v>
      </c>
    </row>
    <row r="203" spans="1:5" x14ac:dyDescent="0.25">
      <c r="A203" s="15">
        <v>45077</v>
      </c>
      <c r="B203" s="11" t="s">
        <v>208</v>
      </c>
      <c r="C203" s="16">
        <v>46864673</v>
      </c>
      <c r="D203" s="14">
        <v>599.94659999999999</v>
      </c>
      <c r="E203" s="16">
        <v>78114.740545241861</v>
      </c>
    </row>
    <row r="204" spans="1:5" x14ac:dyDescent="0.25">
      <c r="A204" s="15">
        <v>45078</v>
      </c>
      <c r="B204" s="11" t="s">
        <v>209</v>
      </c>
      <c r="C204" s="16">
        <v>23316217</v>
      </c>
      <c r="D204" s="14">
        <v>251.82919999999999</v>
      </c>
      <c r="E204" s="16">
        <v>92587.424333635659</v>
      </c>
    </row>
    <row r="205" spans="1:5" x14ac:dyDescent="0.25">
      <c r="A205" s="15">
        <v>46128</v>
      </c>
      <c r="B205" s="11" t="s">
        <v>210</v>
      </c>
      <c r="C205" s="16">
        <v>23718690</v>
      </c>
      <c r="D205" s="14">
        <v>269.2124</v>
      </c>
      <c r="E205" s="16">
        <v>88104.002638808612</v>
      </c>
    </row>
    <row r="206" spans="1:5" x14ac:dyDescent="0.25">
      <c r="A206" s="15">
        <v>46130</v>
      </c>
      <c r="B206" s="11" t="s">
        <v>211</v>
      </c>
      <c r="C206" s="16">
        <v>64393999</v>
      </c>
      <c r="D206" s="14">
        <v>1120.7647999999999</v>
      </c>
      <c r="E206" s="16">
        <v>57455.408128449431</v>
      </c>
    </row>
    <row r="207" spans="1:5" x14ac:dyDescent="0.25">
      <c r="A207" s="15">
        <v>46131</v>
      </c>
      <c r="B207" s="11" t="s">
        <v>212</v>
      </c>
      <c r="C207" s="16">
        <v>69461480</v>
      </c>
      <c r="D207" s="14">
        <v>1244.8421000000001</v>
      </c>
      <c r="E207" s="16">
        <v>55799.430305257185</v>
      </c>
    </row>
    <row r="208" spans="1:5" x14ac:dyDescent="0.25">
      <c r="A208" s="15">
        <v>46132</v>
      </c>
      <c r="B208" s="11" t="s">
        <v>213</v>
      </c>
      <c r="C208" s="16">
        <v>39363270</v>
      </c>
      <c r="D208" s="14">
        <v>565.87239999999997</v>
      </c>
      <c r="E208" s="16">
        <v>69562.095624384587</v>
      </c>
    </row>
    <row r="209" spans="1:5" x14ac:dyDescent="0.25">
      <c r="A209" s="15">
        <v>46134</v>
      </c>
      <c r="B209" s="11" t="s">
        <v>214</v>
      </c>
      <c r="C209" s="16">
        <v>147802350</v>
      </c>
      <c r="D209" s="14">
        <v>1897.4570000000001</v>
      </c>
      <c r="E209" s="16">
        <v>77894.966789761238</v>
      </c>
    </row>
    <row r="210" spans="1:5" x14ac:dyDescent="0.25">
      <c r="A210" s="15">
        <v>46135</v>
      </c>
      <c r="B210" s="11" t="s">
        <v>215</v>
      </c>
      <c r="C210" s="16">
        <v>25815410</v>
      </c>
      <c r="D210" s="14">
        <v>330.91160000000002</v>
      </c>
      <c r="E210" s="16">
        <v>78013.010121132043</v>
      </c>
    </row>
    <row r="211" spans="1:5" x14ac:dyDescent="0.25">
      <c r="A211" s="15">
        <v>46137</v>
      </c>
      <c r="B211" s="11" t="s">
        <v>216</v>
      </c>
      <c r="C211" s="16">
        <v>17310300</v>
      </c>
      <c r="D211" s="14">
        <v>277.16000000000003</v>
      </c>
      <c r="E211" s="16">
        <v>62455.982104199735</v>
      </c>
    </row>
    <row r="212" spans="1:5" x14ac:dyDescent="0.25">
      <c r="A212" s="15">
        <v>46140</v>
      </c>
      <c r="B212" s="11" t="s">
        <v>217</v>
      </c>
      <c r="C212" s="16">
        <v>42777662</v>
      </c>
      <c r="D212" s="14">
        <v>673.5213</v>
      </c>
      <c r="E212" s="16">
        <v>63513.45087378825</v>
      </c>
    </row>
    <row r="213" spans="1:5" x14ac:dyDescent="0.25">
      <c r="A213" s="15">
        <v>47060</v>
      </c>
      <c r="B213" s="11" t="s">
        <v>218</v>
      </c>
      <c r="C213" s="16">
        <v>29261930</v>
      </c>
      <c r="D213" s="14">
        <v>286.36160000000001</v>
      </c>
      <c r="E213" s="16">
        <v>102185.24411094225</v>
      </c>
    </row>
    <row r="214" spans="1:5" x14ac:dyDescent="0.25">
      <c r="A214" s="15">
        <v>47062</v>
      </c>
      <c r="B214" s="11" t="s">
        <v>219</v>
      </c>
      <c r="C214" s="16">
        <v>44032303</v>
      </c>
      <c r="D214" s="14">
        <v>952.10640000000001</v>
      </c>
      <c r="E214" s="16">
        <v>46247.250307318594</v>
      </c>
    </row>
    <row r="215" spans="1:5" x14ac:dyDescent="0.25">
      <c r="A215" s="15">
        <v>47064</v>
      </c>
      <c r="B215" s="11" t="s">
        <v>220</v>
      </c>
      <c r="C215" s="16">
        <v>9155940</v>
      </c>
      <c r="D215" s="14">
        <v>161.74299999999999</v>
      </c>
      <c r="E215" s="16">
        <v>56607.952121575589</v>
      </c>
    </row>
    <row r="216" spans="1:5" x14ac:dyDescent="0.25">
      <c r="A216" s="15">
        <v>47065</v>
      </c>
      <c r="B216" s="11" t="s">
        <v>221</v>
      </c>
      <c r="C216" s="16">
        <v>92074519</v>
      </c>
      <c r="D216" s="14">
        <v>394.28359999999998</v>
      </c>
      <c r="E216" s="16">
        <v>233523.58302501045</v>
      </c>
    </row>
    <row r="217" spans="1:5" x14ac:dyDescent="0.25">
      <c r="A217" s="15">
        <v>48066</v>
      </c>
      <c r="B217" s="11" t="s">
        <v>222</v>
      </c>
      <c r="C217" s="16">
        <v>256546753</v>
      </c>
      <c r="D217" s="14">
        <v>4757.1997000000001</v>
      </c>
      <c r="E217" s="16">
        <v>53928.102492733276</v>
      </c>
    </row>
    <row r="218" spans="1:5" x14ac:dyDescent="0.25">
      <c r="A218" s="15">
        <v>48068</v>
      </c>
      <c r="B218" s="11" t="s">
        <v>223</v>
      </c>
      <c r="C218" s="16">
        <v>1217172701</v>
      </c>
      <c r="D218" s="14">
        <v>13577.021500000001</v>
      </c>
      <c r="E218" s="16">
        <v>89649.464059550912</v>
      </c>
    </row>
    <row r="219" spans="1:5" x14ac:dyDescent="0.25">
      <c r="A219" s="15">
        <v>48069</v>
      </c>
      <c r="B219" s="11" t="s">
        <v>224</v>
      </c>
      <c r="C219" s="16">
        <v>250342810</v>
      </c>
      <c r="D219" s="14">
        <v>3646.8526000000002</v>
      </c>
      <c r="E219" s="16">
        <v>68646.265001223248</v>
      </c>
    </row>
    <row r="220" spans="1:5" x14ac:dyDescent="0.25">
      <c r="A220" s="15">
        <v>48070</v>
      </c>
      <c r="B220" s="11" t="s">
        <v>225</v>
      </c>
      <c r="C220" s="16">
        <v>122363599</v>
      </c>
      <c r="D220" s="14">
        <v>1923.1077</v>
      </c>
      <c r="E220" s="16">
        <v>63628.05317663696</v>
      </c>
    </row>
    <row r="221" spans="1:5" x14ac:dyDescent="0.25">
      <c r="A221" s="15">
        <v>48071</v>
      </c>
      <c r="B221" s="11" t="s">
        <v>226</v>
      </c>
      <c r="C221" s="16">
        <v>1632904530</v>
      </c>
      <c r="D221" s="14">
        <v>16766.338800000001</v>
      </c>
      <c r="E221" s="16">
        <v>97391.836672177946</v>
      </c>
    </row>
    <row r="222" spans="1:5" x14ac:dyDescent="0.25">
      <c r="A222" s="15">
        <v>48072</v>
      </c>
      <c r="B222" s="11" t="s">
        <v>227</v>
      </c>
      <c r="C222" s="16">
        <v>365846712</v>
      </c>
      <c r="D222" s="14">
        <v>6260.4862000000003</v>
      </c>
      <c r="E222" s="16">
        <v>58437.428070682428</v>
      </c>
    </row>
    <row r="223" spans="1:5" x14ac:dyDescent="0.25">
      <c r="A223" s="15">
        <v>48073</v>
      </c>
      <c r="B223" s="11" t="s">
        <v>228</v>
      </c>
      <c r="C223" s="16">
        <v>607304457</v>
      </c>
      <c r="D223" s="14">
        <v>8411.2183000000005</v>
      </c>
      <c r="E223" s="16">
        <v>72201.723381736505</v>
      </c>
    </row>
    <row r="224" spans="1:5" x14ac:dyDescent="0.25">
      <c r="A224" s="15">
        <v>48074</v>
      </c>
      <c r="B224" s="11" t="s">
        <v>229</v>
      </c>
      <c r="C224" s="16">
        <v>418761659</v>
      </c>
      <c r="D224" s="14">
        <v>3665.9486999999999</v>
      </c>
      <c r="E224" s="16">
        <v>114230.09247237966</v>
      </c>
    </row>
    <row r="225" spans="1:5" x14ac:dyDescent="0.25">
      <c r="A225" s="15">
        <v>48075</v>
      </c>
      <c r="B225" s="11" t="s">
        <v>230</v>
      </c>
      <c r="C225" s="16">
        <v>48806727</v>
      </c>
      <c r="D225" s="14">
        <v>529.90089999999998</v>
      </c>
      <c r="E225" s="16">
        <v>92105.386120310417</v>
      </c>
    </row>
    <row r="226" spans="1:5" x14ac:dyDescent="0.25">
      <c r="A226" s="15">
        <v>48077</v>
      </c>
      <c r="B226" s="11" t="s">
        <v>231</v>
      </c>
      <c r="C226" s="16">
        <v>925946809</v>
      </c>
      <c r="D226" s="14">
        <v>13945.3287</v>
      </c>
      <c r="E226" s="16">
        <v>66398.349506096623</v>
      </c>
    </row>
    <row r="227" spans="1:5" x14ac:dyDescent="0.25">
      <c r="A227" s="15">
        <v>48078</v>
      </c>
      <c r="B227" s="11" t="s">
        <v>232</v>
      </c>
      <c r="C227" s="16">
        <v>2690140533</v>
      </c>
      <c r="D227" s="14">
        <v>13417.5041</v>
      </c>
      <c r="E227" s="16">
        <v>200494.85455346349</v>
      </c>
    </row>
    <row r="228" spans="1:5" x14ac:dyDescent="0.25">
      <c r="A228" s="15">
        <v>48080</v>
      </c>
      <c r="B228" s="11" t="s">
        <v>233</v>
      </c>
      <c r="C228" s="16">
        <v>380833950</v>
      </c>
      <c r="D228" s="14">
        <v>2218.7458000000001</v>
      </c>
      <c r="E228" s="16">
        <v>171643.79533698721</v>
      </c>
    </row>
    <row r="229" spans="1:5" x14ac:dyDescent="0.25">
      <c r="A229" s="15">
        <v>49132</v>
      </c>
      <c r="B229" s="11" t="s">
        <v>234</v>
      </c>
      <c r="C229" s="16">
        <v>218845021</v>
      </c>
      <c r="D229" s="14">
        <v>3130.7891</v>
      </c>
      <c r="E229" s="16">
        <v>69900.914437194122</v>
      </c>
    </row>
    <row r="230" spans="1:5" x14ac:dyDescent="0.25">
      <c r="A230" s="15">
        <v>49135</v>
      </c>
      <c r="B230" s="11" t="s">
        <v>235</v>
      </c>
      <c r="C230" s="16">
        <v>19514870</v>
      </c>
      <c r="D230" s="14">
        <v>212.22720000000001</v>
      </c>
      <c r="E230" s="16">
        <v>91952.728019782575</v>
      </c>
    </row>
    <row r="231" spans="1:5" x14ac:dyDescent="0.25">
      <c r="A231" s="15">
        <v>49137</v>
      </c>
      <c r="B231" s="11" t="s">
        <v>236</v>
      </c>
      <c r="C231" s="16">
        <v>35669575</v>
      </c>
      <c r="D231" s="14">
        <v>461.22890000000001</v>
      </c>
      <c r="E231" s="16">
        <v>77335.949677047553</v>
      </c>
    </row>
    <row r="232" spans="1:5" x14ac:dyDescent="0.25">
      <c r="A232" s="15">
        <v>49140</v>
      </c>
      <c r="B232" s="11" t="s">
        <v>237</v>
      </c>
      <c r="C232" s="16">
        <v>33845761</v>
      </c>
      <c r="D232" s="14">
        <v>779.62819999999999</v>
      </c>
      <c r="E232" s="16">
        <v>43412.694666508985</v>
      </c>
    </row>
    <row r="233" spans="1:5" x14ac:dyDescent="0.25">
      <c r="A233" s="15">
        <v>49142</v>
      </c>
      <c r="B233" s="11" t="s">
        <v>238</v>
      </c>
      <c r="C233" s="16">
        <v>282835489</v>
      </c>
      <c r="D233" s="14">
        <v>4259.4368000000004</v>
      </c>
      <c r="E233" s="16">
        <v>66402.08606921928</v>
      </c>
    </row>
    <row r="234" spans="1:5" x14ac:dyDescent="0.25">
      <c r="A234" s="15">
        <v>49144</v>
      </c>
      <c r="B234" s="11" t="s">
        <v>239</v>
      </c>
      <c r="C234" s="16">
        <v>213985777</v>
      </c>
      <c r="D234" s="14">
        <v>4021.6738</v>
      </c>
      <c r="E234" s="16">
        <v>53208.138611341376</v>
      </c>
    </row>
    <row r="235" spans="1:5" x14ac:dyDescent="0.25">
      <c r="A235" s="15">
        <v>49148</v>
      </c>
      <c r="B235" s="11" t="s">
        <v>240</v>
      </c>
      <c r="C235" s="16">
        <v>811264332</v>
      </c>
      <c r="D235" s="14">
        <v>7124.9629999999997</v>
      </c>
      <c r="E235" s="16">
        <v>113862.25191625557</v>
      </c>
    </row>
    <row r="236" spans="1:5" x14ac:dyDescent="0.25">
      <c r="A236" s="15">
        <v>50001</v>
      </c>
      <c r="B236" s="11" t="s">
        <v>241</v>
      </c>
      <c r="C236" s="16">
        <v>543318629</v>
      </c>
      <c r="D236" s="14">
        <v>6454.0848999999998</v>
      </c>
      <c r="E236" s="16">
        <v>84182.132311274676</v>
      </c>
    </row>
    <row r="237" spans="1:5" x14ac:dyDescent="0.25">
      <c r="A237" s="15">
        <v>50002</v>
      </c>
      <c r="B237" s="11" t="s">
        <v>242</v>
      </c>
      <c r="C237" s="16">
        <v>50039783</v>
      </c>
      <c r="D237" s="14">
        <v>713.93780000000004</v>
      </c>
      <c r="E237" s="16">
        <v>70089.835557103157</v>
      </c>
    </row>
    <row r="238" spans="1:5" x14ac:dyDescent="0.25">
      <c r="A238" s="15">
        <v>50003</v>
      </c>
      <c r="B238" s="11" t="s">
        <v>243</v>
      </c>
      <c r="C238" s="16">
        <v>241984458</v>
      </c>
      <c r="D238" s="14">
        <v>3296.6790999999998</v>
      </c>
      <c r="E238" s="16">
        <v>73402.491009816513</v>
      </c>
    </row>
    <row r="239" spans="1:5" x14ac:dyDescent="0.25">
      <c r="A239" s="15">
        <v>50005</v>
      </c>
      <c r="B239" s="11" t="s">
        <v>244</v>
      </c>
      <c r="C239" s="16">
        <v>158280201</v>
      </c>
      <c r="D239" s="14">
        <v>1458.4958999999999</v>
      </c>
      <c r="E239" s="16">
        <v>108522.8974589507</v>
      </c>
    </row>
    <row r="240" spans="1:5" x14ac:dyDescent="0.25">
      <c r="A240" s="15">
        <v>50006</v>
      </c>
      <c r="B240" s="11" t="s">
        <v>245</v>
      </c>
      <c r="C240" s="16">
        <v>242769642</v>
      </c>
      <c r="D240" s="14">
        <v>2862.4657999999999</v>
      </c>
      <c r="E240" s="16">
        <v>84811.368576001856</v>
      </c>
    </row>
    <row r="241" spans="1:5" x14ac:dyDescent="0.25">
      <c r="A241" s="15">
        <v>50007</v>
      </c>
      <c r="B241" s="11" t="s">
        <v>246</v>
      </c>
      <c r="C241" s="16">
        <v>175922517</v>
      </c>
      <c r="D241" s="14">
        <v>918.57249999999999</v>
      </c>
      <c r="E241" s="16">
        <v>191517.29123177539</v>
      </c>
    </row>
    <row r="242" spans="1:5" x14ac:dyDescent="0.25">
      <c r="A242" s="15">
        <v>50009</v>
      </c>
      <c r="B242" s="11" t="s">
        <v>247</v>
      </c>
      <c r="C242" s="16">
        <v>33949963</v>
      </c>
      <c r="D242" s="14">
        <v>362.9085</v>
      </c>
      <c r="E242" s="16">
        <v>93549.64956731518</v>
      </c>
    </row>
    <row r="243" spans="1:5" x14ac:dyDescent="0.25">
      <c r="A243" s="15">
        <v>50010</v>
      </c>
      <c r="B243" s="11" t="s">
        <v>248</v>
      </c>
      <c r="C243" s="16">
        <v>206995408</v>
      </c>
      <c r="D243" s="14">
        <v>2817.0122999999999</v>
      </c>
      <c r="E243" s="16">
        <v>73480.477170795464</v>
      </c>
    </row>
    <row r="244" spans="1:5" x14ac:dyDescent="0.25">
      <c r="A244" s="15">
        <v>50012</v>
      </c>
      <c r="B244" s="11" t="s">
        <v>249</v>
      </c>
      <c r="C244" s="16">
        <v>845252525</v>
      </c>
      <c r="D244" s="14">
        <v>11160.4537</v>
      </c>
      <c r="E244" s="16">
        <v>75736.394569693875</v>
      </c>
    </row>
    <row r="245" spans="1:5" x14ac:dyDescent="0.25">
      <c r="A245" s="15">
        <v>50013</v>
      </c>
      <c r="B245" s="11" t="s">
        <v>250</v>
      </c>
      <c r="C245" s="16">
        <v>56911597</v>
      </c>
      <c r="D245" s="14">
        <v>597.51070000000004</v>
      </c>
      <c r="E245" s="16">
        <v>95247.829034693437</v>
      </c>
    </row>
    <row r="246" spans="1:5" x14ac:dyDescent="0.25">
      <c r="A246" s="15">
        <v>50014</v>
      </c>
      <c r="B246" s="11" t="s">
        <v>251</v>
      </c>
      <c r="C246" s="16">
        <v>181920684</v>
      </c>
      <c r="D246" s="14">
        <v>2821.5259000000001</v>
      </c>
      <c r="E246" s="16">
        <v>64475.992937013267</v>
      </c>
    </row>
    <row r="247" spans="1:5" x14ac:dyDescent="0.25">
      <c r="A247" s="15">
        <v>51150</v>
      </c>
      <c r="B247" s="11" t="s">
        <v>252</v>
      </c>
      <c r="C247" s="16">
        <v>22404044</v>
      </c>
      <c r="D247" s="14">
        <v>253.8407</v>
      </c>
      <c r="E247" s="16">
        <v>88260.251409643926</v>
      </c>
    </row>
    <row r="248" spans="1:5" x14ac:dyDescent="0.25">
      <c r="A248" s="15">
        <v>51152</v>
      </c>
      <c r="B248" s="11" t="s">
        <v>253</v>
      </c>
      <c r="C248" s="16">
        <v>87343884</v>
      </c>
      <c r="D248" s="14">
        <v>1231.5971999999999</v>
      </c>
      <c r="E248" s="16">
        <v>70919.196633444764</v>
      </c>
    </row>
    <row r="249" spans="1:5" x14ac:dyDescent="0.25">
      <c r="A249" s="15">
        <v>51153</v>
      </c>
      <c r="B249" s="11" t="s">
        <v>254</v>
      </c>
      <c r="C249" s="16">
        <v>8752412</v>
      </c>
      <c r="D249" s="14">
        <v>146.64940000000001</v>
      </c>
      <c r="E249" s="16">
        <v>59682.562628964042</v>
      </c>
    </row>
    <row r="250" spans="1:5" x14ac:dyDescent="0.25">
      <c r="A250" s="15">
        <v>51154</v>
      </c>
      <c r="B250" s="11" t="s">
        <v>255</v>
      </c>
      <c r="C250" s="16">
        <v>34905557</v>
      </c>
      <c r="D250" s="14">
        <v>582.9117</v>
      </c>
      <c r="E250" s="16">
        <v>59881.379975732176</v>
      </c>
    </row>
    <row r="251" spans="1:5" x14ac:dyDescent="0.25">
      <c r="A251" s="15">
        <v>51155</v>
      </c>
      <c r="B251" s="11" t="s">
        <v>256</v>
      </c>
      <c r="C251" s="16">
        <v>54915949</v>
      </c>
      <c r="D251" s="14">
        <v>1411.0035</v>
      </c>
      <c r="E251" s="16">
        <v>38919.782268435192</v>
      </c>
    </row>
    <row r="252" spans="1:5" x14ac:dyDescent="0.25">
      <c r="A252" s="15">
        <v>51156</v>
      </c>
      <c r="B252" s="11" t="s">
        <v>257</v>
      </c>
      <c r="C252" s="16">
        <v>15066029</v>
      </c>
      <c r="D252" s="14">
        <v>300.39080000000001</v>
      </c>
      <c r="E252" s="16">
        <v>50154.761730385879</v>
      </c>
    </row>
    <row r="253" spans="1:5" x14ac:dyDescent="0.25">
      <c r="A253" s="15">
        <v>51159</v>
      </c>
      <c r="B253" s="11" t="s">
        <v>258</v>
      </c>
      <c r="C253" s="16">
        <v>256330120</v>
      </c>
      <c r="D253" s="14">
        <v>3132.1284999999998</v>
      </c>
      <c r="E253" s="16">
        <v>81838.953925421651</v>
      </c>
    </row>
    <row r="254" spans="1:5" x14ac:dyDescent="0.25">
      <c r="A254" s="15">
        <v>52096</v>
      </c>
      <c r="B254" s="11" t="s">
        <v>259</v>
      </c>
      <c r="C254" s="16">
        <v>60247887</v>
      </c>
      <c r="D254" s="14">
        <v>458.53559999999999</v>
      </c>
      <c r="E254" s="16">
        <v>131391.95081036238</v>
      </c>
    </row>
    <row r="255" spans="1:5" x14ac:dyDescent="0.25">
      <c r="A255" s="15">
        <v>53111</v>
      </c>
      <c r="B255" s="11" t="s">
        <v>260</v>
      </c>
      <c r="C255" s="16">
        <v>33123874</v>
      </c>
      <c r="D255" s="14">
        <v>773.46069999999997</v>
      </c>
      <c r="E255" s="16">
        <v>42825.542396659584</v>
      </c>
    </row>
    <row r="256" spans="1:5" x14ac:dyDescent="0.25">
      <c r="A256" s="15">
        <v>53112</v>
      </c>
      <c r="B256" s="11" t="s">
        <v>261</v>
      </c>
      <c r="C256" s="16">
        <v>8427790</v>
      </c>
      <c r="D256" s="14">
        <v>90.391499999999994</v>
      </c>
      <c r="E256" s="16">
        <v>93236.532196058266</v>
      </c>
    </row>
    <row r="257" spans="1:5" x14ac:dyDescent="0.25">
      <c r="A257" s="15">
        <v>53113</v>
      </c>
      <c r="B257" s="11" t="s">
        <v>262</v>
      </c>
      <c r="C257" s="16">
        <v>296908329</v>
      </c>
      <c r="D257" s="14">
        <v>4084.28</v>
      </c>
      <c r="E257" s="16">
        <v>72695.390374802897</v>
      </c>
    </row>
    <row r="258" spans="1:5" x14ac:dyDescent="0.25">
      <c r="A258" s="15">
        <v>53114</v>
      </c>
      <c r="B258" s="11" t="s">
        <v>263</v>
      </c>
      <c r="C258" s="16">
        <v>27869918</v>
      </c>
      <c r="D258" s="14">
        <v>615.32309999999995</v>
      </c>
      <c r="E258" s="16">
        <v>45293.144365943685</v>
      </c>
    </row>
    <row r="259" spans="1:5" x14ac:dyDescent="0.25">
      <c r="A259" s="15">
        <v>54037</v>
      </c>
      <c r="B259" s="11" t="s">
        <v>264</v>
      </c>
      <c r="C259" s="16">
        <v>45076590</v>
      </c>
      <c r="D259" s="14">
        <v>433.55200000000002</v>
      </c>
      <c r="E259" s="16">
        <v>103970.43491899472</v>
      </c>
    </row>
    <row r="260" spans="1:5" x14ac:dyDescent="0.25">
      <c r="A260" s="15">
        <v>54039</v>
      </c>
      <c r="B260" s="11" t="s">
        <v>265</v>
      </c>
      <c r="C260" s="16">
        <v>64091914</v>
      </c>
      <c r="D260" s="14">
        <v>961.8365</v>
      </c>
      <c r="E260" s="16">
        <v>66634.936395114972</v>
      </c>
    </row>
    <row r="261" spans="1:5" x14ac:dyDescent="0.25">
      <c r="A261" s="15">
        <v>54041</v>
      </c>
      <c r="B261" s="11" t="s">
        <v>266</v>
      </c>
      <c r="C261" s="16">
        <v>121313472</v>
      </c>
      <c r="D261" s="14">
        <v>1955.7976000000001</v>
      </c>
      <c r="E261" s="16">
        <v>62027.620854018838</v>
      </c>
    </row>
    <row r="262" spans="1:5" x14ac:dyDescent="0.25">
      <c r="A262" s="15">
        <v>54042</v>
      </c>
      <c r="B262" s="11" t="s">
        <v>267</v>
      </c>
      <c r="C262" s="16">
        <v>29394598</v>
      </c>
      <c r="D262" s="14">
        <v>321.67200000000003</v>
      </c>
      <c r="E262" s="16">
        <v>91380.654828520972</v>
      </c>
    </row>
    <row r="263" spans="1:5" x14ac:dyDescent="0.25">
      <c r="A263" s="15">
        <v>54043</v>
      </c>
      <c r="B263" s="11" t="s">
        <v>268</v>
      </c>
      <c r="C263" s="16">
        <v>24726370</v>
      </c>
      <c r="D263" s="14">
        <v>383.88249999999999</v>
      </c>
      <c r="E263" s="16">
        <v>64411.297727820362</v>
      </c>
    </row>
    <row r="264" spans="1:5" x14ac:dyDescent="0.25">
      <c r="A264" s="15">
        <v>54045</v>
      </c>
      <c r="B264" s="11" t="s">
        <v>269</v>
      </c>
      <c r="C264" s="16">
        <v>52740089</v>
      </c>
      <c r="D264" s="14">
        <v>864.19159999999999</v>
      </c>
      <c r="E264" s="16">
        <v>61028.236099494607</v>
      </c>
    </row>
    <row r="265" spans="1:5" x14ac:dyDescent="0.25">
      <c r="A265" s="15">
        <v>55104</v>
      </c>
      <c r="B265" s="11" t="s">
        <v>270</v>
      </c>
      <c r="C265" s="16">
        <v>43406738</v>
      </c>
      <c r="D265" s="14">
        <v>498.35469999999998</v>
      </c>
      <c r="E265" s="16">
        <v>87100.087548085736</v>
      </c>
    </row>
    <row r="266" spans="1:5" x14ac:dyDescent="0.25">
      <c r="A266" s="15">
        <v>55105</v>
      </c>
      <c r="B266" s="11" t="s">
        <v>271</v>
      </c>
      <c r="C266" s="16">
        <v>37277186</v>
      </c>
      <c r="D266" s="14">
        <v>626.48879999999997</v>
      </c>
      <c r="E266" s="16">
        <v>59501.759648376799</v>
      </c>
    </row>
    <row r="267" spans="1:5" x14ac:dyDescent="0.25">
      <c r="A267" s="15">
        <v>55106</v>
      </c>
      <c r="B267" s="11" t="s">
        <v>272</v>
      </c>
      <c r="C267" s="16">
        <v>36524307</v>
      </c>
      <c r="D267" s="14">
        <v>679.85950000000003</v>
      </c>
      <c r="E267" s="16">
        <v>53723.316361689438</v>
      </c>
    </row>
    <row r="268" spans="1:5" x14ac:dyDescent="0.25">
      <c r="A268" s="15">
        <v>55108</v>
      </c>
      <c r="B268" s="11" t="s">
        <v>273</v>
      </c>
      <c r="C268" s="16">
        <v>105073479</v>
      </c>
      <c r="D268" s="14">
        <v>1367.2947999999999</v>
      </c>
      <c r="E268" s="16">
        <v>76847.713455796082</v>
      </c>
    </row>
    <row r="269" spans="1:5" x14ac:dyDescent="0.25">
      <c r="A269" s="15">
        <v>55110</v>
      </c>
      <c r="B269" s="11" t="s">
        <v>274</v>
      </c>
      <c r="C269" s="16">
        <v>108931052</v>
      </c>
      <c r="D269" s="14">
        <v>1968.9141999999999</v>
      </c>
      <c r="E269" s="16">
        <v>55325.443841077482</v>
      </c>
    </row>
    <row r="270" spans="1:5" x14ac:dyDescent="0.25">
      <c r="A270" s="15">
        <v>55111</v>
      </c>
      <c r="B270" s="11" t="s">
        <v>275</v>
      </c>
      <c r="C270" s="16">
        <v>24654534</v>
      </c>
      <c r="D270" s="14">
        <v>390.78919999999999</v>
      </c>
      <c r="E270" s="16">
        <v>63089.087415926544</v>
      </c>
    </row>
    <row r="271" spans="1:5" x14ac:dyDescent="0.25">
      <c r="A271" s="15">
        <v>56015</v>
      </c>
      <c r="B271" s="11" t="s">
        <v>276</v>
      </c>
      <c r="C271" s="16">
        <v>34348500</v>
      </c>
      <c r="D271" s="14">
        <v>488.33640000000003</v>
      </c>
      <c r="E271" s="16">
        <v>70337.783544294463</v>
      </c>
    </row>
    <row r="272" spans="1:5" x14ac:dyDescent="0.25">
      <c r="A272" s="15">
        <v>56017</v>
      </c>
      <c r="B272" s="11" t="s">
        <v>277</v>
      </c>
      <c r="C272" s="16">
        <v>70162473</v>
      </c>
      <c r="D272" s="14">
        <v>970.85379999999998</v>
      </c>
      <c r="E272" s="16">
        <v>72268.834916235588</v>
      </c>
    </row>
    <row r="273" spans="1:5" x14ac:dyDescent="0.25">
      <c r="A273" s="15">
        <v>57001</v>
      </c>
      <c r="B273" s="11" t="s">
        <v>278</v>
      </c>
      <c r="C273" s="16">
        <v>29128559</v>
      </c>
      <c r="D273" s="14">
        <v>368.52780000000001</v>
      </c>
      <c r="E273" s="16">
        <v>79040.330200326818</v>
      </c>
    </row>
    <row r="274" spans="1:5" x14ac:dyDescent="0.25">
      <c r="A274" s="15">
        <v>57002</v>
      </c>
      <c r="B274" s="11" t="s">
        <v>279</v>
      </c>
      <c r="C274" s="16">
        <v>43232045</v>
      </c>
      <c r="D274" s="14">
        <v>760.7115</v>
      </c>
      <c r="E274" s="16">
        <v>56831.065390755888</v>
      </c>
    </row>
    <row r="275" spans="1:5" x14ac:dyDescent="0.25">
      <c r="A275" s="15">
        <v>57003</v>
      </c>
      <c r="B275" s="11" t="s">
        <v>280</v>
      </c>
      <c r="C275" s="16">
        <v>414254502</v>
      </c>
      <c r="D275" s="14">
        <v>5701.4699000000001</v>
      </c>
      <c r="E275" s="16">
        <v>72657.491711041046</v>
      </c>
    </row>
    <row r="276" spans="1:5" x14ac:dyDescent="0.25">
      <c r="A276" s="15">
        <v>57004</v>
      </c>
      <c r="B276" s="11" t="s">
        <v>281</v>
      </c>
      <c r="C276" s="16">
        <v>93129210</v>
      </c>
      <c r="D276" s="14">
        <v>1408.73</v>
      </c>
      <c r="E276" s="16">
        <v>66108.629758718846</v>
      </c>
    </row>
    <row r="277" spans="1:5" x14ac:dyDescent="0.25">
      <c r="A277" s="15">
        <v>58106</v>
      </c>
      <c r="B277" s="11" t="s">
        <v>282</v>
      </c>
      <c r="C277" s="16">
        <v>16813671</v>
      </c>
      <c r="D277" s="14">
        <v>225.0241</v>
      </c>
      <c r="E277" s="16">
        <v>74719.423386206181</v>
      </c>
    </row>
    <row r="278" spans="1:5" x14ac:dyDescent="0.25">
      <c r="A278" s="15">
        <v>58107</v>
      </c>
      <c r="B278" s="11" t="s">
        <v>283</v>
      </c>
      <c r="C278" s="16">
        <v>10341567</v>
      </c>
      <c r="D278" s="14">
        <v>132.5729</v>
      </c>
      <c r="E278" s="16">
        <v>78006.643891775762</v>
      </c>
    </row>
    <row r="279" spans="1:5" x14ac:dyDescent="0.25">
      <c r="A279" s="15">
        <v>58108</v>
      </c>
      <c r="B279" s="11" t="s">
        <v>284</v>
      </c>
      <c r="C279" s="16">
        <v>15427680</v>
      </c>
      <c r="D279" s="14">
        <v>226.23099999999999</v>
      </c>
      <c r="E279" s="16">
        <v>68194.367703807176</v>
      </c>
    </row>
    <row r="280" spans="1:5" x14ac:dyDescent="0.25">
      <c r="A280" s="15">
        <v>58109</v>
      </c>
      <c r="B280" s="11" t="s">
        <v>285</v>
      </c>
      <c r="C280" s="16">
        <v>37143522</v>
      </c>
      <c r="D280" s="14">
        <v>629.26819999999998</v>
      </c>
      <c r="E280" s="16">
        <v>59026.535903133197</v>
      </c>
    </row>
    <row r="281" spans="1:5" x14ac:dyDescent="0.25">
      <c r="A281" s="15">
        <v>58112</v>
      </c>
      <c r="B281" s="11" t="s">
        <v>286</v>
      </c>
      <c r="C281" s="16">
        <v>57241120</v>
      </c>
      <c r="D281" s="14">
        <v>968.12180000000001</v>
      </c>
      <c r="E281" s="16">
        <v>59125.948821728838</v>
      </c>
    </row>
    <row r="282" spans="1:5" x14ac:dyDescent="0.25">
      <c r="A282" s="15">
        <v>59113</v>
      </c>
      <c r="B282" s="11" t="s">
        <v>287</v>
      </c>
      <c r="C282" s="16">
        <v>10994033</v>
      </c>
      <c r="D282" s="14">
        <v>165.34630000000001</v>
      </c>
      <c r="E282" s="16">
        <v>66490.952624884856</v>
      </c>
    </row>
    <row r="283" spans="1:5" x14ac:dyDescent="0.25">
      <c r="A283" s="15">
        <v>59114</v>
      </c>
      <c r="B283" s="11" t="s">
        <v>288</v>
      </c>
      <c r="C283" s="16">
        <v>6478332</v>
      </c>
      <c r="D283" s="14">
        <v>83.680499999999995</v>
      </c>
      <c r="E283" s="16">
        <v>77417.462849767879</v>
      </c>
    </row>
    <row r="284" spans="1:5" x14ac:dyDescent="0.25">
      <c r="A284" s="15">
        <v>59117</v>
      </c>
      <c r="B284" s="11" t="s">
        <v>289</v>
      </c>
      <c r="C284" s="16">
        <v>136190288</v>
      </c>
      <c r="D284" s="14">
        <v>1796.1867</v>
      </c>
      <c r="E284" s="16">
        <v>75821.899805849811</v>
      </c>
    </row>
    <row r="285" spans="1:5" x14ac:dyDescent="0.25">
      <c r="A285" s="15">
        <v>60077</v>
      </c>
      <c r="B285" s="11" t="s">
        <v>290</v>
      </c>
      <c r="C285" s="16">
        <v>200843514</v>
      </c>
      <c r="D285" s="14">
        <v>3614.6174000000001</v>
      </c>
      <c r="E285" s="16">
        <v>55564.2525264223</v>
      </c>
    </row>
    <row r="286" spans="1:5" x14ac:dyDescent="0.25">
      <c r="A286" s="15">
        <v>61150</v>
      </c>
      <c r="B286" s="11" t="s">
        <v>291</v>
      </c>
      <c r="C286" s="16">
        <v>13455175</v>
      </c>
      <c r="D286" s="14">
        <v>203.64570000000001</v>
      </c>
      <c r="E286" s="16">
        <v>66071.490829415983</v>
      </c>
    </row>
    <row r="287" spans="1:5" x14ac:dyDescent="0.25">
      <c r="A287" s="15">
        <v>61151</v>
      </c>
      <c r="B287" s="11" t="s">
        <v>292</v>
      </c>
      <c r="C287" s="16">
        <v>11528757</v>
      </c>
      <c r="D287" s="14">
        <v>193.6123</v>
      </c>
      <c r="E287" s="16">
        <v>59545.581556543671</v>
      </c>
    </row>
    <row r="288" spans="1:5" x14ac:dyDescent="0.25">
      <c r="A288" s="15">
        <v>61154</v>
      </c>
      <c r="B288" s="11" t="s">
        <v>293</v>
      </c>
      <c r="C288" s="16">
        <v>23872976</v>
      </c>
      <c r="D288" s="14">
        <v>320.51319999999998</v>
      </c>
      <c r="E288" s="16">
        <v>74483.596931421242</v>
      </c>
    </row>
    <row r="289" spans="1:5" x14ac:dyDescent="0.25">
      <c r="A289" s="15">
        <v>61156</v>
      </c>
      <c r="B289" s="11" t="s">
        <v>294</v>
      </c>
      <c r="C289" s="16">
        <v>96040828</v>
      </c>
      <c r="D289" s="14">
        <v>1332.3676</v>
      </c>
      <c r="E289" s="16">
        <v>72082.830594199375</v>
      </c>
    </row>
    <row r="290" spans="1:5" x14ac:dyDescent="0.25">
      <c r="A290" s="15">
        <v>61157</v>
      </c>
      <c r="B290" s="11" t="s">
        <v>295</v>
      </c>
      <c r="C290" s="16">
        <v>5548267</v>
      </c>
      <c r="D290" s="14">
        <v>92.105099999999993</v>
      </c>
      <c r="E290" s="16">
        <v>60238.43413665476</v>
      </c>
    </row>
    <row r="291" spans="1:5" x14ac:dyDescent="0.25">
      <c r="A291" s="15">
        <v>61158</v>
      </c>
      <c r="B291" s="11" t="s">
        <v>296</v>
      </c>
      <c r="C291" s="16">
        <v>10956644</v>
      </c>
      <c r="D291" s="14">
        <v>96.221500000000006</v>
      </c>
      <c r="E291" s="16">
        <v>113868.97938610394</v>
      </c>
    </row>
    <row r="292" spans="1:5" x14ac:dyDescent="0.25">
      <c r="A292" s="15">
        <v>62070</v>
      </c>
      <c r="B292" s="11" t="s">
        <v>297</v>
      </c>
      <c r="C292" s="16">
        <v>10510440</v>
      </c>
      <c r="D292" s="14">
        <v>149.3193</v>
      </c>
      <c r="E292" s="16">
        <v>70389.025397252728</v>
      </c>
    </row>
    <row r="293" spans="1:5" x14ac:dyDescent="0.25">
      <c r="A293" s="15">
        <v>62072</v>
      </c>
      <c r="B293" s="11" t="s">
        <v>298</v>
      </c>
      <c r="C293" s="16">
        <v>94294795</v>
      </c>
      <c r="D293" s="14">
        <v>1782.5273</v>
      </c>
      <c r="E293" s="16">
        <v>52899.495564527962</v>
      </c>
    </row>
    <row r="294" spans="1:5" x14ac:dyDescent="0.25">
      <c r="A294" s="15">
        <v>63066</v>
      </c>
      <c r="B294" s="11" t="s">
        <v>299</v>
      </c>
      <c r="C294" s="16">
        <v>46260010</v>
      </c>
      <c r="D294" s="14">
        <v>481.62360000000001</v>
      </c>
      <c r="E294" s="16">
        <v>96050.131264331736</v>
      </c>
    </row>
    <row r="295" spans="1:5" x14ac:dyDescent="0.25">
      <c r="A295" s="15">
        <v>63067</v>
      </c>
      <c r="B295" s="11" t="s">
        <v>300</v>
      </c>
      <c r="C295" s="16">
        <v>58634697</v>
      </c>
      <c r="D295" s="14">
        <v>787.69629999999995</v>
      </c>
      <c r="E295" s="16">
        <v>74438.202896217743</v>
      </c>
    </row>
    <row r="296" spans="1:5" x14ac:dyDescent="0.25">
      <c r="A296" s="15">
        <v>64072</v>
      </c>
      <c r="B296" s="11" t="s">
        <v>301</v>
      </c>
      <c r="C296" s="16">
        <v>14456379</v>
      </c>
      <c r="D296" s="14">
        <v>222.63890000000001</v>
      </c>
      <c r="E296" s="16">
        <v>64931.954838080856</v>
      </c>
    </row>
    <row r="297" spans="1:5" x14ac:dyDescent="0.25">
      <c r="A297" s="15">
        <v>64074</v>
      </c>
      <c r="B297" s="11" t="s">
        <v>302</v>
      </c>
      <c r="C297" s="16">
        <v>118719503</v>
      </c>
      <c r="D297" s="14">
        <v>1164.0614</v>
      </c>
      <c r="E297" s="16">
        <v>101987.32042828668</v>
      </c>
    </row>
    <row r="298" spans="1:5" x14ac:dyDescent="0.25">
      <c r="A298" s="15">
        <v>64075</v>
      </c>
      <c r="B298" s="11" t="s">
        <v>303</v>
      </c>
      <c r="C298" s="16">
        <v>289943725</v>
      </c>
      <c r="D298" s="14">
        <v>3321.6282999999999</v>
      </c>
      <c r="E298" s="16">
        <v>87289.635929462675</v>
      </c>
    </row>
    <row r="299" spans="1:5" x14ac:dyDescent="0.25">
      <c r="A299" s="15">
        <v>65096</v>
      </c>
      <c r="B299" s="11" t="s">
        <v>304</v>
      </c>
      <c r="C299" s="16">
        <v>13389632</v>
      </c>
      <c r="D299" s="14">
        <v>198.05</v>
      </c>
      <c r="E299" s="16">
        <v>67607.331481949004</v>
      </c>
    </row>
    <row r="300" spans="1:5" x14ac:dyDescent="0.25">
      <c r="A300" s="15">
        <v>65098</v>
      </c>
      <c r="B300" s="11" t="s">
        <v>305</v>
      </c>
      <c r="C300" s="16">
        <v>35696480</v>
      </c>
      <c r="D300" s="14">
        <v>345.94909999999999</v>
      </c>
      <c r="E300" s="16">
        <v>103184.19675033119</v>
      </c>
    </row>
    <row r="301" spans="1:5" x14ac:dyDescent="0.25">
      <c r="A301" s="15">
        <v>66102</v>
      </c>
      <c r="B301" s="11" t="s">
        <v>306</v>
      </c>
      <c r="C301" s="16">
        <v>171410821</v>
      </c>
      <c r="D301" s="14">
        <v>1746.6844000000001</v>
      </c>
      <c r="E301" s="16">
        <v>98134.969889236992</v>
      </c>
    </row>
    <row r="302" spans="1:5" x14ac:dyDescent="0.25">
      <c r="A302" s="15">
        <v>66103</v>
      </c>
      <c r="B302" s="11" t="s">
        <v>307</v>
      </c>
      <c r="C302" s="16">
        <v>10586449</v>
      </c>
      <c r="D302" s="14">
        <v>206.10679999999999</v>
      </c>
      <c r="E302" s="16">
        <v>51363.899686958415</v>
      </c>
    </row>
    <row r="303" spans="1:5" x14ac:dyDescent="0.25">
      <c r="A303" s="15">
        <v>66104</v>
      </c>
      <c r="B303" s="11" t="s">
        <v>308</v>
      </c>
      <c r="C303" s="16">
        <v>14897879</v>
      </c>
      <c r="D303" s="14">
        <v>231.00739999999999</v>
      </c>
      <c r="E303" s="16">
        <v>64490.916741195309</v>
      </c>
    </row>
    <row r="304" spans="1:5" x14ac:dyDescent="0.25">
      <c r="A304" s="15">
        <v>66105</v>
      </c>
      <c r="B304" s="11" t="s">
        <v>309</v>
      </c>
      <c r="C304" s="16">
        <v>531561575</v>
      </c>
      <c r="D304" s="14">
        <v>1736.9765</v>
      </c>
      <c r="E304" s="16">
        <v>306026.92379545723</v>
      </c>
    </row>
    <row r="305" spans="1:5" x14ac:dyDescent="0.25">
      <c r="A305" s="15">
        <v>66107</v>
      </c>
      <c r="B305" s="11" t="s">
        <v>310</v>
      </c>
      <c r="C305" s="16">
        <v>31757362</v>
      </c>
      <c r="D305" s="14">
        <v>685.41549999999995</v>
      </c>
      <c r="E305" s="16">
        <v>46333.008226396982</v>
      </c>
    </row>
    <row r="306" spans="1:5" x14ac:dyDescent="0.25">
      <c r="A306" s="15">
        <v>67055</v>
      </c>
      <c r="B306" s="11" t="s">
        <v>311</v>
      </c>
      <c r="C306" s="16">
        <v>60949671</v>
      </c>
      <c r="D306" s="14">
        <v>1011.6975</v>
      </c>
      <c r="E306" s="16">
        <v>60244.955631500525</v>
      </c>
    </row>
    <row r="307" spans="1:5" x14ac:dyDescent="0.25">
      <c r="A307" s="15">
        <v>67061</v>
      </c>
      <c r="B307" s="11" t="s">
        <v>312</v>
      </c>
      <c r="C307" s="16">
        <v>77467549</v>
      </c>
      <c r="D307" s="14">
        <v>941.84310000000005</v>
      </c>
      <c r="E307" s="16">
        <v>82251.012934107595</v>
      </c>
    </row>
    <row r="308" spans="1:5" x14ac:dyDescent="0.25">
      <c r="A308" s="15">
        <v>68070</v>
      </c>
      <c r="B308" s="11" t="s">
        <v>313</v>
      </c>
      <c r="C308" s="16">
        <v>83004883</v>
      </c>
      <c r="D308" s="14">
        <v>1230.2342000000001</v>
      </c>
      <c r="E308" s="16">
        <v>67470.797836704587</v>
      </c>
    </row>
    <row r="309" spans="1:5" x14ac:dyDescent="0.25">
      <c r="A309" s="15">
        <v>68071</v>
      </c>
      <c r="B309" s="11" t="s">
        <v>314</v>
      </c>
      <c r="C309" s="16">
        <v>9326940</v>
      </c>
      <c r="D309" s="14">
        <v>100.8372</v>
      </c>
      <c r="E309" s="16">
        <v>92495.031595482622</v>
      </c>
    </row>
    <row r="310" spans="1:5" x14ac:dyDescent="0.25">
      <c r="A310" s="15">
        <v>68072</v>
      </c>
      <c r="B310" s="11" t="s">
        <v>315</v>
      </c>
      <c r="C310" s="16">
        <v>8564531</v>
      </c>
      <c r="D310" s="14">
        <v>74.8005</v>
      </c>
      <c r="E310" s="16">
        <v>114498.31217705764</v>
      </c>
    </row>
    <row r="311" spans="1:5" x14ac:dyDescent="0.25">
      <c r="A311" s="15">
        <v>68073</v>
      </c>
      <c r="B311" s="11" t="s">
        <v>316</v>
      </c>
      <c r="C311" s="16">
        <v>43600295</v>
      </c>
      <c r="D311" s="14">
        <v>514.09799999999996</v>
      </c>
      <c r="E311" s="16">
        <v>84809.30678586573</v>
      </c>
    </row>
    <row r="312" spans="1:5" x14ac:dyDescent="0.25">
      <c r="A312" s="15">
        <v>68074</v>
      </c>
      <c r="B312" s="11" t="s">
        <v>317</v>
      </c>
      <c r="C312" s="16">
        <v>15170521</v>
      </c>
      <c r="D312" s="14">
        <v>201.4007</v>
      </c>
      <c r="E312" s="16">
        <v>75325.065900962611</v>
      </c>
    </row>
    <row r="313" spans="1:5" x14ac:dyDescent="0.25">
      <c r="A313" s="15">
        <v>68075</v>
      </c>
      <c r="B313" s="11" t="s">
        <v>318</v>
      </c>
      <c r="C313" s="16">
        <v>6343643</v>
      </c>
      <c r="D313" s="14">
        <v>113.22490000000001</v>
      </c>
      <c r="E313" s="16">
        <v>56026.925172819756</v>
      </c>
    </row>
    <row r="314" spans="1:5" x14ac:dyDescent="0.25">
      <c r="A314" s="15">
        <v>69104</v>
      </c>
      <c r="B314" s="11" t="s">
        <v>319</v>
      </c>
      <c r="C314" s="16">
        <v>4014151</v>
      </c>
      <c r="D314" s="14">
        <v>52.990600000000001</v>
      </c>
      <c r="E314" s="16">
        <v>75752.133397244033</v>
      </c>
    </row>
    <row r="315" spans="1:5" x14ac:dyDescent="0.25">
      <c r="A315" s="15">
        <v>69106</v>
      </c>
      <c r="B315" s="11" t="s">
        <v>320</v>
      </c>
      <c r="C315" s="16">
        <v>72146645</v>
      </c>
      <c r="D315" s="14">
        <v>619.23170000000005</v>
      </c>
      <c r="E315" s="16">
        <v>116509.93481115387</v>
      </c>
    </row>
    <row r="316" spans="1:5" x14ac:dyDescent="0.25">
      <c r="A316" s="15">
        <v>69107</v>
      </c>
      <c r="B316" s="11" t="s">
        <v>321</v>
      </c>
      <c r="C316" s="16">
        <v>6936334</v>
      </c>
      <c r="D316" s="14">
        <v>78.310599999999994</v>
      </c>
      <c r="E316" s="16">
        <v>88574.650175072093</v>
      </c>
    </row>
    <row r="317" spans="1:5" x14ac:dyDescent="0.25">
      <c r="A317" s="15">
        <v>69108</v>
      </c>
      <c r="B317" s="11" t="s">
        <v>322</v>
      </c>
      <c r="C317" s="16">
        <v>12842809</v>
      </c>
      <c r="D317" s="14">
        <v>221.43219999999999</v>
      </c>
      <c r="E317" s="16">
        <v>57998.83214816996</v>
      </c>
    </row>
    <row r="318" spans="1:5" x14ac:dyDescent="0.25">
      <c r="A318" s="15">
        <v>69109</v>
      </c>
      <c r="B318" s="11" t="s">
        <v>323</v>
      </c>
      <c r="C318" s="16">
        <v>38943427</v>
      </c>
      <c r="D318" s="14">
        <v>373.44349999999997</v>
      </c>
      <c r="E318" s="16">
        <v>104281.97839833872</v>
      </c>
    </row>
    <row r="319" spans="1:5" x14ac:dyDescent="0.25">
      <c r="A319" s="15">
        <v>70092</v>
      </c>
      <c r="B319" s="11" t="s">
        <v>324</v>
      </c>
      <c r="C319" s="16">
        <v>28112877</v>
      </c>
      <c r="D319" s="14">
        <v>366.06180000000001</v>
      </c>
      <c r="E319" s="16">
        <v>76798.171784108577</v>
      </c>
    </row>
    <row r="320" spans="1:5" x14ac:dyDescent="0.25">
      <c r="A320" s="15">
        <v>70093</v>
      </c>
      <c r="B320" s="11" t="s">
        <v>325</v>
      </c>
      <c r="C320" s="16">
        <v>121048144</v>
      </c>
      <c r="D320" s="14">
        <v>1201.6018999999999</v>
      </c>
      <c r="E320" s="16">
        <v>100738.9751963608</v>
      </c>
    </row>
    <row r="321" spans="1:5" x14ac:dyDescent="0.25">
      <c r="A321" s="15">
        <v>71091</v>
      </c>
      <c r="B321" s="11" t="s">
        <v>326</v>
      </c>
      <c r="C321" s="16">
        <v>78884355</v>
      </c>
      <c r="D321" s="14">
        <v>578.88620000000003</v>
      </c>
      <c r="E321" s="16">
        <v>136269.19245958878</v>
      </c>
    </row>
    <row r="322" spans="1:5" x14ac:dyDescent="0.25">
      <c r="A322" s="15">
        <v>71092</v>
      </c>
      <c r="B322" s="11" t="s">
        <v>327</v>
      </c>
      <c r="C322" s="16">
        <v>242645183</v>
      </c>
      <c r="D322" s="14">
        <v>1278.9791</v>
      </c>
      <c r="E322" s="16">
        <v>189717.86403702764</v>
      </c>
    </row>
    <row r="323" spans="1:5" x14ac:dyDescent="0.25">
      <c r="A323" s="15">
        <v>72066</v>
      </c>
      <c r="B323" s="11" t="s">
        <v>328</v>
      </c>
      <c r="C323" s="16">
        <v>9896874</v>
      </c>
      <c r="D323" s="14">
        <v>160.61199999999999</v>
      </c>
      <c r="E323" s="16">
        <v>61619.766891639483</v>
      </c>
    </row>
    <row r="324" spans="1:5" x14ac:dyDescent="0.25">
      <c r="A324" s="15">
        <v>72068</v>
      </c>
      <c r="B324" s="11" t="s">
        <v>329</v>
      </c>
      <c r="C324" s="16">
        <v>47569875</v>
      </c>
      <c r="D324" s="14">
        <v>706.21479999999997</v>
      </c>
      <c r="E324" s="16">
        <v>67358.932438119402</v>
      </c>
    </row>
    <row r="325" spans="1:5" x14ac:dyDescent="0.25">
      <c r="A325" s="15">
        <v>72073</v>
      </c>
      <c r="B325" s="11" t="s">
        <v>330</v>
      </c>
      <c r="C325" s="16">
        <v>13612671</v>
      </c>
      <c r="D325" s="14">
        <v>263.43349999999998</v>
      </c>
      <c r="E325" s="16">
        <v>51674.031586719233</v>
      </c>
    </row>
    <row r="326" spans="1:5" x14ac:dyDescent="0.25">
      <c r="A326" s="15">
        <v>72074</v>
      </c>
      <c r="B326" s="11" t="s">
        <v>331</v>
      </c>
      <c r="C326" s="16">
        <v>291890662</v>
      </c>
      <c r="D326" s="14">
        <v>1344.3009</v>
      </c>
      <c r="E326" s="16">
        <v>217131.93973164787</v>
      </c>
    </row>
    <row r="327" spans="1:5" x14ac:dyDescent="0.25">
      <c r="A327" s="15">
        <v>73099</v>
      </c>
      <c r="B327" s="11" t="s">
        <v>332</v>
      </c>
      <c r="C327" s="16">
        <v>66256906</v>
      </c>
      <c r="D327" s="14">
        <v>1328.4267</v>
      </c>
      <c r="E327" s="16">
        <v>49876.222752824826</v>
      </c>
    </row>
    <row r="328" spans="1:5" x14ac:dyDescent="0.25">
      <c r="A328" s="15">
        <v>73102</v>
      </c>
      <c r="B328" s="11" t="s">
        <v>333</v>
      </c>
      <c r="C328" s="16">
        <v>62686435</v>
      </c>
      <c r="D328" s="14">
        <v>831.72789999999998</v>
      </c>
      <c r="E328" s="16">
        <v>75368.921735101103</v>
      </c>
    </row>
    <row r="329" spans="1:5" x14ac:dyDescent="0.25">
      <c r="A329" s="15">
        <v>73105</v>
      </c>
      <c r="B329" s="11" t="s">
        <v>334</v>
      </c>
      <c r="C329" s="16">
        <v>7990820</v>
      </c>
      <c r="D329" s="14">
        <v>156.47040000000001</v>
      </c>
      <c r="E329" s="16">
        <v>51069.211812585636</v>
      </c>
    </row>
    <row r="330" spans="1:5" x14ac:dyDescent="0.25">
      <c r="A330" s="15">
        <v>73106</v>
      </c>
      <c r="B330" s="11" t="s">
        <v>335</v>
      </c>
      <c r="C330" s="16">
        <v>84293585</v>
      </c>
      <c r="D330" s="14">
        <v>1426.6667</v>
      </c>
      <c r="E330" s="16">
        <v>59084.28717092787</v>
      </c>
    </row>
    <row r="331" spans="1:5" x14ac:dyDescent="0.25">
      <c r="A331" s="15">
        <v>73108</v>
      </c>
      <c r="B331" s="11" t="s">
        <v>336</v>
      </c>
      <c r="C331" s="16">
        <v>271770334</v>
      </c>
      <c r="D331" s="14">
        <v>4311.1418000000003</v>
      </c>
      <c r="E331" s="16">
        <v>63039.061716782307</v>
      </c>
    </row>
    <row r="332" spans="1:5" x14ac:dyDescent="0.25">
      <c r="A332" s="15">
        <v>74187</v>
      </c>
      <c r="B332" s="11" t="s">
        <v>337</v>
      </c>
      <c r="C332" s="16">
        <v>24695814</v>
      </c>
      <c r="D332" s="14">
        <v>211.66849999999999</v>
      </c>
      <c r="E332" s="16">
        <v>116672.12646189678</v>
      </c>
    </row>
    <row r="333" spans="1:5" x14ac:dyDescent="0.25">
      <c r="A333" s="15">
        <v>74190</v>
      </c>
      <c r="B333" s="11" t="s">
        <v>338</v>
      </c>
      <c r="C333" s="16">
        <v>22953278</v>
      </c>
      <c r="D333" s="14">
        <v>221.30670000000001</v>
      </c>
      <c r="E333" s="16">
        <v>103717.04968715362</v>
      </c>
    </row>
    <row r="334" spans="1:5" x14ac:dyDescent="0.25">
      <c r="A334" s="15">
        <v>74194</v>
      </c>
      <c r="B334" s="11" t="s">
        <v>339</v>
      </c>
      <c r="C334" s="16">
        <v>14507910</v>
      </c>
      <c r="D334" s="14">
        <v>209.6131</v>
      </c>
      <c r="E334" s="16">
        <v>69212.802062466508</v>
      </c>
    </row>
    <row r="335" spans="1:5" x14ac:dyDescent="0.25">
      <c r="A335" s="15">
        <v>74195</v>
      </c>
      <c r="B335" s="11" t="s">
        <v>340</v>
      </c>
      <c r="C335" s="16">
        <v>13349621</v>
      </c>
      <c r="D335" s="14">
        <v>131.2003</v>
      </c>
      <c r="E335" s="16">
        <v>101749.92740108064</v>
      </c>
    </row>
    <row r="336" spans="1:5" x14ac:dyDescent="0.25">
      <c r="A336" s="15">
        <v>74197</v>
      </c>
      <c r="B336" s="11" t="s">
        <v>341</v>
      </c>
      <c r="C336" s="16">
        <v>15021164</v>
      </c>
      <c r="D336" s="14">
        <v>223.93299999999999</v>
      </c>
      <c r="E336" s="16">
        <v>67078.83161481336</v>
      </c>
    </row>
    <row r="337" spans="1:5" x14ac:dyDescent="0.25">
      <c r="A337" s="15">
        <v>74201</v>
      </c>
      <c r="B337" s="11" t="s">
        <v>342</v>
      </c>
      <c r="C337" s="16">
        <v>193066937</v>
      </c>
      <c r="D337" s="14">
        <v>1326.788</v>
      </c>
      <c r="E337" s="16">
        <v>145514.53359541993</v>
      </c>
    </row>
    <row r="338" spans="1:5" x14ac:dyDescent="0.25">
      <c r="A338" s="15">
        <v>74202</v>
      </c>
      <c r="B338" s="11" t="s">
        <v>343</v>
      </c>
      <c r="C338" s="16">
        <v>13548513</v>
      </c>
      <c r="D338" s="14">
        <v>161.8426</v>
      </c>
      <c r="E338" s="16">
        <v>83714.133361673623</v>
      </c>
    </row>
    <row r="339" spans="1:5" x14ac:dyDescent="0.25">
      <c r="A339" s="15">
        <v>75084</v>
      </c>
      <c r="B339" s="11" t="s">
        <v>344</v>
      </c>
      <c r="C339" s="16">
        <v>9990768</v>
      </c>
      <c r="D339" s="14">
        <v>142.18799999999999</v>
      </c>
      <c r="E339" s="16">
        <v>70264.494894083895</v>
      </c>
    </row>
    <row r="340" spans="1:5" x14ac:dyDescent="0.25">
      <c r="A340" s="15">
        <v>75085</v>
      </c>
      <c r="B340" s="11" t="s">
        <v>345</v>
      </c>
      <c r="C340" s="16">
        <v>28768407</v>
      </c>
      <c r="D340" s="14">
        <v>619.09929999999997</v>
      </c>
      <c r="E340" s="16">
        <v>46468.162700232424</v>
      </c>
    </row>
    <row r="341" spans="1:5" x14ac:dyDescent="0.25">
      <c r="A341" s="15">
        <v>75086</v>
      </c>
      <c r="B341" s="11" t="s">
        <v>346</v>
      </c>
      <c r="C341" s="16">
        <v>12346711</v>
      </c>
      <c r="D341" s="14">
        <v>186.40790000000001</v>
      </c>
      <c r="E341" s="16">
        <v>66234.912790713264</v>
      </c>
    </row>
    <row r="342" spans="1:5" x14ac:dyDescent="0.25">
      <c r="A342" s="15">
        <v>75087</v>
      </c>
      <c r="B342" s="11" t="s">
        <v>347</v>
      </c>
      <c r="C342" s="16">
        <v>33086742</v>
      </c>
      <c r="D342" s="14">
        <v>681.71780000000001</v>
      </c>
      <c r="E342" s="16">
        <v>48534.367153094725</v>
      </c>
    </row>
    <row r="343" spans="1:5" x14ac:dyDescent="0.25">
      <c r="A343" s="15">
        <v>76081</v>
      </c>
      <c r="B343" s="11" t="s">
        <v>348</v>
      </c>
      <c r="C343" s="16">
        <v>14414687</v>
      </c>
      <c r="D343" s="14">
        <v>198.25720000000001</v>
      </c>
      <c r="E343" s="16">
        <v>72707.003831386697</v>
      </c>
    </row>
    <row r="344" spans="1:5" x14ac:dyDescent="0.25">
      <c r="A344" s="15">
        <v>76082</v>
      </c>
      <c r="B344" s="11" t="s">
        <v>349</v>
      </c>
      <c r="C344" s="16">
        <v>57739234</v>
      </c>
      <c r="D344" s="14">
        <v>602.64520000000005</v>
      </c>
      <c r="E344" s="16">
        <v>95809.663795546687</v>
      </c>
    </row>
    <row r="345" spans="1:5" x14ac:dyDescent="0.25">
      <c r="A345" s="15">
        <v>76083</v>
      </c>
      <c r="B345" s="11" t="s">
        <v>350</v>
      </c>
      <c r="C345" s="16">
        <v>79215090</v>
      </c>
      <c r="D345" s="14">
        <v>758.99710000000005</v>
      </c>
      <c r="E345" s="16">
        <v>104368.106281302</v>
      </c>
    </row>
    <row r="346" spans="1:5" x14ac:dyDescent="0.25">
      <c r="A346" s="15">
        <v>77100</v>
      </c>
      <c r="B346" s="11" t="s">
        <v>351</v>
      </c>
      <c r="C346" s="16">
        <v>6258518</v>
      </c>
      <c r="D346" s="14">
        <v>90.516800000000003</v>
      </c>
      <c r="E346" s="16">
        <v>69142.059816520239</v>
      </c>
    </row>
    <row r="347" spans="1:5" x14ac:dyDescent="0.25">
      <c r="A347" s="15">
        <v>77101</v>
      </c>
      <c r="B347" s="11" t="s">
        <v>352</v>
      </c>
      <c r="C347" s="16">
        <v>12943349</v>
      </c>
      <c r="D347" s="14">
        <v>329.92630000000003</v>
      </c>
      <c r="E347" s="16">
        <v>39231.03129395868</v>
      </c>
    </row>
    <row r="348" spans="1:5" x14ac:dyDescent="0.25">
      <c r="A348" s="15">
        <v>77102</v>
      </c>
      <c r="B348" s="11" t="s">
        <v>353</v>
      </c>
      <c r="C348" s="16">
        <v>47296201</v>
      </c>
      <c r="D348" s="14">
        <v>582.19500000000005</v>
      </c>
      <c r="E348" s="16">
        <v>81237.731344309024</v>
      </c>
    </row>
    <row r="349" spans="1:5" x14ac:dyDescent="0.25">
      <c r="A349" s="15">
        <v>77103</v>
      </c>
      <c r="B349" s="11" t="s">
        <v>354</v>
      </c>
      <c r="C349" s="16">
        <v>15185868</v>
      </c>
      <c r="D349" s="14">
        <v>276.75200000000001</v>
      </c>
      <c r="E349" s="16">
        <v>54871.7552176678</v>
      </c>
    </row>
    <row r="350" spans="1:5" x14ac:dyDescent="0.25">
      <c r="A350" s="15">
        <v>77104</v>
      </c>
      <c r="B350" s="11" t="s">
        <v>355</v>
      </c>
      <c r="C350" s="16">
        <v>21866542</v>
      </c>
      <c r="D350" s="14">
        <v>115.7032</v>
      </c>
      <c r="E350" s="16">
        <v>188988.22158764841</v>
      </c>
    </row>
    <row r="351" spans="1:5" x14ac:dyDescent="0.25">
      <c r="A351" s="15">
        <v>78001</v>
      </c>
      <c r="B351" s="11" t="s">
        <v>356</v>
      </c>
      <c r="C351" s="16">
        <v>19063474</v>
      </c>
      <c r="D351" s="14">
        <v>237.0556</v>
      </c>
      <c r="E351" s="16">
        <v>80417.733223766918</v>
      </c>
    </row>
    <row r="352" spans="1:5" x14ac:dyDescent="0.25">
      <c r="A352" s="15">
        <v>78002</v>
      </c>
      <c r="B352" s="11" t="s">
        <v>357</v>
      </c>
      <c r="C352" s="16">
        <v>28780381</v>
      </c>
      <c r="D352" s="14">
        <v>756.34739999999999</v>
      </c>
      <c r="E352" s="16">
        <v>38051.801328331399</v>
      </c>
    </row>
    <row r="353" spans="1:5" x14ac:dyDescent="0.25">
      <c r="A353" s="15">
        <v>78003</v>
      </c>
      <c r="B353" s="11" t="s">
        <v>358</v>
      </c>
      <c r="C353" s="16">
        <v>11195200</v>
      </c>
      <c r="D353" s="14">
        <v>174.88120000000001</v>
      </c>
      <c r="E353" s="16">
        <v>64016.029167228953</v>
      </c>
    </row>
    <row r="354" spans="1:5" x14ac:dyDescent="0.25">
      <c r="A354" s="15">
        <v>78004</v>
      </c>
      <c r="B354" s="11" t="s">
        <v>359</v>
      </c>
      <c r="C354" s="16">
        <v>7550782</v>
      </c>
      <c r="D354" s="14">
        <v>206.1369</v>
      </c>
      <c r="E354" s="16">
        <v>36629.938647568677</v>
      </c>
    </row>
    <row r="355" spans="1:5" x14ac:dyDescent="0.25">
      <c r="A355" s="15">
        <v>78005</v>
      </c>
      <c r="B355" s="11" t="s">
        <v>360</v>
      </c>
      <c r="C355" s="16">
        <v>29546592</v>
      </c>
      <c r="D355" s="14">
        <v>624.54399999999998</v>
      </c>
      <c r="E355" s="16">
        <v>47309.063893016348</v>
      </c>
    </row>
    <row r="356" spans="1:5" x14ac:dyDescent="0.25">
      <c r="A356" s="15">
        <v>78009</v>
      </c>
      <c r="B356" s="11" t="s">
        <v>361</v>
      </c>
      <c r="C356" s="16">
        <v>11223197</v>
      </c>
      <c r="D356" s="14">
        <v>200.0993</v>
      </c>
      <c r="E356" s="16">
        <v>56088.137239860407</v>
      </c>
    </row>
    <row r="357" spans="1:5" x14ac:dyDescent="0.25">
      <c r="A357" s="15">
        <v>78012</v>
      </c>
      <c r="B357" s="11" t="s">
        <v>362</v>
      </c>
      <c r="C357" s="16">
        <v>48835861</v>
      </c>
      <c r="D357" s="14">
        <v>1083.0117</v>
      </c>
      <c r="E357" s="16">
        <v>45092.643966819567</v>
      </c>
    </row>
    <row r="358" spans="1:5" x14ac:dyDescent="0.25">
      <c r="A358" s="15">
        <v>79077</v>
      </c>
      <c r="B358" s="11" t="s">
        <v>363</v>
      </c>
      <c r="C358" s="16">
        <v>281988398</v>
      </c>
      <c r="D358" s="14">
        <v>2176.3553999999999</v>
      </c>
      <c r="E358" s="16">
        <v>129569.09427568677</v>
      </c>
    </row>
    <row r="359" spans="1:5" x14ac:dyDescent="0.25">
      <c r="A359" s="15">
        <v>79078</v>
      </c>
      <c r="B359" s="11" t="s">
        <v>364</v>
      </c>
      <c r="C359" s="16">
        <v>15686327</v>
      </c>
      <c r="D359" s="14">
        <v>119.789</v>
      </c>
      <c r="E359" s="16">
        <v>130949.64479209276</v>
      </c>
    </row>
    <row r="360" spans="1:5" x14ac:dyDescent="0.25">
      <c r="A360" s="15">
        <v>80116</v>
      </c>
      <c r="B360" s="11" t="s">
        <v>365</v>
      </c>
      <c r="C360" s="16">
        <v>24480313</v>
      </c>
      <c r="D360" s="14">
        <v>300.40879999999999</v>
      </c>
      <c r="E360" s="16">
        <v>81489.999627174708</v>
      </c>
    </row>
    <row r="361" spans="1:5" x14ac:dyDescent="0.25">
      <c r="A361" s="15">
        <v>80118</v>
      </c>
      <c r="B361" s="11" t="s">
        <v>366</v>
      </c>
      <c r="C361" s="16">
        <v>19149329</v>
      </c>
      <c r="D361" s="14">
        <v>355.57170000000002</v>
      </c>
      <c r="E361" s="16">
        <v>53855.042456978437</v>
      </c>
    </row>
    <row r="362" spans="1:5" x14ac:dyDescent="0.25">
      <c r="A362" s="15">
        <v>80119</v>
      </c>
      <c r="B362" s="11" t="s">
        <v>367</v>
      </c>
      <c r="C362" s="16">
        <v>37068207</v>
      </c>
      <c r="D362" s="14">
        <v>570.45389999999998</v>
      </c>
      <c r="E362" s="16">
        <v>64980.197348111746</v>
      </c>
    </row>
    <row r="363" spans="1:5" x14ac:dyDescent="0.25">
      <c r="A363" s="15">
        <v>80121</v>
      </c>
      <c r="B363" s="11" t="s">
        <v>368</v>
      </c>
      <c r="C363" s="16">
        <v>23585941</v>
      </c>
      <c r="D363" s="14">
        <v>386.64769999999999</v>
      </c>
      <c r="E363" s="16">
        <v>61001.115485750983</v>
      </c>
    </row>
    <row r="364" spans="1:5" x14ac:dyDescent="0.25">
      <c r="A364" s="15">
        <v>80122</v>
      </c>
      <c r="B364" s="11" t="s">
        <v>369</v>
      </c>
      <c r="C364" s="16">
        <v>50518870</v>
      </c>
      <c r="D364" s="14">
        <v>154.8732</v>
      </c>
      <c r="E364" s="16">
        <v>326195.04213769716</v>
      </c>
    </row>
    <row r="365" spans="1:5" x14ac:dyDescent="0.25">
      <c r="A365" s="15">
        <v>80125</v>
      </c>
      <c r="B365" s="11" t="s">
        <v>370</v>
      </c>
      <c r="C365" s="16">
        <v>342658777</v>
      </c>
      <c r="D365" s="14">
        <v>4387.0519000000004</v>
      </c>
      <c r="E365" s="16">
        <v>78106.843686987151</v>
      </c>
    </row>
    <row r="366" spans="1:5" x14ac:dyDescent="0.25">
      <c r="A366" s="15">
        <v>81094</v>
      </c>
      <c r="B366" s="11" t="s">
        <v>371</v>
      </c>
      <c r="C366" s="16">
        <v>111526918</v>
      </c>
      <c r="D366" s="14">
        <v>1711.2563</v>
      </c>
      <c r="E366" s="16">
        <v>65172.539028782536</v>
      </c>
    </row>
    <row r="367" spans="1:5" x14ac:dyDescent="0.25">
      <c r="A367" s="15">
        <v>81095</v>
      </c>
      <c r="B367" s="11" t="s">
        <v>372</v>
      </c>
      <c r="C367" s="16">
        <v>26241705</v>
      </c>
      <c r="D367" s="14">
        <v>418.07639999999998</v>
      </c>
      <c r="E367" s="16">
        <v>62767.726185931569</v>
      </c>
    </row>
    <row r="368" spans="1:5" x14ac:dyDescent="0.25">
      <c r="A368" s="15">
        <v>81096</v>
      </c>
      <c r="B368" s="11" t="s">
        <v>373</v>
      </c>
      <c r="C368" s="16">
        <v>386079435</v>
      </c>
      <c r="D368" s="14">
        <v>3728.0246000000002</v>
      </c>
      <c r="E368" s="16">
        <v>103561.39683198441</v>
      </c>
    </row>
    <row r="369" spans="1:5" x14ac:dyDescent="0.25">
      <c r="A369" s="15">
        <v>81097</v>
      </c>
      <c r="B369" s="11" t="s">
        <v>374</v>
      </c>
      <c r="C369" s="16">
        <v>17836464</v>
      </c>
      <c r="D369" s="14">
        <v>262.84429999999998</v>
      </c>
      <c r="E369" s="16">
        <v>67859.428566645729</v>
      </c>
    </row>
    <row r="370" spans="1:5" x14ac:dyDescent="0.25">
      <c r="A370" s="15">
        <v>82100</v>
      </c>
      <c r="B370" s="11" t="s">
        <v>375</v>
      </c>
      <c r="C370" s="16">
        <v>101220849</v>
      </c>
      <c r="D370" s="14">
        <v>1254.4965</v>
      </c>
      <c r="E370" s="16">
        <v>80686.433959759946</v>
      </c>
    </row>
    <row r="371" spans="1:5" x14ac:dyDescent="0.25">
      <c r="A371" s="15">
        <v>82101</v>
      </c>
      <c r="B371" s="11" t="s">
        <v>376</v>
      </c>
      <c r="C371" s="16">
        <v>37853468</v>
      </c>
      <c r="D371" s="14">
        <v>436.58460000000002</v>
      </c>
      <c r="E371" s="16">
        <v>86703.626284573475</v>
      </c>
    </row>
    <row r="372" spans="1:5" x14ac:dyDescent="0.25">
      <c r="A372" s="15">
        <v>82105</v>
      </c>
      <c r="B372" s="11" t="s">
        <v>377</v>
      </c>
      <c r="C372" s="16">
        <v>14255860</v>
      </c>
      <c r="D372" s="14">
        <v>52.180300000000003</v>
      </c>
      <c r="E372" s="16">
        <v>273203.87195934099</v>
      </c>
    </row>
    <row r="373" spans="1:5" x14ac:dyDescent="0.25">
      <c r="A373" s="15">
        <v>82108</v>
      </c>
      <c r="B373" s="11" t="s">
        <v>378</v>
      </c>
      <c r="C373" s="16">
        <v>49040500</v>
      </c>
      <c r="D373" s="14">
        <v>664.36260000000004</v>
      </c>
      <c r="E373" s="16">
        <v>73815.865011064743</v>
      </c>
    </row>
    <row r="374" spans="1:5" x14ac:dyDescent="0.25">
      <c r="A374" s="15">
        <v>83001</v>
      </c>
      <c r="B374" s="11" t="s">
        <v>379</v>
      </c>
      <c r="C374" s="16">
        <v>53118836</v>
      </c>
      <c r="D374" s="14">
        <v>585.72479999999996</v>
      </c>
      <c r="E374" s="16">
        <v>90689.067630395715</v>
      </c>
    </row>
    <row r="375" spans="1:5" x14ac:dyDescent="0.25">
      <c r="A375" s="15">
        <v>83002</v>
      </c>
      <c r="B375" s="11" t="s">
        <v>380</v>
      </c>
      <c r="C375" s="16">
        <v>188149241</v>
      </c>
      <c r="D375" s="14">
        <v>580.48009999999999</v>
      </c>
      <c r="E375" s="16">
        <v>324126.94423116313</v>
      </c>
    </row>
    <row r="376" spans="1:5" x14ac:dyDescent="0.25">
      <c r="A376" s="15">
        <v>83003</v>
      </c>
      <c r="B376" s="11" t="s">
        <v>381</v>
      </c>
      <c r="C376" s="16">
        <v>424707951</v>
      </c>
      <c r="D376" s="14">
        <v>3536.1853999999998</v>
      </c>
      <c r="E376" s="16">
        <v>120103.41737172492</v>
      </c>
    </row>
    <row r="377" spans="1:5" x14ac:dyDescent="0.25">
      <c r="A377" s="15">
        <v>83005</v>
      </c>
      <c r="B377" s="11" t="s">
        <v>382</v>
      </c>
      <c r="C377" s="16">
        <v>1466777925</v>
      </c>
      <c r="D377" s="14">
        <v>9899.8153000000002</v>
      </c>
      <c r="E377" s="16">
        <v>148162.15056052612</v>
      </c>
    </row>
    <row r="378" spans="1:5" x14ac:dyDescent="0.25">
      <c r="A378" s="15">
        <v>84001</v>
      </c>
      <c r="B378" s="11" t="s">
        <v>383</v>
      </c>
      <c r="C378" s="16">
        <v>151062408</v>
      </c>
      <c r="D378" s="14">
        <v>2490.9650000000001</v>
      </c>
      <c r="E378" s="16">
        <v>60644.131089758383</v>
      </c>
    </row>
    <row r="379" spans="1:5" x14ac:dyDescent="0.25">
      <c r="A379" s="15">
        <v>84002</v>
      </c>
      <c r="B379" s="11" t="s">
        <v>384</v>
      </c>
      <c r="C379" s="16">
        <v>17159620</v>
      </c>
      <c r="D379" s="14">
        <v>366.35950000000003</v>
      </c>
      <c r="E379" s="16">
        <v>46838.201274977167</v>
      </c>
    </row>
    <row r="380" spans="1:5" x14ac:dyDescent="0.25">
      <c r="A380" s="15">
        <v>84003</v>
      </c>
      <c r="B380" s="11" t="s">
        <v>385</v>
      </c>
      <c r="C380" s="16">
        <v>16739270</v>
      </c>
      <c r="D380" s="14">
        <v>258.4776</v>
      </c>
      <c r="E380" s="16">
        <v>64761.008304007773</v>
      </c>
    </row>
    <row r="381" spans="1:5" x14ac:dyDescent="0.25">
      <c r="A381" s="15">
        <v>84004</v>
      </c>
      <c r="B381" s="11" t="s">
        <v>386</v>
      </c>
      <c r="C381" s="16">
        <v>20065702</v>
      </c>
      <c r="D381" s="14">
        <v>334.1601</v>
      </c>
      <c r="E381" s="16">
        <v>60048.168527600988</v>
      </c>
    </row>
    <row r="382" spans="1:5" x14ac:dyDescent="0.25">
      <c r="A382" s="15">
        <v>84005</v>
      </c>
      <c r="B382" s="11" t="s">
        <v>387</v>
      </c>
      <c r="C382" s="16">
        <v>32920190</v>
      </c>
      <c r="D382" s="14">
        <v>562.17589999999996</v>
      </c>
      <c r="E382" s="16">
        <v>58558.5223414949</v>
      </c>
    </row>
    <row r="383" spans="1:5" x14ac:dyDescent="0.25">
      <c r="A383" s="15">
        <v>84006</v>
      </c>
      <c r="B383" s="11" t="s">
        <v>388</v>
      </c>
      <c r="C383" s="16">
        <v>39030460</v>
      </c>
      <c r="D383" s="14">
        <v>849.40449999999998</v>
      </c>
      <c r="E383" s="16">
        <v>45950.380531301635</v>
      </c>
    </row>
    <row r="384" spans="1:5" x14ac:dyDescent="0.25">
      <c r="A384" s="15">
        <v>85043</v>
      </c>
      <c r="B384" s="11" t="s">
        <v>389</v>
      </c>
      <c r="C384" s="16">
        <v>5257048</v>
      </c>
      <c r="D384" s="14">
        <v>70.677099999999996</v>
      </c>
      <c r="E384" s="16">
        <v>74381.206925581268</v>
      </c>
    </row>
    <row r="385" spans="1:5" x14ac:dyDescent="0.25">
      <c r="A385" s="15">
        <v>85044</v>
      </c>
      <c r="B385" s="11" t="s">
        <v>390</v>
      </c>
      <c r="C385" s="16">
        <v>32417073</v>
      </c>
      <c r="D385" s="14">
        <v>559.7663</v>
      </c>
      <c r="E385" s="16">
        <v>57911.798191495269</v>
      </c>
    </row>
    <row r="386" spans="1:5" x14ac:dyDescent="0.25">
      <c r="A386" s="15">
        <v>85045</v>
      </c>
      <c r="B386" s="11" t="s">
        <v>391</v>
      </c>
      <c r="C386" s="16">
        <v>33135329</v>
      </c>
      <c r="D386" s="14">
        <v>629.04809999999998</v>
      </c>
      <c r="E386" s="16">
        <v>52675.350263358239</v>
      </c>
    </row>
    <row r="387" spans="1:5" x14ac:dyDescent="0.25">
      <c r="A387" s="15">
        <v>85046</v>
      </c>
      <c r="B387" s="11" t="s">
        <v>392</v>
      </c>
      <c r="C387" s="16">
        <v>283859654</v>
      </c>
      <c r="D387" s="14">
        <v>5757.3994000000002</v>
      </c>
      <c r="E387" s="16">
        <v>49303.45009588878</v>
      </c>
    </row>
    <row r="388" spans="1:5" x14ac:dyDescent="0.25">
      <c r="A388" s="15">
        <v>85048</v>
      </c>
      <c r="B388" s="11" t="s">
        <v>393</v>
      </c>
      <c r="C388" s="16">
        <v>60226831</v>
      </c>
      <c r="D388" s="14">
        <v>942.70770000000005</v>
      </c>
      <c r="E388" s="16">
        <v>63887.06806998606</v>
      </c>
    </row>
    <row r="389" spans="1:5" x14ac:dyDescent="0.25">
      <c r="A389" s="15">
        <v>85049</v>
      </c>
      <c r="B389" s="11" t="s">
        <v>394</v>
      </c>
      <c r="C389" s="16">
        <v>28977949</v>
      </c>
      <c r="D389" s="14">
        <v>512.3374</v>
      </c>
      <c r="E389" s="16">
        <v>56560.284297027698</v>
      </c>
    </row>
    <row r="390" spans="1:5" x14ac:dyDescent="0.25">
      <c r="A390" s="15">
        <v>86100</v>
      </c>
      <c r="B390" s="11" t="s">
        <v>395</v>
      </c>
      <c r="C390" s="16">
        <v>73890989</v>
      </c>
      <c r="D390" s="14">
        <v>713.18889999999999</v>
      </c>
      <c r="E390" s="16">
        <v>103606.47648890778</v>
      </c>
    </row>
    <row r="391" spans="1:5" x14ac:dyDescent="0.25">
      <c r="A391" s="15">
        <v>87083</v>
      </c>
      <c r="B391" s="11" t="s">
        <v>396</v>
      </c>
      <c r="C391" s="16">
        <v>70215481</v>
      </c>
      <c r="D391" s="14">
        <v>686.72199999999998</v>
      </c>
      <c r="E391" s="16">
        <v>102247.31550758531</v>
      </c>
    </row>
    <row r="392" spans="1:5" x14ac:dyDescent="0.25">
      <c r="A392" s="15">
        <v>88072</v>
      </c>
      <c r="B392" s="11" t="s">
        <v>397</v>
      </c>
      <c r="C392" s="16">
        <v>22706928</v>
      </c>
      <c r="D392" s="14">
        <v>378.51799999999997</v>
      </c>
      <c r="E392" s="16">
        <v>59989.030904739011</v>
      </c>
    </row>
    <row r="393" spans="1:5" x14ac:dyDescent="0.25">
      <c r="A393" s="15">
        <v>88073</v>
      </c>
      <c r="B393" s="11" t="s">
        <v>398</v>
      </c>
      <c r="C393" s="16">
        <v>13260853</v>
      </c>
      <c r="D393" s="14">
        <v>159.99279999999999</v>
      </c>
      <c r="E393" s="16">
        <v>82884.061032746482</v>
      </c>
    </row>
    <row r="394" spans="1:5" x14ac:dyDescent="0.25">
      <c r="A394" s="15">
        <v>88075</v>
      </c>
      <c r="B394" s="11" t="s">
        <v>399</v>
      </c>
      <c r="C394" s="16">
        <v>10656543</v>
      </c>
      <c r="D394" s="14">
        <v>208.1138</v>
      </c>
      <c r="E394" s="16">
        <v>51205.36456496398</v>
      </c>
    </row>
    <row r="395" spans="1:5" x14ac:dyDescent="0.25">
      <c r="A395" s="15">
        <v>88080</v>
      </c>
      <c r="B395" s="11" t="s">
        <v>400</v>
      </c>
      <c r="C395" s="16">
        <v>154326898</v>
      </c>
      <c r="D395" s="14">
        <v>606.06830000000002</v>
      </c>
      <c r="E395" s="16">
        <v>254636.14909408725</v>
      </c>
    </row>
    <row r="396" spans="1:5" x14ac:dyDescent="0.25">
      <c r="A396" s="15">
        <v>88081</v>
      </c>
      <c r="B396" s="11" t="s">
        <v>401</v>
      </c>
      <c r="C396" s="16">
        <v>163147541</v>
      </c>
      <c r="D396" s="14">
        <v>2125.8607999999999</v>
      </c>
      <c r="E396" s="16">
        <v>76744.225680251504</v>
      </c>
    </row>
    <row r="397" spans="1:5" x14ac:dyDescent="0.25">
      <c r="A397" s="15">
        <v>89080</v>
      </c>
      <c r="B397" s="11" t="s">
        <v>402</v>
      </c>
      <c r="C397" s="16">
        <v>66175601</v>
      </c>
      <c r="D397" s="14">
        <v>1193.4056</v>
      </c>
      <c r="E397" s="16">
        <v>55451.056204194116</v>
      </c>
    </row>
    <row r="398" spans="1:5" x14ac:dyDescent="0.25">
      <c r="A398" s="15">
        <v>89087</v>
      </c>
      <c r="B398" s="11" t="s">
        <v>403</v>
      </c>
      <c r="C398" s="16">
        <v>21662157</v>
      </c>
      <c r="D398" s="14">
        <v>339.34789999999998</v>
      </c>
      <c r="E398" s="16">
        <v>63834.657588863818</v>
      </c>
    </row>
    <row r="399" spans="1:5" x14ac:dyDescent="0.25">
      <c r="A399" s="15">
        <v>89088</v>
      </c>
      <c r="B399" s="11" t="s">
        <v>404</v>
      </c>
      <c r="C399" s="16">
        <v>16536238</v>
      </c>
      <c r="D399" s="14">
        <v>224.45400000000001</v>
      </c>
      <c r="E399" s="16">
        <v>73673.171340230067</v>
      </c>
    </row>
    <row r="400" spans="1:5" x14ac:dyDescent="0.25">
      <c r="A400" s="15">
        <v>89089</v>
      </c>
      <c r="B400" s="11" t="s">
        <v>405</v>
      </c>
      <c r="C400" s="16">
        <v>104781562</v>
      </c>
      <c r="D400" s="14">
        <v>1470.886</v>
      </c>
      <c r="E400" s="16">
        <v>71237.038084528642</v>
      </c>
    </row>
    <row r="401" spans="1:5" x14ac:dyDescent="0.25">
      <c r="A401" s="15">
        <v>90075</v>
      </c>
      <c r="B401" s="11" t="s">
        <v>406</v>
      </c>
      <c r="C401" s="16">
        <v>6061167</v>
      </c>
      <c r="D401" s="14">
        <v>82.058999999999997</v>
      </c>
      <c r="E401" s="16">
        <v>73863.525024677365</v>
      </c>
    </row>
    <row r="402" spans="1:5" x14ac:dyDescent="0.25">
      <c r="A402" s="15">
        <v>90076</v>
      </c>
      <c r="B402" s="11" t="s">
        <v>407</v>
      </c>
      <c r="C402" s="16">
        <v>33970889</v>
      </c>
      <c r="D402" s="14">
        <v>452.58409999999998</v>
      </c>
      <c r="E402" s="16">
        <v>75059.837497605418</v>
      </c>
    </row>
    <row r="403" spans="1:5" x14ac:dyDescent="0.25">
      <c r="A403" s="15">
        <v>90077</v>
      </c>
      <c r="B403" s="11" t="s">
        <v>408</v>
      </c>
      <c r="C403" s="16">
        <v>68723780</v>
      </c>
      <c r="D403" s="14">
        <v>233.4845</v>
      </c>
      <c r="E403" s="16">
        <v>294339.79557529517</v>
      </c>
    </row>
    <row r="404" spans="1:5" x14ac:dyDescent="0.25">
      <c r="A404" s="15">
        <v>90078</v>
      </c>
      <c r="B404" s="11" t="s">
        <v>409</v>
      </c>
      <c r="C404" s="16">
        <v>59969597</v>
      </c>
      <c r="D404" s="14">
        <v>229.7996</v>
      </c>
      <c r="E404" s="16">
        <v>260964.75798913487</v>
      </c>
    </row>
    <row r="405" spans="1:5" x14ac:dyDescent="0.25">
      <c r="A405" s="15">
        <v>91091</v>
      </c>
      <c r="B405" s="11" t="s">
        <v>410</v>
      </c>
      <c r="C405" s="16">
        <v>9589192</v>
      </c>
      <c r="D405" s="14">
        <v>400.50060000000002</v>
      </c>
      <c r="E405" s="16">
        <v>23943.01531633161</v>
      </c>
    </row>
    <row r="406" spans="1:5" x14ac:dyDescent="0.25">
      <c r="A406" s="15">
        <v>91092</v>
      </c>
      <c r="B406" s="11" t="s">
        <v>411</v>
      </c>
      <c r="C406" s="16">
        <v>66347713</v>
      </c>
      <c r="D406" s="14">
        <v>1366.9229</v>
      </c>
      <c r="E406" s="16">
        <v>48538.006788824736</v>
      </c>
    </row>
    <row r="407" spans="1:5" x14ac:dyDescent="0.25">
      <c r="A407" s="15">
        <v>91093</v>
      </c>
      <c r="B407" s="11" t="s">
        <v>412</v>
      </c>
      <c r="C407" s="16">
        <v>5566252</v>
      </c>
      <c r="D407" s="14">
        <v>194.58690000000001</v>
      </c>
      <c r="E407" s="16">
        <v>28605.481663976349</v>
      </c>
    </row>
    <row r="408" spans="1:5" x14ac:dyDescent="0.25">
      <c r="A408" s="15">
        <v>91095</v>
      </c>
      <c r="B408" s="11" t="s">
        <v>413</v>
      </c>
      <c r="C408" s="16">
        <v>5265181</v>
      </c>
      <c r="D408" s="14">
        <v>140.05529999999999</v>
      </c>
      <c r="E408" s="16">
        <v>37593.586247717867</v>
      </c>
    </row>
    <row r="409" spans="1:5" x14ac:dyDescent="0.25">
      <c r="A409" s="15">
        <v>92087</v>
      </c>
      <c r="B409" s="11" t="s">
        <v>414</v>
      </c>
      <c r="C409" s="16">
        <v>2059922643</v>
      </c>
      <c r="D409" s="14">
        <v>17550.0013</v>
      </c>
      <c r="E409" s="16">
        <v>117374.50087824211</v>
      </c>
    </row>
    <row r="410" spans="1:5" x14ac:dyDescent="0.25">
      <c r="A410" s="15">
        <v>92088</v>
      </c>
      <c r="B410" s="11" t="s">
        <v>415</v>
      </c>
      <c r="C410" s="16">
        <v>2296436489</v>
      </c>
      <c r="D410" s="14">
        <v>16143.3788</v>
      </c>
      <c r="E410" s="16">
        <v>142252.53074034292</v>
      </c>
    </row>
    <row r="411" spans="1:5" x14ac:dyDescent="0.25">
      <c r="A411" s="15">
        <v>92089</v>
      </c>
      <c r="B411" s="11" t="s">
        <v>416</v>
      </c>
      <c r="C411" s="16">
        <v>1501010846</v>
      </c>
      <c r="D411" s="14">
        <v>12898.6055</v>
      </c>
      <c r="E411" s="16">
        <v>116370.00961072886</v>
      </c>
    </row>
    <row r="412" spans="1:5" x14ac:dyDescent="0.25">
      <c r="A412" s="15">
        <v>92090</v>
      </c>
      <c r="B412" s="11" t="s">
        <v>417</v>
      </c>
      <c r="C412" s="16">
        <v>913714403</v>
      </c>
      <c r="D412" s="14">
        <v>4677.3037000000004</v>
      </c>
      <c r="E412" s="16">
        <v>195350.668163797</v>
      </c>
    </row>
    <row r="413" spans="1:5" x14ac:dyDescent="0.25">
      <c r="A413" s="15">
        <v>92091</v>
      </c>
      <c r="B413" s="11" t="s">
        <v>418</v>
      </c>
      <c r="C413" s="16">
        <v>274005162</v>
      </c>
      <c r="D413" s="14">
        <v>1410.0612000000001</v>
      </c>
      <c r="E413" s="16">
        <v>194321.46774905937</v>
      </c>
    </row>
    <row r="414" spans="1:5" x14ac:dyDescent="0.25">
      <c r="A414" s="15">
        <v>93120</v>
      </c>
      <c r="B414" s="11" t="s">
        <v>419</v>
      </c>
      <c r="C414" s="16">
        <v>24759142</v>
      </c>
      <c r="D414" s="14">
        <v>270.72980000000001</v>
      </c>
      <c r="E414" s="16">
        <v>91453.330959502797</v>
      </c>
    </row>
    <row r="415" spans="1:5" x14ac:dyDescent="0.25">
      <c r="A415" s="15">
        <v>93121</v>
      </c>
      <c r="B415" s="11" t="s">
        <v>420</v>
      </c>
      <c r="C415" s="16">
        <v>6055284</v>
      </c>
      <c r="D415" s="14">
        <v>88.182199999999995</v>
      </c>
      <c r="E415" s="16">
        <v>68667.871747359444</v>
      </c>
    </row>
    <row r="416" spans="1:5" x14ac:dyDescent="0.25">
      <c r="A416" s="15">
        <v>93123</v>
      </c>
      <c r="B416" s="11" t="s">
        <v>421</v>
      </c>
      <c r="C416" s="16">
        <v>29676815</v>
      </c>
      <c r="D416" s="14">
        <v>377.80810000000002</v>
      </c>
      <c r="E416" s="16">
        <v>78549.970209744046</v>
      </c>
    </row>
    <row r="417" spans="1:5" x14ac:dyDescent="0.25">
      <c r="A417" s="15">
        <v>93124</v>
      </c>
      <c r="B417" s="11" t="s">
        <v>422</v>
      </c>
      <c r="C417" s="16">
        <v>29305893</v>
      </c>
      <c r="D417" s="14">
        <v>436.96589999999998</v>
      </c>
      <c r="E417" s="16">
        <v>67066.773402684281</v>
      </c>
    </row>
    <row r="418" spans="1:5" x14ac:dyDescent="0.25">
      <c r="A418" s="15">
        <v>94076</v>
      </c>
      <c r="B418" s="11" t="s">
        <v>423</v>
      </c>
      <c r="C418" s="16">
        <v>25334814</v>
      </c>
      <c r="D418" s="14">
        <v>549.50800000000004</v>
      </c>
      <c r="E418" s="16">
        <v>46104.540789215076</v>
      </c>
    </row>
    <row r="419" spans="1:5" x14ac:dyDescent="0.25">
      <c r="A419" s="15">
        <v>94078</v>
      </c>
      <c r="B419" s="11" t="s">
        <v>424</v>
      </c>
      <c r="C419" s="16">
        <v>320706145</v>
      </c>
      <c r="D419" s="14">
        <v>3705.9457000000002</v>
      </c>
      <c r="E419" s="16">
        <v>86538.274157659675</v>
      </c>
    </row>
    <row r="420" spans="1:5" x14ac:dyDescent="0.25">
      <c r="A420" s="15">
        <v>94083</v>
      </c>
      <c r="B420" s="11" t="s">
        <v>425</v>
      </c>
      <c r="C420" s="16">
        <v>162456520</v>
      </c>
      <c r="D420" s="14">
        <v>2957.9589000000001</v>
      </c>
      <c r="E420" s="16">
        <v>54921.831402052274</v>
      </c>
    </row>
    <row r="421" spans="1:5" x14ac:dyDescent="0.25">
      <c r="A421" s="15">
        <v>94086</v>
      </c>
      <c r="B421" s="11" t="s">
        <v>426</v>
      </c>
      <c r="C421" s="16">
        <v>94903298</v>
      </c>
      <c r="D421" s="14">
        <v>1951.1474000000001</v>
      </c>
      <c r="E421" s="16">
        <v>48639.737828110781</v>
      </c>
    </row>
    <row r="422" spans="1:5" x14ac:dyDescent="0.25">
      <c r="A422" s="15">
        <v>94087</v>
      </c>
      <c r="B422" s="11" t="s">
        <v>427</v>
      </c>
      <c r="C422" s="16">
        <v>44268756</v>
      </c>
      <c r="D422" s="14">
        <v>985.74969999999996</v>
      </c>
      <c r="E422" s="16">
        <v>44908.718714294308</v>
      </c>
    </row>
    <row r="423" spans="1:5" x14ac:dyDescent="0.25">
      <c r="A423" s="15">
        <v>95059</v>
      </c>
      <c r="B423" s="11" t="s">
        <v>428</v>
      </c>
      <c r="C423" s="16">
        <v>329646586</v>
      </c>
      <c r="D423" s="14">
        <v>1755.3973000000001</v>
      </c>
      <c r="E423" s="16">
        <v>187790.30023573581</v>
      </c>
    </row>
    <row r="424" spans="1:5" x14ac:dyDescent="0.25">
      <c r="A424" s="15">
        <v>96088</v>
      </c>
      <c r="B424" s="11" t="s">
        <v>429</v>
      </c>
      <c r="C424" s="16">
        <v>1660480030</v>
      </c>
      <c r="D424" s="14">
        <v>17026.2003</v>
      </c>
      <c r="E424" s="16">
        <v>97524.99093999264</v>
      </c>
    </row>
    <row r="425" spans="1:5" x14ac:dyDescent="0.25">
      <c r="A425" s="15">
        <v>96089</v>
      </c>
      <c r="B425" s="11" t="s">
        <v>430</v>
      </c>
      <c r="C425" s="16">
        <v>932998900</v>
      </c>
      <c r="D425" s="14">
        <v>10435.6289</v>
      </c>
      <c r="E425" s="16">
        <v>89405.143565425184</v>
      </c>
    </row>
    <row r="426" spans="1:5" x14ac:dyDescent="0.25">
      <c r="A426" s="15">
        <v>96090</v>
      </c>
      <c r="B426" s="11" t="s">
        <v>431</v>
      </c>
      <c r="C426" s="16">
        <v>1377943120</v>
      </c>
      <c r="D426" s="14">
        <v>5206.0514000000003</v>
      </c>
      <c r="E426" s="16">
        <v>264681.04406345275</v>
      </c>
    </row>
    <row r="427" spans="1:5" x14ac:dyDescent="0.25">
      <c r="A427" s="15">
        <v>96091</v>
      </c>
      <c r="B427" s="11" t="s">
        <v>432</v>
      </c>
      <c r="C427" s="16">
        <v>3273236290</v>
      </c>
      <c r="D427" s="14">
        <v>20247.163700000001</v>
      </c>
      <c r="E427" s="16">
        <v>161663.94160185507</v>
      </c>
    </row>
    <row r="428" spans="1:5" x14ac:dyDescent="0.25">
      <c r="A428" s="15">
        <v>96092</v>
      </c>
      <c r="B428" s="11" t="s">
        <v>433</v>
      </c>
      <c r="C428" s="16">
        <v>1210015390</v>
      </c>
      <c r="D428" s="14">
        <v>4972.5695999999998</v>
      </c>
      <c r="E428" s="16">
        <v>243338.05000939555</v>
      </c>
    </row>
    <row r="429" spans="1:5" x14ac:dyDescent="0.25">
      <c r="A429" s="15">
        <v>96093</v>
      </c>
      <c r="B429" s="11" t="s">
        <v>434</v>
      </c>
      <c r="C429" s="16">
        <v>1176066110</v>
      </c>
      <c r="D429" s="14">
        <v>5418.0960999999998</v>
      </c>
      <c r="E429" s="16">
        <v>217062.61540839041</v>
      </c>
    </row>
    <row r="430" spans="1:5" x14ac:dyDescent="0.25">
      <c r="A430" s="15">
        <v>96094</v>
      </c>
      <c r="B430" s="11" t="s">
        <v>435</v>
      </c>
      <c r="C430" s="16">
        <v>1710537550</v>
      </c>
      <c r="D430" s="14">
        <v>9641.0723999999991</v>
      </c>
      <c r="E430" s="16">
        <v>177421.91729625431</v>
      </c>
    </row>
    <row r="431" spans="1:5" x14ac:dyDescent="0.25">
      <c r="A431" s="15">
        <v>96095</v>
      </c>
      <c r="B431" s="11" t="s">
        <v>436</v>
      </c>
      <c r="C431" s="16">
        <v>4257023720</v>
      </c>
      <c r="D431" s="14">
        <v>16638.1967</v>
      </c>
      <c r="E431" s="16">
        <v>255858.48014406514</v>
      </c>
    </row>
    <row r="432" spans="1:5" x14ac:dyDescent="0.25">
      <c r="A432" s="15">
        <v>96098</v>
      </c>
      <c r="B432" s="11" t="s">
        <v>437</v>
      </c>
      <c r="C432" s="16">
        <v>381477840</v>
      </c>
      <c r="D432" s="14">
        <v>2240.2887999999998</v>
      </c>
      <c r="E432" s="16">
        <v>170280.65310151086</v>
      </c>
    </row>
    <row r="433" spans="1:5" x14ac:dyDescent="0.25">
      <c r="A433" s="15">
        <v>96099</v>
      </c>
      <c r="B433" s="11" t="s">
        <v>438</v>
      </c>
      <c r="C433" s="16">
        <v>145655160</v>
      </c>
      <c r="D433" s="14">
        <v>1465.6373000000001</v>
      </c>
      <c r="E433" s="16">
        <v>99380.085373100141</v>
      </c>
    </row>
    <row r="434" spans="1:5" x14ac:dyDescent="0.25">
      <c r="A434" s="15">
        <v>96101</v>
      </c>
      <c r="B434" s="11" t="s">
        <v>439</v>
      </c>
      <c r="C434" s="16">
        <v>278321190</v>
      </c>
      <c r="D434" s="14">
        <v>742.95209999999997</v>
      </c>
      <c r="E434" s="16">
        <v>374615.25446929893</v>
      </c>
    </row>
    <row r="435" spans="1:5" x14ac:dyDescent="0.25">
      <c r="A435" s="15">
        <v>96102</v>
      </c>
      <c r="B435" s="11" t="s">
        <v>440</v>
      </c>
      <c r="C435" s="16">
        <v>1004252800</v>
      </c>
      <c r="D435" s="14">
        <v>2381.8150999999998</v>
      </c>
      <c r="E435" s="16">
        <v>421633.40051039233</v>
      </c>
    </row>
    <row r="436" spans="1:5" x14ac:dyDescent="0.25">
      <c r="A436" s="15">
        <v>96103</v>
      </c>
      <c r="B436" s="11" t="s">
        <v>441</v>
      </c>
      <c r="C436" s="16">
        <v>142201490</v>
      </c>
      <c r="D436" s="14">
        <v>1413.8869999999999</v>
      </c>
      <c r="E436" s="16">
        <v>100574.86206464874</v>
      </c>
    </row>
    <row r="437" spans="1:5" x14ac:dyDescent="0.25">
      <c r="A437" s="15">
        <v>96104</v>
      </c>
      <c r="B437" s="11" t="s">
        <v>442</v>
      </c>
      <c r="C437" s="16">
        <v>99744650</v>
      </c>
      <c r="D437" s="14">
        <v>2377.5048000000002</v>
      </c>
      <c r="E437" s="16">
        <v>41953.50099818936</v>
      </c>
    </row>
    <row r="438" spans="1:5" x14ac:dyDescent="0.25">
      <c r="A438" s="15">
        <v>96106</v>
      </c>
      <c r="B438" s="11" t="s">
        <v>443</v>
      </c>
      <c r="C438" s="16">
        <v>1446962410</v>
      </c>
      <c r="D438" s="14">
        <v>3760.9953999999998</v>
      </c>
      <c r="E438" s="16">
        <v>384728.57743989798</v>
      </c>
    </row>
    <row r="439" spans="1:5" x14ac:dyDescent="0.25">
      <c r="A439" s="15">
        <v>96107</v>
      </c>
      <c r="B439" s="11" t="s">
        <v>444</v>
      </c>
      <c r="C439" s="16">
        <v>260632730</v>
      </c>
      <c r="D439" s="14">
        <v>1066.9749999999999</v>
      </c>
      <c r="E439" s="16">
        <v>244272.57433398161</v>
      </c>
    </row>
    <row r="440" spans="1:5" x14ac:dyDescent="0.25">
      <c r="A440" s="15">
        <v>96109</v>
      </c>
      <c r="B440" s="11" t="s">
        <v>1050</v>
      </c>
      <c r="C440" s="16">
        <v>255704350</v>
      </c>
      <c r="D440" s="14">
        <v>3848.5864999999999</v>
      </c>
      <c r="E440" s="16">
        <v>66441.107663813716</v>
      </c>
    </row>
    <row r="441" spans="1:5" x14ac:dyDescent="0.25">
      <c r="A441" s="15">
        <v>96110</v>
      </c>
      <c r="B441" s="11" t="s">
        <v>445</v>
      </c>
      <c r="C441" s="16">
        <v>559507880</v>
      </c>
      <c r="D441" s="14">
        <v>5681.0794999999998</v>
      </c>
      <c r="E441" s="16">
        <v>98486.19087270298</v>
      </c>
    </row>
    <row r="442" spans="1:5" x14ac:dyDescent="0.25">
      <c r="A442" s="15">
        <v>96111</v>
      </c>
      <c r="B442" s="11" t="s">
        <v>446</v>
      </c>
      <c r="C442" s="16">
        <v>234068810</v>
      </c>
      <c r="D442" s="14">
        <v>5340.9903000000004</v>
      </c>
      <c r="E442" s="16">
        <v>43824.98316838358</v>
      </c>
    </row>
    <row r="443" spans="1:5" x14ac:dyDescent="0.25">
      <c r="A443" s="15">
        <v>96112</v>
      </c>
      <c r="B443" s="11" t="s">
        <v>447</v>
      </c>
      <c r="C443" s="16">
        <v>604007480</v>
      </c>
      <c r="D443" s="14">
        <v>2841.4477000000002</v>
      </c>
      <c r="E443" s="16">
        <v>212570.33166579134</v>
      </c>
    </row>
    <row r="444" spans="1:5" x14ac:dyDescent="0.25">
      <c r="A444" s="15">
        <v>96113</v>
      </c>
      <c r="B444" s="11" t="s">
        <v>448</v>
      </c>
      <c r="C444" s="16">
        <v>164464320</v>
      </c>
      <c r="D444" s="14">
        <v>962.94780000000003</v>
      </c>
      <c r="E444" s="16">
        <v>170792.56009515779</v>
      </c>
    </row>
    <row r="445" spans="1:5" x14ac:dyDescent="0.25">
      <c r="A445" s="15">
        <v>96114</v>
      </c>
      <c r="B445" s="11" t="s">
        <v>449</v>
      </c>
      <c r="C445" s="16">
        <v>703944530</v>
      </c>
      <c r="D445" s="14">
        <v>3994.2192</v>
      </c>
      <c r="E445" s="16">
        <v>176240.83575583433</v>
      </c>
    </row>
    <row r="446" spans="1:5" x14ac:dyDescent="0.25">
      <c r="A446" s="15">
        <v>97116</v>
      </c>
      <c r="B446" s="11" t="s">
        <v>30</v>
      </c>
      <c r="C446" s="16">
        <v>9631980</v>
      </c>
      <c r="D446" s="14">
        <v>57.491799999999998</v>
      </c>
      <c r="E446" s="16">
        <v>167536.58782643787</v>
      </c>
    </row>
    <row r="447" spans="1:5" x14ac:dyDescent="0.25">
      <c r="A447" s="15">
        <v>97118</v>
      </c>
      <c r="B447" s="11" t="s">
        <v>450</v>
      </c>
      <c r="C447" s="16">
        <v>6310491</v>
      </c>
      <c r="D447" s="14">
        <v>55.526400000000002</v>
      </c>
      <c r="E447" s="16">
        <v>113648.48072268326</v>
      </c>
    </row>
    <row r="448" spans="1:5" x14ac:dyDescent="0.25">
      <c r="A448" s="15">
        <v>97119</v>
      </c>
      <c r="B448" s="11" t="s">
        <v>451</v>
      </c>
      <c r="C448" s="16">
        <v>10615718</v>
      </c>
      <c r="D448" s="14">
        <v>76.283100000000005</v>
      </c>
      <c r="E448" s="16">
        <v>139162.12109890656</v>
      </c>
    </row>
    <row r="449" spans="1:5" x14ac:dyDescent="0.25">
      <c r="A449" s="15">
        <v>97122</v>
      </c>
      <c r="B449" s="11" t="s">
        <v>452</v>
      </c>
      <c r="C449" s="16">
        <v>7917690</v>
      </c>
      <c r="D449" s="14">
        <v>64.205399999999997</v>
      </c>
      <c r="E449" s="16">
        <v>123318.13211972825</v>
      </c>
    </row>
    <row r="450" spans="1:5" x14ac:dyDescent="0.25">
      <c r="A450" s="15">
        <v>97127</v>
      </c>
      <c r="B450" s="11" t="s">
        <v>453</v>
      </c>
      <c r="C450" s="16">
        <v>3056157</v>
      </c>
      <c r="D450" s="14">
        <v>36.356299999999997</v>
      </c>
      <c r="E450" s="16">
        <v>84061.276862607032</v>
      </c>
    </row>
    <row r="451" spans="1:5" x14ac:dyDescent="0.25">
      <c r="A451" s="15">
        <v>97129</v>
      </c>
      <c r="B451" s="11" t="s">
        <v>454</v>
      </c>
      <c r="C451" s="16">
        <v>155526223</v>
      </c>
      <c r="D451" s="14">
        <v>2273.0934000000002</v>
      </c>
      <c r="E451" s="16">
        <v>68420.515848578856</v>
      </c>
    </row>
    <row r="452" spans="1:5" x14ac:dyDescent="0.25">
      <c r="A452" s="15">
        <v>97130</v>
      </c>
      <c r="B452" s="11" t="s">
        <v>455</v>
      </c>
      <c r="C452" s="16">
        <v>18405075</v>
      </c>
      <c r="D452" s="14">
        <v>301.96159999999998</v>
      </c>
      <c r="E452" s="16">
        <v>60951.707104479516</v>
      </c>
    </row>
    <row r="453" spans="1:5" x14ac:dyDescent="0.25">
      <c r="A453" s="15">
        <v>97131</v>
      </c>
      <c r="B453" s="11" t="s">
        <v>456</v>
      </c>
      <c r="C453" s="16">
        <v>30016083</v>
      </c>
      <c r="D453" s="14">
        <v>432.71980000000002</v>
      </c>
      <c r="E453" s="16">
        <v>69366.095565767959</v>
      </c>
    </row>
    <row r="454" spans="1:5" x14ac:dyDescent="0.25">
      <c r="A454" s="15">
        <v>98080</v>
      </c>
      <c r="B454" s="11" t="s">
        <v>457</v>
      </c>
      <c r="C454" s="16">
        <v>37652628</v>
      </c>
      <c r="D454" s="14">
        <v>604.49559999999997</v>
      </c>
      <c r="E454" s="16">
        <v>62287.679182445667</v>
      </c>
    </row>
    <row r="455" spans="1:5" x14ac:dyDescent="0.25">
      <c r="A455" s="15">
        <v>99078</v>
      </c>
      <c r="B455" s="11" t="s">
        <v>1045</v>
      </c>
      <c r="C455" s="16">
        <v>4368305</v>
      </c>
      <c r="D455" s="14">
        <v>30.281500000000001</v>
      </c>
      <c r="E455" s="16">
        <v>144256.55928537226</v>
      </c>
    </row>
    <row r="456" spans="1:5" x14ac:dyDescent="0.25">
      <c r="A456" s="15">
        <v>99082</v>
      </c>
      <c r="B456" s="11" t="s">
        <v>458</v>
      </c>
      <c r="C456" s="16">
        <v>53035627</v>
      </c>
      <c r="D456" s="14">
        <v>553.36860000000001</v>
      </c>
      <c r="E456" s="16">
        <v>95841.410228191482</v>
      </c>
    </row>
    <row r="457" spans="1:5" x14ac:dyDescent="0.25">
      <c r="A457" s="15">
        <v>100059</v>
      </c>
      <c r="B457" s="11" t="s">
        <v>459</v>
      </c>
      <c r="C457" s="16">
        <v>53045430</v>
      </c>
      <c r="D457" s="14">
        <v>799.29920000000004</v>
      </c>
      <c r="E457" s="16">
        <v>66364.923172699288</v>
      </c>
    </row>
    <row r="458" spans="1:5" x14ac:dyDescent="0.25">
      <c r="A458" s="15">
        <v>100060</v>
      </c>
      <c r="B458" s="11" t="s">
        <v>460</v>
      </c>
      <c r="C458" s="16">
        <v>23768350</v>
      </c>
      <c r="D458" s="14">
        <v>582.43269999999995</v>
      </c>
      <c r="E458" s="16">
        <v>40808.749234031675</v>
      </c>
    </row>
    <row r="459" spans="1:5" x14ac:dyDescent="0.25">
      <c r="A459" s="15">
        <v>100061</v>
      </c>
      <c r="B459" s="11" t="s">
        <v>461</v>
      </c>
      <c r="C459" s="16">
        <v>56079780</v>
      </c>
      <c r="D459" s="14">
        <v>926.84860000000003</v>
      </c>
      <c r="E459" s="16">
        <v>60505.869027584435</v>
      </c>
    </row>
    <row r="460" spans="1:5" x14ac:dyDescent="0.25">
      <c r="A460" s="15">
        <v>100062</v>
      </c>
      <c r="B460" s="11" t="s">
        <v>462</v>
      </c>
      <c r="C460" s="16">
        <v>15489340</v>
      </c>
      <c r="D460" s="14">
        <v>316.35070000000002</v>
      </c>
      <c r="E460" s="16">
        <v>48962.559589721153</v>
      </c>
    </row>
    <row r="461" spans="1:5" x14ac:dyDescent="0.25">
      <c r="A461" s="15">
        <v>100063</v>
      </c>
      <c r="B461" s="11" t="s">
        <v>463</v>
      </c>
      <c r="C461" s="16">
        <v>222896585</v>
      </c>
      <c r="D461" s="14">
        <v>3204.0805</v>
      </c>
      <c r="E461" s="16">
        <v>69566.474687511756</v>
      </c>
    </row>
    <row r="462" spans="1:5" x14ac:dyDescent="0.25">
      <c r="A462" s="15">
        <v>100064</v>
      </c>
      <c r="B462" s="11" t="s">
        <v>464</v>
      </c>
      <c r="C462" s="16">
        <v>24341260</v>
      </c>
      <c r="D462" s="14">
        <v>125.2236</v>
      </c>
      <c r="E462" s="16">
        <v>194382.36881865718</v>
      </c>
    </row>
    <row r="463" spans="1:5" x14ac:dyDescent="0.25">
      <c r="A463" s="15">
        <v>100065</v>
      </c>
      <c r="B463" s="11" t="s">
        <v>465</v>
      </c>
      <c r="C463" s="16">
        <v>20325690</v>
      </c>
      <c r="D463" s="14">
        <v>338.25970000000001</v>
      </c>
      <c r="E463" s="16">
        <v>60089.008533975524</v>
      </c>
    </row>
    <row r="464" spans="1:5" x14ac:dyDescent="0.25">
      <c r="A464" s="15">
        <v>101105</v>
      </c>
      <c r="B464" s="11" t="s">
        <v>466</v>
      </c>
      <c r="C464" s="16">
        <v>15900311</v>
      </c>
      <c r="D464" s="14">
        <v>483.0523</v>
      </c>
      <c r="E464" s="16">
        <v>32916.33431825084</v>
      </c>
    </row>
    <row r="465" spans="1:5" x14ac:dyDescent="0.25">
      <c r="A465" s="15">
        <v>101107</v>
      </c>
      <c r="B465" s="11" t="s">
        <v>467</v>
      </c>
      <c r="C465" s="16">
        <v>19355344</v>
      </c>
      <c r="D465" s="14">
        <v>261.01780000000002</v>
      </c>
      <c r="E465" s="16">
        <v>74153.34892869374</v>
      </c>
    </row>
    <row r="466" spans="1:5" x14ac:dyDescent="0.25">
      <c r="A466" s="15">
        <v>102081</v>
      </c>
      <c r="B466" s="11" t="s">
        <v>468</v>
      </c>
      <c r="C466" s="16">
        <v>32352866</v>
      </c>
      <c r="D466" s="14">
        <v>261.25810000000001</v>
      </c>
      <c r="E466" s="16">
        <v>123834.8820572453</v>
      </c>
    </row>
    <row r="467" spans="1:5" x14ac:dyDescent="0.25">
      <c r="A467" s="15">
        <v>102085</v>
      </c>
      <c r="B467" s="11" t="s">
        <v>469</v>
      </c>
      <c r="C467" s="16">
        <v>59112903</v>
      </c>
      <c r="D467" s="14">
        <v>726.31489999999997</v>
      </c>
      <c r="E467" s="16">
        <v>81387.429887504724</v>
      </c>
    </row>
    <row r="468" spans="1:5" x14ac:dyDescent="0.25">
      <c r="A468" s="15">
        <v>103127</v>
      </c>
      <c r="B468" s="11" t="s">
        <v>470</v>
      </c>
      <c r="C468" s="16">
        <v>24896943</v>
      </c>
      <c r="D468" s="14">
        <v>235.71520000000001</v>
      </c>
      <c r="E468" s="16">
        <v>105622.98485630116</v>
      </c>
    </row>
    <row r="469" spans="1:5" x14ac:dyDescent="0.25">
      <c r="A469" s="15">
        <v>103128</v>
      </c>
      <c r="B469" s="11" t="s">
        <v>471</v>
      </c>
      <c r="C469" s="16">
        <v>28290131</v>
      </c>
      <c r="D469" s="14">
        <v>212.86500000000001</v>
      </c>
      <c r="E469" s="16">
        <v>132901.74993540507</v>
      </c>
    </row>
    <row r="470" spans="1:5" x14ac:dyDescent="0.25">
      <c r="A470" s="15">
        <v>103129</v>
      </c>
      <c r="B470" s="11" t="s">
        <v>472</v>
      </c>
      <c r="C470" s="16">
        <v>30759598</v>
      </c>
      <c r="D470" s="14">
        <v>434.34309999999999</v>
      </c>
      <c r="E470" s="16">
        <v>70818.663862738933</v>
      </c>
    </row>
    <row r="471" spans="1:5" x14ac:dyDescent="0.25">
      <c r="A471" s="15">
        <v>103130</v>
      </c>
      <c r="B471" s="11" t="s">
        <v>473</v>
      </c>
      <c r="C471" s="16">
        <v>42042146</v>
      </c>
      <c r="D471" s="14">
        <v>794.4248</v>
      </c>
      <c r="E471" s="16">
        <v>52921.492380399002</v>
      </c>
    </row>
    <row r="472" spans="1:5" x14ac:dyDescent="0.25">
      <c r="A472" s="15">
        <v>103131</v>
      </c>
      <c r="B472" s="11" t="s">
        <v>474</v>
      </c>
      <c r="C472" s="16">
        <v>45822175</v>
      </c>
      <c r="D472" s="14">
        <v>659.346</v>
      </c>
      <c r="E472" s="16">
        <v>69496.402495806455</v>
      </c>
    </row>
    <row r="473" spans="1:5" x14ac:dyDescent="0.25">
      <c r="A473" s="15">
        <v>103132</v>
      </c>
      <c r="B473" s="11" t="s">
        <v>475</v>
      </c>
      <c r="C473" s="16">
        <v>179749576</v>
      </c>
      <c r="D473" s="14">
        <v>1991.6022</v>
      </c>
      <c r="E473" s="16">
        <v>90253.754489726911</v>
      </c>
    </row>
    <row r="474" spans="1:5" x14ac:dyDescent="0.25">
      <c r="A474" s="15">
        <v>103135</v>
      </c>
      <c r="B474" s="11" t="s">
        <v>476</v>
      </c>
      <c r="C474" s="16">
        <v>33929886</v>
      </c>
      <c r="D474" s="14">
        <v>523.62300000000005</v>
      </c>
      <c r="E474" s="16">
        <v>64798.310998561938</v>
      </c>
    </row>
    <row r="475" spans="1:5" x14ac:dyDescent="0.25">
      <c r="A475" s="15">
        <v>104041</v>
      </c>
      <c r="B475" s="11" t="s">
        <v>477</v>
      </c>
      <c r="C475" s="16">
        <v>10075518</v>
      </c>
      <c r="D475" s="14">
        <v>250.1799</v>
      </c>
      <c r="E475" s="16">
        <v>40273.091483368567</v>
      </c>
    </row>
    <row r="476" spans="1:5" x14ac:dyDescent="0.25">
      <c r="A476" s="15">
        <v>104042</v>
      </c>
      <c r="B476" s="11" t="s">
        <v>478</v>
      </c>
      <c r="C476" s="16">
        <v>28030004</v>
      </c>
      <c r="D476" s="14">
        <v>486.93009999999998</v>
      </c>
      <c r="E476" s="16">
        <v>57564.738758191372</v>
      </c>
    </row>
    <row r="477" spans="1:5" x14ac:dyDescent="0.25">
      <c r="A477" s="15">
        <v>104043</v>
      </c>
      <c r="B477" s="11" t="s">
        <v>479</v>
      </c>
      <c r="C477" s="16">
        <v>24010256</v>
      </c>
      <c r="D477" s="14">
        <v>646.18349999999998</v>
      </c>
      <c r="E477" s="16">
        <v>37157.024281802303</v>
      </c>
    </row>
    <row r="478" spans="1:5" x14ac:dyDescent="0.25">
      <c r="A478" s="15">
        <v>104044</v>
      </c>
      <c r="B478" s="11" t="s">
        <v>480</v>
      </c>
      <c r="C478" s="16">
        <v>338546474</v>
      </c>
      <c r="D478" s="14">
        <v>1812.55</v>
      </c>
      <c r="E478" s="16">
        <v>186779.10899009684</v>
      </c>
    </row>
    <row r="479" spans="1:5" x14ac:dyDescent="0.25">
      <c r="A479" s="15">
        <v>104045</v>
      </c>
      <c r="B479" s="11" t="s">
        <v>481</v>
      </c>
      <c r="C479" s="16">
        <v>100053096</v>
      </c>
      <c r="D479" s="14">
        <v>530.34429999999998</v>
      </c>
      <c r="E479" s="16">
        <v>188656.87064044998</v>
      </c>
    </row>
    <row r="480" spans="1:5" x14ac:dyDescent="0.25">
      <c r="A480" s="15">
        <v>105123</v>
      </c>
      <c r="B480" s="11" t="s">
        <v>482</v>
      </c>
      <c r="C480" s="16">
        <v>22738457</v>
      </c>
      <c r="D480" s="14">
        <v>269.92970000000003</v>
      </c>
      <c r="E480" s="16">
        <v>84238.440601386203</v>
      </c>
    </row>
    <row r="481" spans="1:5" x14ac:dyDescent="0.25">
      <c r="A481" s="15">
        <v>105124</v>
      </c>
      <c r="B481" s="11" t="s">
        <v>483</v>
      </c>
      <c r="C481" s="16">
        <v>41897646</v>
      </c>
      <c r="D481" s="14">
        <v>658.24680000000001</v>
      </c>
      <c r="E481" s="16">
        <v>63650.360320779379</v>
      </c>
    </row>
    <row r="482" spans="1:5" x14ac:dyDescent="0.25">
      <c r="A482" s="15">
        <v>105125</v>
      </c>
      <c r="B482" s="11" t="s">
        <v>484</v>
      </c>
      <c r="C482" s="16">
        <v>10464209</v>
      </c>
      <c r="D482" s="14">
        <v>99.679199999999994</v>
      </c>
      <c r="E482" s="16">
        <v>104978.86218990522</v>
      </c>
    </row>
    <row r="483" spans="1:5" x14ac:dyDescent="0.25">
      <c r="A483" s="15">
        <v>106001</v>
      </c>
      <c r="B483" s="11" t="s">
        <v>485</v>
      </c>
      <c r="C483" s="16">
        <v>8097200</v>
      </c>
      <c r="D483" s="14">
        <v>161.42099999999999</v>
      </c>
      <c r="E483" s="16">
        <v>50161.998748613878</v>
      </c>
    </row>
    <row r="484" spans="1:5" x14ac:dyDescent="0.25">
      <c r="A484" s="15">
        <v>106002</v>
      </c>
      <c r="B484" s="11" t="s">
        <v>486</v>
      </c>
      <c r="C484" s="16">
        <v>10700065</v>
      </c>
      <c r="D484" s="14">
        <v>251.0949</v>
      </c>
      <c r="E484" s="16">
        <v>42613.629348903545</v>
      </c>
    </row>
    <row r="485" spans="1:5" x14ac:dyDescent="0.25">
      <c r="A485" s="15">
        <v>106003</v>
      </c>
      <c r="B485" s="11" t="s">
        <v>487</v>
      </c>
      <c r="C485" s="16">
        <v>72912585</v>
      </c>
      <c r="D485" s="14">
        <v>1059.9825000000001</v>
      </c>
      <c r="E485" s="16">
        <v>68786.593174887312</v>
      </c>
    </row>
    <row r="486" spans="1:5" x14ac:dyDescent="0.25">
      <c r="A486" s="15">
        <v>106004</v>
      </c>
      <c r="B486" s="11" t="s">
        <v>488</v>
      </c>
      <c r="C486" s="16">
        <v>652659879</v>
      </c>
      <c r="D486" s="14">
        <v>4170.4659000000001</v>
      </c>
      <c r="E486" s="16">
        <v>156495.67569896686</v>
      </c>
    </row>
    <row r="487" spans="1:5" x14ac:dyDescent="0.25">
      <c r="A487" s="15">
        <v>106005</v>
      </c>
      <c r="B487" s="11" t="s">
        <v>489</v>
      </c>
      <c r="C487" s="16">
        <v>181341051</v>
      </c>
      <c r="D487" s="14">
        <v>1278.6757</v>
      </c>
      <c r="E487" s="16">
        <v>141819.42379916972</v>
      </c>
    </row>
    <row r="488" spans="1:5" x14ac:dyDescent="0.25">
      <c r="A488" s="15">
        <v>106006</v>
      </c>
      <c r="B488" s="11" t="s">
        <v>490</v>
      </c>
      <c r="C488" s="16">
        <v>36722795</v>
      </c>
      <c r="D488" s="14">
        <v>422.27339999999998</v>
      </c>
      <c r="E488" s="16">
        <v>86964.49977668497</v>
      </c>
    </row>
    <row r="489" spans="1:5" x14ac:dyDescent="0.25">
      <c r="A489" s="15">
        <v>106008</v>
      </c>
      <c r="B489" s="11" t="s">
        <v>491</v>
      </c>
      <c r="C489" s="16">
        <v>6758298</v>
      </c>
      <c r="D489" s="14">
        <v>63.375999999999998</v>
      </c>
      <c r="E489" s="16">
        <v>106638.12799798031</v>
      </c>
    </row>
    <row r="490" spans="1:5" x14ac:dyDescent="0.25">
      <c r="A490" s="15">
        <v>107151</v>
      </c>
      <c r="B490" s="11" t="s">
        <v>492</v>
      </c>
      <c r="C490" s="16">
        <v>7816381</v>
      </c>
      <c r="D490" s="14">
        <v>111.2651</v>
      </c>
      <c r="E490" s="16">
        <v>70250.069428778646</v>
      </c>
    </row>
    <row r="491" spans="1:5" x14ac:dyDescent="0.25">
      <c r="A491" s="15">
        <v>107152</v>
      </c>
      <c r="B491" s="11" t="s">
        <v>493</v>
      </c>
      <c r="C491" s="16">
        <v>54135190</v>
      </c>
      <c r="D491" s="14">
        <v>866.25570000000005</v>
      </c>
      <c r="E491" s="16">
        <v>62493.314618304961</v>
      </c>
    </row>
    <row r="492" spans="1:5" x14ac:dyDescent="0.25">
      <c r="A492" s="15">
        <v>107153</v>
      </c>
      <c r="B492" s="11" t="s">
        <v>494</v>
      </c>
      <c r="C492" s="16">
        <v>25205910</v>
      </c>
      <c r="D492" s="14">
        <v>373.89710000000002</v>
      </c>
      <c r="E492" s="16">
        <v>67414.029154010554</v>
      </c>
    </row>
    <row r="493" spans="1:5" x14ac:dyDescent="0.25">
      <c r="A493" s="15">
        <v>107154</v>
      </c>
      <c r="B493" s="11" t="s">
        <v>495</v>
      </c>
      <c r="C493" s="16">
        <v>36827958</v>
      </c>
      <c r="D493" s="14">
        <v>756.67629999999997</v>
      </c>
      <c r="E493" s="16">
        <v>48670.690492090216</v>
      </c>
    </row>
    <row r="494" spans="1:5" x14ac:dyDescent="0.25">
      <c r="A494" s="15">
        <v>107155</v>
      </c>
      <c r="B494" s="11" t="s">
        <v>496</v>
      </c>
      <c r="C494" s="16">
        <v>43928705</v>
      </c>
      <c r="D494" s="14">
        <v>720.48350000000005</v>
      </c>
      <c r="E494" s="16">
        <v>60971.146459287404</v>
      </c>
    </row>
    <row r="495" spans="1:5" x14ac:dyDescent="0.25">
      <c r="A495" s="15">
        <v>107156</v>
      </c>
      <c r="B495" s="11" t="s">
        <v>497</v>
      </c>
      <c r="C495" s="16">
        <v>29777047</v>
      </c>
      <c r="D495" s="14">
        <v>533.55579999999998</v>
      </c>
      <c r="E495" s="16">
        <v>55808.683927716651</v>
      </c>
    </row>
    <row r="496" spans="1:5" x14ac:dyDescent="0.25">
      <c r="A496" s="15">
        <v>107158</v>
      </c>
      <c r="B496" s="11" t="s">
        <v>498</v>
      </c>
      <c r="C496" s="16">
        <v>8596384</v>
      </c>
      <c r="D496" s="14">
        <v>185.75899999999999</v>
      </c>
      <c r="E496" s="16">
        <v>46277.079441642134</v>
      </c>
    </row>
    <row r="497" spans="1:5" x14ac:dyDescent="0.25">
      <c r="A497" s="15">
        <v>108142</v>
      </c>
      <c r="B497" s="11" t="s">
        <v>499</v>
      </c>
      <c r="C497" s="16">
        <v>163946678</v>
      </c>
      <c r="D497" s="14">
        <v>2391.8838999999998</v>
      </c>
      <c r="E497" s="16">
        <v>68542.907956360257</v>
      </c>
    </row>
    <row r="498" spans="1:5" x14ac:dyDescent="0.25">
      <c r="A498" s="15">
        <v>108143</v>
      </c>
      <c r="B498" s="11" t="s">
        <v>500</v>
      </c>
      <c r="C498" s="16">
        <v>12035660</v>
      </c>
      <c r="D498" s="14">
        <v>189.28190000000001</v>
      </c>
      <c r="E498" s="16">
        <v>63585.900183799931</v>
      </c>
    </row>
    <row r="499" spans="1:5" x14ac:dyDescent="0.25">
      <c r="A499" s="15">
        <v>108144</v>
      </c>
      <c r="B499" s="11" t="s">
        <v>501</v>
      </c>
      <c r="C499" s="16">
        <v>10500548</v>
      </c>
      <c r="D499" s="14">
        <v>162.73400000000001</v>
      </c>
      <c r="E499" s="16">
        <v>64525.83971388892</v>
      </c>
    </row>
    <row r="500" spans="1:5" x14ac:dyDescent="0.25">
      <c r="A500" s="15">
        <v>108147</v>
      </c>
      <c r="B500" s="11" t="s">
        <v>502</v>
      </c>
      <c r="C500" s="16">
        <v>17139084</v>
      </c>
      <c r="D500" s="14">
        <v>194.53190000000001</v>
      </c>
      <c r="E500" s="16">
        <v>88104.233804327203</v>
      </c>
    </row>
    <row r="501" spans="1:5" x14ac:dyDescent="0.25">
      <c r="A501" s="15">
        <v>109002</v>
      </c>
      <c r="B501" s="11" t="s">
        <v>1051</v>
      </c>
      <c r="C501" s="16">
        <v>177231295</v>
      </c>
      <c r="D501" s="14">
        <v>1476.5119</v>
      </c>
      <c r="E501" s="16">
        <v>120033.7735171657</v>
      </c>
    </row>
    <row r="502" spans="1:5" x14ac:dyDescent="0.25">
      <c r="A502" s="15">
        <v>109003</v>
      </c>
      <c r="B502" s="11" t="s">
        <v>503</v>
      </c>
      <c r="C502" s="16">
        <v>257396746</v>
      </c>
      <c r="D502" s="14">
        <v>2945.8696</v>
      </c>
      <c r="E502" s="16">
        <v>87375.471745253089</v>
      </c>
    </row>
    <row r="503" spans="1:5" x14ac:dyDescent="0.25">
      <c r="A503" s="15">
        <v>110014</v>
      </c>
      <c r="B503" s="11" t="s">
        <v>504</v>
      </c>
      <c r="C503" s="16">
        <v>30428837</v>
      </c>
      <c r="D503" s="14">
        <v>733.18389999999999</v>
      </c>
      <c r="E503" s="16">
        <v>41502.325678455294</v>
      </c>
    </row>
    <row r="504" spans="1:5" x14ac:dyDescent="0.25">
      <c r="A504" s="15">
        <v>110029</v>
      </c>
      <c r="B504" s="11" t="s">
        <v>505</v>
      </c>
      <c r="C504" s="16">
        <v>83971994</v>
      </c>
      <c r="D504" s="14">
        <v>2204.4241999999999</v>
      </c>
      <c r="E504" s="16">
        <v>38092.484196099824</v>
      </c>
    </row>
    <row r="505" spans="1:5" x14ac:dyDescent="0.25">
      <c r="A505" s="15">
        <v>110030</v>
      </c>
      <c r="B505" s="11" t="s">
        <v>506</v>
      </c>
      <c r="C505" s="16">
        <v>13420812</v>
      </c>
      <c r="D505" s="14">
        <v>219.70429999999999</v>
      </c>
      <c r="E505" s="16">
        <v>61085.795771862453</v>
      </c>
    </row>
    <row r="506" spans="1:5" x14ac:dyDescent="0.25">
      <c r="A506" s="15">
        <v>110031</v>
      </c>
      <c r="B506" s="11" t="s">
        <v>507</v>
      </c>
      <c r="C506" s="16">
        <v>21989519</v>
      </c>
      <c r="D506" s="14">
        <v>349.82619999999997</v>
      </c>
      <c r="E506" s="16">
        <v>62858.410833722577</v>
      </c>
    </row>
    <row r="507" spans="1:5" x14ac:dyDescent="0.25">
      <c r="A507" s="15">
        <v>111086</v>
      </c>
      <c r="B507" s="11" t="s">
        <v>508</v>
      </c>
      <c r="C507" s="16">
        <v>40819697</v>
      </c>
      <c r="D507" s="14">
        <v>740.60950000000003</v>
      </c>
      <c r="E507" s="16">
        <v>55116.356190408034</v>
      </c>
    </row>
    <row r="508" spans="1:5" x14ac:dyDescent="0.25">
      <c r="A508" s="15">
        <v>111087</v>
      </c>
      <c r="B508" s="11" t="s">
        <v>509</v>
      </c>
      <c r="C508" s="16">
        <v>63367585</v>
      </c>
      <c r="D508" s="14">
        <v>954.505</v>
      </c>
      <c r="E508" s="16">
        <v>66387.902630159093</v>
      </c>
    </row>
    <row r="509" spans="1:5" x14ac:dyDescent="0.25">
      <c r="A509" s="15">
        <v>112099</v>
      </c>
      <c r="B509" s="11" t="s">
        <v>510</v>
      </c>
      <c r="C509" s="16">
        <v>13909871</v>
      </c>
      <c r="D509" s="14">
        <v>223.6737</v>
      </c>
      <c r="E509" s="16">
        <v>62188.227762137438</v>
      </c>
    </row>
    <row r="510" spans="1:5" x14ac:dyDescent="0.25">
      <c r="A510" s="15">
        <v>112101</v>
      </c>
      <c r="B510" s="11" t="s">
        <v>511</v>
      </c>
      <c r="C510" s="16">
        <v>30379167</v>
      </c>
      <c r="D510" s="14">
        <v>583.38329999999996</v>
      </c>
      <c r="E510" s="16">
        <v>52074.111480393767</v>
      </c>
    </row>
    <row r="511" spans="1:5" x14ac:dyDescent="0.25">
      <c r="A511" s="15">
        <v>112102</v>
      </c>
      <c r="B511" s="11" t="s">
        <v>512</v>
      </c>
      <c r="C511" s="16">
        <v>173202430</v>
      </c>
      <c r="D511" s="14">
        <v>2844.8560000000002</v>
      </c>
      <c r="E511" s="16">
        <v>60882.670335510826</v>
      </c>
    </row>
    <row r="512" spans="1:5" x14ac:dyDescent="0.25">
      <c r="A512" s="15">
        <v>112103</v>
      </c>
      <c r="B512" s="11" t="s">
        <v>513</v>
      </c>
      <c r="C512" s="16">
        <v>43948756</v>
      </c>
      <c r="D512" s="14">
        <v>750.55259999999998</v>
      </c>
      <c r="E512" s="16">
        <v>58555.197863547473</v>
      </c>
    </row>
    <row r="513" spans="1:5" x14ac:dyDescent="0.25">
      <c r="A513" s="15">
        <v>113001</v>
      </c>
      <c r="B513" s="11" t="s">
        <v>514</v>
      </c>
      <c r="C513" s="16">
        <v>25249880</v>
      </c>
      <c r="D513" s="14">
        <v>318.02199999999999</v>
      </c>
      <c r="E513" s="16">
        <v>79396.64551509016</v>
      </c>
    </row>
    <row r="514" spans="1:5" x14ac:dyDescent="0.25">
      <c r="A514" s="15">
        <v>114112</v>
      </c>
      <c r="B514" s="11" t="s">
        <v>515</v>
      </c>
      <c r="C514" s="16">
        <v>16490847</v>
      </c>
      <c r="D514" s="14">
        <v>400.02530000000002</v>
      </c>
      <c r="E514" s="16">
        <v>41224.510049739351</v>
      </c>
    </row>
    <row r="515" spans="1:5" x14ac:dyDescent="0.25">
      <c r="A515" s="15">
        <v>114113</v>
      </c>
      <c r="B515" s="11" t="s">
        <v>516</v>
      </c>
      <c r="C515" s="16">
        <v>33858302</v>
      </c>
      <c r="D515" s="14">
        <v>650.07090000000005</v>
      </c>
      <c r="E515" s="16">
        <v>52084.014220602701</v>
      </c>
    </row>
    <row r="516" spans="1:5" x14ac:dyDescent="0.25">
      <c r="A516" s="15">
        <v>114114</v>
      </c>
      <c r="B516" s="11" t="s">
        <v>517</v>
      </c>
      <c r="C516" s="16">
        <v>87369675</v>
      </c>
      <c r="D516" s="14">
        <v>1374.9055000000001</v>
      </c>
      <c r="E516" s="16">
        <v>63545.949157960305</v>
      </c>
    </row>
    <row r="517" spans="1:5" x14ac:dyDescent="0.25">
      <c r="A517" s="15">
        <v>114115</v>
      </c>
      <c r="B517" s="11" t="s">
        <v>518</v>
      </c>
      <c r="C517" s="16">
        <v>34966299</v>
      </c>
      <c r="D517" s="14">
        <v>700.94399999999996</v>
      </c>
      <c r="E517" s="16">
        <v>49884.582791207285</v>
      </c>
    </row>
    <row r="518" spans="1:5" x14ac:dyDescent="0.25">
      <c r="A518" s="15">
        <v>114116</v>
      </c>
      <c r="B518" s="11" t="s">
        <v>519</v>
      </c>
      <c r="C518" s="16">
        <v>4685153</v>
      </c>
      <c r="D518" s="14">
        <v>79.424199999999999</v>
      </c>
      <c r="E518" s="16">
        <v>58988.985724753918</v>
      </c>
    </row>
    <row r="519" spans="1:5" x14ac:dyDescent="0.25">
      <c r="A519" s="15">
        <v>115115</v>
      </c>
      <c r="B519" s="11" t="s">
        <v>520</v>
      </c>
      <c r="C519" s="16">
        <v>4160066572</v>
      </c>
      <c r="D519" s="14">
        <v>23371.830300000001</v>
      </c>
      <c r="E519" s="16">
        <v>177994.89892753499</v>
      </c>
    </row>
    <row r="521" spans="1:5" ht="15.75" thickBot="1" x14ac:dyDescent="0.3">
      <c r="A521" s="26" t="s">
        <v>1052</v>
      </c>
      <c r="B521" s="24"/>
      <c r="C521" s="28">
        <f>SUM(C1:C520)</f>
        <v>90182536952</v>
      </c>
      <c r="D521" s="29">
        <f>SUM(D1:D520)</f>
        <v>821700.76840000041</v>
      </c>
    </row>
    <row r="522" spans="1:5" ht="15.75" thickTop="1" x14ac:dyDescent="0.25"/>
    <row r="523" spans="1:5" ht="15.75" thickBot="1" x14ac:dyDescent="0.3">
      <c r="A523" s="26" t="s">
        <v>1048</v>
      </c>
      <c r="B523" s="24"/>
      <c r="C523" s="27"/>
      <c r="D523" s="18"/>
      <c r="E523" s="5">
        <f>C521/D521</f>
        <v>109751.06805315719</v>
      </c>
    </row>
    <row r="524" spans="1:5" ht="15.75" thickTop="1" x14ac:dyDescent="0.25">
      <c r="A524" s="11" t="s">
        <v>3</v>
      </c>
    </row>
    <row r="525" spans="1:5" x14ac:dyDescent="0.25">
      <c r="A525" s="11"/>
    </row>
    <row r="526" spans="1:5" x14ac:dyDescent="0.25">
      <c r="A526" s="11" t="s">
        <v>4</v>
      </c>
    </row>
    <row r="527" spans="1:5" x14ac:dyDescent="0.25">
      <c r="A527" s="11" t="s">
        <v>5</v>
      </c>
    </row>
    <row r="528" spans="1:5" x14ac:dyDescent="0.25">
      <c r="A528" s="11"/>
    </row>
    <row r="529" spans="1:1" x14ac:dyDescent="0.25">
      <c r="A529" s="11" t="s">
        <v>6</v>
      </c>
    </row>
    <row r="530" spans="1:1" x14ac:dyDescent="0.25">
      <c r="A530" s="11" t="s">
        <v>7</v>
      </c>
    </row>
    <row r="531" spans="1:1" x14ac:dyDescent="0.25">
      <c r="A531" s="11"/>
    </row>
    <row r="532" spans="1:1" x14ac:dyDescent="0.25">
      <c r="A532" s="11" t="s">
        <v>1046</v>
      </c>
    </row>
    <row r="533" spans="1:1" x14ac:dyDescent="0.25">
      <c r="A533" s="11" t="s">
        <v>1047</v>
      </c>
    </row>
  </sheetData>
  <pageMargins left="0.7" right="0.7" top="1.15625" bottom="0.75" header="0.3" footer="0.3"/>
  <pageSetup orientation="portrait" r:id="rId1"/>
  <headerFooter>
    <oddHeader xml:space="preserve">&amp;C&amp;"-,Bold"Missouri Department of Elementary and Secondary Education
School Finance 
Assessed Valuation per ADA for 2012-2013
</oddHeader>
    <oddFooter>&amp;LOctober 18, 2013&amp;R&amp;P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5"/>
  <sheetViews>
    <sheetView view="pageLayout" zoomScaleNormal="100" workbookViewId="0">
      <selection activeCell="B13" sqref="B13"/>
    </sheetView>
  </sheetViews>
  <sheetFormatPr defaultColWidth="8.85546875" defaultRowHeight="15" x14ac:dyDescent="0.25"/>
  <cols>
    <col min="1" max="1" width="8.85546875" style="15"/>
    <col min="2" max="2" width="28.85546875" style="13" bestFit="1" customWidth="1"/>
    <col min="3" max="3" width="13.85546875" style="17" bestFit="1" customWidth="1"/>
    <col min="4" max="4" width="12.140625" style="14" bestFit="1" customWidth="1"/>
    <col min="5" max="5" width="15.42578125" style="16" customWidth="1"/>
    <col min="6" max="16384" width="8.85546875" style="13"/>
  </cols>
  <sheetData>
    <row r="1" spans="1:5" s="1" customFormat="1" ht="45.75" thickBot="1" x14ac:dyDescent="0.3">
      <c r="A1" s="6" t="s">
        <v>0</v>
      </c>
      <c r="B1" s="7" t="s">
        <v>1</v>
      </c>
      <c r="C1" s="8" t="s">
        <v>1053</v>
      </c>
      <c r="D1" s="9" t="s">
        <v>1043</v>
      </c>
      <c r="E1" s="10" t="s">
        <v>2</v>
      </c>
    </row>
    <row r="2" spans="1:5" x14ac:dyDescent="0.25">
      <c r="A2" s="15">
        <v>1090</v>
      </c>
      <c r="B2" s="13" t="s">
        <v>1054</v>
      </c>
      <c r="C2" s="22">
        <v>14011191</v>
      </c>
      <c r="D2" s="14">
        <v>246.2456</v>
      </c>
      <c r="E2" s="16">
        <f>C2/D2</f>
        <v>56899.25424048186</v>
      </c>
    </row>
    <row r="3" spans="1:5" x14ac:dyDescent="0.25">
      <c r="A3" s="15">
        <v>1091</v>
      </c>
      <c r="B3" s="13" t="s">
        <v>1055</v>
      </c>
      <c r="C3" s="22">
        <v>201666993</v>
      </c>
      <c r="D3" s="14">
        <v>2426.6718000000001</v>
      </c>
      <c r="E3" s="16">
        <f t="shared" ref="E3:E66" si="0">C3/D3</f>
        <v>83104.354284745059</v>
      </c>
    </row>
    <row r="4" spans="1:5" x14ac:dyDescent="0.25">
      <c r="A4" s="15">
        <v>1092</v>
      </c>
      <c r="B4" s="13" t="s">
        <v>1056</v>
      </c>
      <c r="C4" s="22">
        <v>12420753</v>
      </c>
      <c r="D4" s="14">
        <v>208.2655</v>
      </c>
      <c r="E4" s="16">
        <f t="shared" si="0"/>
        <v>59639.032869102179</v>
      </c>
    </row>
    <row r="5" spans="1:5" x14ac:dyDescent="0.25">
      <c r="A5" s="15">
        <v>2089</v>
      </c>
      <c r="B5" s="13" t="s">
        <v>1057</v>
      </c>
      <c r="C5" s="22">
        <v>18694720</v>
      </c>
      <c r="D5" s="14">
        <v>347.63749999999999</v>
      </c>
      <c r="E5" s="16">
        <f t="shared" si="0"/>
        <v>53776.47693358743</v>
      </c>
    </row>
    <row r="6" spans="1:5" x14ac:dyDescent="0.25">
      <c r="A6" s="15">
        <v>2090</v>
      </c>
      <c r="B6" s="13" t="s">
        <v>1058</v>
      </c>
      <c r="C6" s="22">
        <v>18016340</v>
      </c>
      <c r="D6" s="14">
        <v>187.51939999999999</v>
      </c>
      <c r="E6" s="16">
        <f t="shared" si="0"/>
        <v>96077.205878431778</v>
      </c>
    </row>
    <row r="7" spans="1:5" x14ac:dyDescent="0.25">
      <c r="A7" s="15">
        <v>2097</v>
      </c>
      <c r="B7" s="13" t="s">
        <v>1059</v>
      </c>
      <c r="C7" s="22">
        <v>153869465</v>
      </c>
      <c r="D7" s="14">
        <v>2261.7746000000002</v>
      </c>
      <c r="E7" s="16">
        <f t="shared" si="0"/>
        <v>68030.415143931663</v>
      </c>
    </row>
    <row r="8" spans="1:5" x14ac:dyDescent="0.25">
      <c r="A8" s="15">
        <v>3031</v>
      </c>
      <c r="B8" s="13" t="s">
        <v>1060</v>
      </c>
      <c r="C8" s="22">
        <v>39657597</v>
      </c>
      <c r="D8" s="14">
        <v>305.0521</v>
      </c>
      <c r="E8" s="16">
        <f t="shared" si="0"/>
        <v>130002.70117792994</v>
      </c>
    </row>
    <row r="9" spans="1:5" x14ac:dyDescent="0.25">
      <c r="A9" s="15">
        <v>3032</v>
      </c>
      <c r="B9" s="13" t="s">
        <v>1061</v>
      </c>
      <c r="C9" s="22">
        <v>42603763</v>
      </c>
      <c r="D9" s="14">
        <v>328.05950000000001</v>
      </c>
      <c r="E9" s="16">
        <f t="shared" si="0"/>
        <v>129865.96333896747</v>
      </c>
    </row>
    <row r="10" spans="1:5" x14ac:dyDescent="0.25">
      <c r="A10" s="15">
        <v>3033</v>
      </c>
      <c r="B10" s="13" t="s">
        <v>1062</v>
      </c>
      <c r="C10" s="22">
        <v>16538625</v>
      </c>
      <c r="D10" s="14">
        <v>131.14599999999999</v>
      </c>
      <c r="E10" s="16">
        <f t="shared" si="0"/>
        <v>126108.49739984446</v>
      </c>
    </row>
    <row r="11" spans="1:5" x14ac:dyDescent="0.25">
      <c r="A11" s="15">
        <v>4106</v>
      </c>
      <c r="B11" s="13" t="s">
        <v>1063</v>
      </c>
      <c r="C11" s="22">
        <v>27623106</v>
      </c>
      <c r="D11" s="14">
        <v>277.15899999999999</v>
      </c>
      <c r="E11" s="16">
        <f t="shared" si="0"/>
        <v>99665.195790142126</v>
      </c>
    </row>
    <row r="12" spans="1:5" x14ac:dyDescent="0.25">
      <c r="A12" s="15">
        <v>4109</v>
      </c>
      <c r="B12" s="13" t="s">
        <v>1064</v>
      </c>
      <c r="C12" s="22">
        <v>39185465</v>
      </c>
      <c r="D12" s="14">
        <v>586.19730000000004</v>
      </c>
      <c r="E12" s="16">
        <f t="shared" si="0"/>
        <v>66846.887558165137</v>
      </c>
    </row>
    <row r="13" spans="1:5" x14ac:dyDescent="0.25">
      <c r="A13" s="15">
        <v>4110</v>
      </c>
      <c r="B13" s="13" t="s">
        <v>1065</v>
      </c>
      <c r="C13" s="22">
        <v>180550185</v>
      </c>
      <c r="D13" s="14">
        <v>2257.8470000000002</v>
      </c>
      <c r="E13" s="16">
        <f t="shared" si="0"/>
        <v>79965.642047490372</v>
      </c>
    </row>
    <row r="14" spans="1:5" x14ac:dyDescent="0.25">
      <c r="A14" s="15">
        <v>5120</v>
      </c>
      <c r="B14" s="13" t="s">
        <v>1066</v>
      </c>
      <c r="C14" s="22">
        <v>17808282</v>
      </c>
      <c r="D14" s="14">
        <v>416.2269</v>
      </c>
      <c r="E14" s="16">
        <f t="shared" si="0"/>
        <v>42785.033836111987</v>
      </c>
    </row>
    <row r="15" spans="1:5" x14ac:dyDescent="0.25">
      <c r="A15" s="15">
        <v>5121</v>
      </c>
      <c r="B15" s="13" t="s">
        <v>1067</v>
      </c>
      <c r="C15" s="22">
        <v>33250619</v>
      </c>
      <c r="D15" s="14">
        <v>763.94219999999996</v>
      </c>
      <c r="E15" s="16">
        <f t="shared" si="0"/>
        <v>43525.045481189547</v>
      </c>
    </row>
    <row r="16" spans="1:5" x14ac:dyDescent="0.25">
      <c r="A16" s="15">
        <v>5122</v>
      </c>
      <c r="B16" s="13" t="s">
        <v>1068</v>
      </c>
      <c r="C16" s="22">
        <v>12700143</v>
      </c>
      <c r="D16" s="14">
        <v>327.7756</v>
      </c>
      <c r="E16" s="16">
        <f t="shared" si="0"/>
        <v>38746.456417134163</v>
      </c>
    </row>
    <row r="17" spans="1:5" x14ac:dyDescent="0.25">
      <c r="A17" s="15">
        <v>5123</v>
      </c>
      <c r="B17" s="13" t="s">
        <v>1069</v>
      </c>
      <c r="C17" s="22">
        <v>157600872</v>
      </c>
      <c r="D17" s="14">
        <v>1695.2686000000001</v>
      </c>
      <c r="E17" s="16">
        <f t="shared" si="0"/>
        <v>92965.133666723952</v>
      </c>
    </row>
    <row r="18" spans="1:5" x14ac:dyDescent="0.25">
      <c r="A18" s="15">
        <v>5124</v>
      </c>
      <c r="B18" s="13" t="s">
        <v>1070</v>
      </c>
      <c r="C18" s="22">
        <v>25394056</v>
      </c>
      <c r="D18" s="14">
        <v>647.20140000000004</v>
      </c>
      <c r="E18" s="16">
        <f t="shared" si="0"/>
        <v>39236.713641225128</v>
      </c>
    </row>
    <row r="19" spans="1:5" x14ac:dyDescent="0.25">
      <c r="A19" s="15">
        <v>5127</v>
      </c>
      <c r="B19" s="13" t="s">
        <v>1071</v>
      </c>
      <c r="C19" s="22">
        <v>58437385</v>
      </c>
      <c r="D19" s="14">
        <v>177.07499999999999</v>
      </c>
      <c r="E19" s="16">
        <f t="shared" si="0"/>
        <v>330014.88070026826</v>
      </c>
    </row>
    <row r="20" spans="1:5" x14ac:dyDescent="0.25">
      <c r="A20" s="15">
        <v>5128</v>
      </c>
      <c r="B20" s="13" t="s">
        <v>1072</v>
      </c>
      <c r="C20" s="22">
        <v>159648477</v>
      </c>
      <c r="D20" s="14">
        <v>2190.7478000000001</v>
      </c>
      <c r="E20" s="16">
        <f t="shared" si="0"/>
        <v>72873.964314833502</v>
      </c>
    </row>
    <row r="21" spans="1:5" x14ac:dyDescent="0.25">
      <c r="A21" s="15">
        <v>6101</v>
      </c>
      <c r="B21" s="13" t="s">
        <v>1073</v>
      </c>
      <c r="C21" s="22">
        <v>29032041</v>
      </c>
      <c r="D21" s="14">
        <v>460.65339999999998</v>
      </c>
      <c r="E21" s="16">
        <f t="shared" si="0"/>
        <v>63023.611678541834</v>
      </c>
    </row>
    <row r="22" spans="1:5" x14ac:dyDescent="0.25">
      <c r="A22" s="15">
        <v>6103</v>
      </c>
      <c r="B22" s="13" t="s">
        <v>1074</v>
      </c>
      <c r="C22" s="22">
        <v>16692984</v>
      </c>
      <c r="D22" s="14">
        <v>231.8056</v>
      </c>
      <c r="E22" s="16">
        <f t="shared" si="0"/>
        <v>72012.859050859857</v>
      </c>
    </row>
    <row r="23" spans="1:5" x14ac:dyDescent="0.25">
      <c r="A23" s="15">
        <v>6104</v>
      </c>
      <c r="B23" s="13" t="s">
        <v>1075</v>
      </c>
      <c r="C23" s="22">
        <v>98547167</v>
      </c>
      <c r="D23" s="14">
        <v>1236.0471</v>
      </c>
      <c r="E23" s="16">
        <f t="shared" si="0"/>
        <v>79727.67947111401</v>
      </c>
    </row>
    <row r="24" spans="1:5" x14ac:dyDescent="0.25">
      <c r="A24" s="15">
        <v>7121</v>
      </c>
      <c r="B24" s="13" t="s">
        <v>1076</v>
      </c>
      <c r="C24" s="22">
        <v>13209681</v>
      </c>
      <c r="D24" s="14">
        <v>174.6217</v>
      </c>
      <c r="E24" s="16">
        <f t="shared" si="0"/>
        <v>75647.419536059955</v>
      </c>
    </row>
    <row r="25" spans="1:5" x14ac:dyDescent="0.25">
      <c r="A25" s="15">
        <v>7122</v>
      </c>
      <c r="B25" s="13" t="s">
        <v>1077</v>
      </c>
      <c r="C25" s="22">
        <v>9254351</v>
      </c>
      <c r="D25" s="14">
        <v>143.779</v>
      </c>
      <c r="E25" s="16">
        <f t="shared" si="0"/>
        <v>64365.10895193318</v>
      </c>
    </row>
    <row r="26" spans="1:5" x14ac:dyDescent="0.25">
      <c r="A26" s="15">
        <v>7123</v>
      </c>
      <c r="B26" s="13" t="s">
        <v>1078</v>
      </c>
      <c r="C26" s="22">
        <v>36793897</v>
      </c>
      <c r="D26" s="14">
        <v>691.51919999999996</v>
      </c>
      <c r="E26" s="16">
        <f t="shared" si="0"/>
        <v>53207.339723900659</v>
      </c>
    </row>
    <row r="27" spans="1:5" x14ac:dyDescent="0.25">
      <c r="A27" s="15">
        <v>7124</v>
      </c>
      <c r="B27" s="13" t="s">
        <v>1079</v>
      </c>
      <c r="C27" s="22">
        <v>21184588</v>
      </c>
      <c r="D27" s="14">
        <v>411.12389999999999</v>
      </c>
      <c r="E27" s="16">
        <f t="shared" si="0"/>
        <v>51528.475965517937</v>
      </c>
    </row>
    <row r="28" spans="1:5" x14ac:dyDescent="0.25">
      <c r="A28" s="15">
        <v>7125</v>
      </c>
      <c r="B28" s="13" t="s">
        <v>1080</v>
      </c>
      <c r="C28" s="22">
        <v>7284730</v>
      </c>
      <c r="D28" s="14">
        <v>137.0061</v>
      </c>
      <c r="E28" s="16">
        <f t="shared" si="0"/>
        <v>53170.844217885191</v>
      </c>
    </row>
    <row r="29" spans="1:5" x14ac:dyDescent="0.25">
      <c r="A29" s="15">
        <v>7126</v>
      </c>
      <c r="B29" s="13" t="s">
        <v>1081</v>
      </c>
      <c r="C29" s="22">
        <v>6470072</v>
      </c>
      <c r="D29" s="14">
        <v>71.365799999999993</v>
      </c>
      <c r="E29" s="16">
        <f t="shared" si="0"/>
        <v>90660.680606116657</v>
      </c>
    </row>
    <row r="30" spans="1:5" x14ac:dyDescent="0.25">
      <c r="A30" s="15">
        <v>7129</v>
      </c>
      <c r="B30" s="13" t="s">
        <v>1082</v>
      </c>
      <c r="C30" s="22">
        <v>68627322</v>
      </c>
      <c r="D30" s="14">
        <v>960.04700000000003</v>
      </c>
      <c r="E30" s="16">
        <f t="shared" si="0"/>
        <v>71483.294047062271</v>
      </c>
    </row>
    <row r="31" spans="1:5" x14ac:dyDescent="0.25">
      <c r="A31" s="15">
        <v>8106</v>
      </c>
      <c r="B31" s="13" t="s">
        <v>1083</v>
      </c>
      <c r="C31" s="22">
        <v>39831321</v>
      </c>
      <c r="D31" s="14">
        <v>469.63339999999999</v>
      </c>
      <c r="E31" s="16">
        <f t="shared" si="0"/>
        <v>84813.646133345712</v>
      </c>
    </row>
    <row r="32" spans="1:5" x14ac:dyDescent="0.25">
      <c r="A32" s="15">
        <v>8107</v>
      </c>
      <c r="B32" s="13" t="s">
        <v>1084</v>
      </c>
      <c r="C32" s="22">
        <v>139634558</v>
      </c>
      <c r="D32" s="14">
        <v>1206.9979000000001</v>
      </c>
      <c r="E32" s="16">
        <f t="shared" si="0"/>
        <v>115687.49042562542</v>
      </c>
    </row>
    <row r="33" spans="1:5" x14ac:dyDescent="0.25">
      <c r="A33" s="15">
        <v>8111</v>
      </c>
      <c r="B33" s="13" t="s">
        <v>1085</v>
      </c>
      <c r="C33" s="22">
        <v>51072802</v>
      </c>
      <c r="D33" s="14">
        <v>687.73839999999996</v>
      </c>
      <c r="E33" s="16">
        <f t="shared" si="0"/>
        <v>74261.960652480659</v>
      </c>
    </row>
    <row r="34" spans="1:5" x14ac:dyDescent="0.25">
      <c r="A34" s="15">
        <v>9077</v>
      </c>
      <c r="B34" s="13" t="s">
        <v>1086</v>
      </c>
      <c r="C34" s="22">
        <v>32209160</v>
      </c>
      <c r="D34" s="14">
        <v>513.97190000000001</v>
      </c>
      <c r="E34" s="16">
        <f t="shared" si="0"/>
        <v>62667.161375942924</v>
      </c>
    </row>
    <row r="35" spans="1:5" x14ac:dyDescent="0.25">
      <c r="A35" s="15">
        <v>9078</v>
      </c>
      <c r="B35" s="13" t="s">
        <v>1087</v>
      </c>
      <c r="C35" s="22">
        <v>7786380</v>
      </c>
      <c r="D35" s="14">
        <v>183.0103</v>
      </c>
      <c r="E35" s="16">
        <f t="shared" si="0"/>
        <v>42546.129917277882</v>
      </c>
    </row>
    <row r="36" spans="1:5" x14ac:dyDescent="0.25">
      <c r="A36" s="15">
        <v>9079</v>
      </c>
      <c r="B36" s="13" t="s">
        <v>1088</v>
      </c>
      <c r="C36" s="22">
        <v>12198150</v>
      </c>
      <c r="D36" s="14">
        <v>233.73699999999999</v>
      </c>
      <c r="E36" s="16">
        <f t="shared" si="0"/>
        <v>52187.501336972753</v>
      </c>
    </row>
    <row r="37" spans="1:5" x14ac:dyDescent="0.25">
      <c r="A37" s="15">
        <v>9080</v>
      </c>
      <c r="B37" s="13" t="s">
        <v>1089</v>
      </c>
      <c r="C37" s="22">
        <v>48330373</v>
      </c>
      <c r="D37" s="14">
        <v>887.31949999999995</v>
      </c>
      <c r="E37" s="16">
        <f t="shared" si="0"/>
        <v>54467.835993686604</v>
      </c>
    </row>
    <row r="38" spans="1:5" x14ac:dyDescent="0.25">
      <c r="A38" s="15">
        <v>10087</v>
      </c>
      <c r="B38" s="13" t="s">
        <v>1090</v>
      </c>
      <c r="C38" s="22">
        <v>106315751</v>
      </c>
      <c r="D38" s="14">
        <v>1415.1473000000001</v>
      </c>
      <c r="E38" s="16">
        <f t="shared" si="0"/>
        <v>75126.985720850396</v>
      </c>
    </row>
    <row r="39" spans="1:5" x14ac:dyDescent="0.25">
      <c r="A39" s="15">
        <v>10089</v>
      </c>
      <c r="B39" s="13" t="s">
        <v>1091</v>
      </c>
      <c r="C39" s="22">
        <v>69831246</v>
      </c>
      <c r="D39" s="14">
        <v>1322.8839</v>
      </c>
      <c r="E39" s="16">
        <f t="shared" si="0"/>
        <v>52787.131206298604</v>
      </c>
    </row>
    <row r="40" spans="1:5" x14ac:dyDescent="0.25">
      <c r="A40" s="15">
        <v>10090</v>
      </c>
      <c r="B40" s="13" t="s">
        <v>1092</v>
      </c>
      <c r="C40" s="22">
        <v>32414446</v>
      </c>
      <c r="D40" s="14">
        <v>426.67340000000002</v>
      </c>
      <c r="E40" s="16">
        <f t="shared" si="0"/>
        <v>75970.15890842973</v>
      </c>
    </row>
    <row r="41" spans="1:5" x14ac:dyDescent="0.25">
      <c r="A41" s="15">
        <v>10091</v>
      </c>
      <c r="B41" s="13" t="s">
        <v>1093</v>
      </c>
      <c r="C41" s="22">
        <v>87608453</v>
      </c>
      <c r="D41" s="14">
        <v>1333.2207000000001</v>
      </c>
      <c r="E41" s="16">
        <f t="shared" si="0"/>
        <v>65711.890761972114</v>
      </c>
    </row>
    <row r="42" spans="1:5" x14ac:dyDescent="0.25">
      <c r="A42" s="15">
        <v>10092</v>
      </c>
      <c r="B42" s="13" t="s">
        <v>1094</v>
      </c>
      <c r="C42" s="22">
        <v>34404398</v>
      </c>
      <c r="D42" s="14">
        <v>523.46159999999998</v>
      </c>
      <c r="E42" s="16">
        <f t="shared" si="0"/>
        <v>65724.779047784978</v>
      </c>
    </row>
    <row r="43" spans="1:5" x14ac:dyDescent="0.25">
      <c r="A43" s="15">
        <v>10093</v>
      </c>
      <c r="B43" s="13" t="s">
        <v>1095</v>
      </c>
      <c r="C43" s="22">
        <v>2044532019</v>
      </c>
      <c r="D43" s="14">
        <v>16183.2014</v>
      </c>
      <c r="E43" s="16">
        <f t="shared" si="0"/>
        <v>126336.68508877359</v>
      </c>
    </row>
    <row r="44" spans="1:5" x14ac:dyDescent="0.25">
      <c r="A44" s="15">
        <v>11076</v>
      </c>
      <c r="B44" s="13" t="s">
        <v>1096</v>
      </c>
      <c r="C44" s="22">
        <v>51257260</v>
      </c>
      <c r="D44" s="14">
        <v>706.33709999999996</v>
      </c>
      <c r="E44" s="16">
        <f t="shared" si="0"/>
        <v>72567.70173901385</v>
      </c>
    </row>
    <row r="45" spans="1:5" x14ac:dyDescent="0.25">
      <c r="A45" s="15">
        <v>11078</v>
      </c>
      <c r="B45" s="13" t="s">
        <v>1097</v>
      </c>
      <c r="C45" s="22">
        <v>55470830</v>
      </c>
      <c r="D45" s="14">
        <v>662.66200000000003</v>
      </c>
      <c r="E45" s="16">
        <f t="shared" si="0"/>
        <v>83709.085476457069</v>
      </c>
    </row>
    <row r="46" spans="1:5" x14ac:dyDescent="0.25">
      <c r="A46" s="15">
        <v>11079</v>
      </c>
      <c r="B46" s="13" t="s">
        <v>1098</v>
      </c>
      <c r="C46" s="22">
        <v>19707250</v>
      </c>
      <c r="D46" s="14">
        <v>289.04509999999999</v>
      </c>
      <c r="E46" s="16">
        <f t="shared" si="0"/>
        <v>68180.536532188227</v>
      </c>
    </row>
    <row r="47" spans="1:5" x14ac:dyDescent="0.25">
      <c r="A47" s="15">
        <v>11082</v>
      </c>
      <c r="B47" s="13" t="s">
        <v>1099</v>
      </c>
      <c r="C47" s="22">
        <v>1023984711</v>
      </c>
      <c r="D47" s="14">
        <v>11155.425499999999</v>
      </c>
      <c r="E47" s="16">
        <f t="shared" si="0"/>
        <v>91792.528308310619</v>
      </c>
    </row>
    <row r="48" spans="1:5" x14ac:dyDescent="0.25">
      <c r="A48" s="15">
        <v>12108</v>
      </c>
      <c r="B48" s="13" t="s">
        <v>1100</v>
      </c>
      <c r="C48" s="22">
        <v>31675813</v>
      </c>
      <c r="D48" s="14">
        <v>571.85040000000004</v>
      </c>
      <c r="E48" s="16">
        <f t="shared" si="0"/>
        <v>55391.782536131825</v>
      </c>
    </row>
    <row r="49" spans="1:5" x14ac:dyDescent="0.25">
      <c r="A49" s="15">
        <v>12109</v>
      </c>
      <c r="B49" s="13" t="s">
        <v>1101</v>
      </c>
      <c r="C49" s="22">
        <v>403559347</v>
      </c>
      <c r="D49" s="14">
        <v>4783.8023000000003</v>
      </c>
      <c r="E49" s="16">
        <f t="shared" si="0"/>
        <v>84359.536973340219</v>
      </c>
    </row>
    <row r="50" spans="1:5" x14ac:dyDescent="0.25">
      <c r="A50" s="15">
        <v>12110</v>
      </c>
      <c r="B50" s="13" t="s">
        <v>1102</v>
      </c>
      <c r="C50" s="22">
        <v>56858955</v>
      </c>
      <c r="D50" s="14">
        <v>913.66690000000006</v>
      </c>
      <c r="E50" s="16">
        <f t="shared" si="0"/>
        <v>62231.602129835279</v>
      </c>
    </row>
    <row r="51" spans="1:5" x14ac:dyDescent="0.25">
      <c r="A51" s="15">
        <v>13054</v>
      </c>
      <c r="B51" s="13" t="s">
        <v>1103</v>
      </c>
      <c r="C51" s="22">
        <v>6380069</v>
      </c>
      <c r="D51" s="14">
        <v>75.442599999999999</v>
      </c>
      <c r="E51" s="16">
        <f t="shared" si="0"/>
        <v>84568.519642748259</v>
      </c>
    </row>
    <row r="52" spans="1:5" x14ac:dyDescent="0.25">
      <c r="A52" s="15">
        <v>13055</v>
      </c>
      <c r="B52" s="13" t="s">
        <v>1104</v>
      </c>
      <c r="C52" s="22">
        <v>33868198</v>
      </c>
      <c r="D52" s="14">
        <v>662.78020000000004</v>
      </c>
      <c r="E52" s="16">
        <f t="shared" si="0"/>
        <v>51100.195811522426</v>
      </c>
    </row>
    <row r="53" spans="1:5" x14ac:dyDescent="0.25">
      <c r="A53" s="15">
        <v>13057</v>
      </c>
      <c r="B53" s="13" t="s">
        <v>1105</v>
      </c>
      <c r="C53" s="22">
        <v>3584170</v>
      </c>
      <c r="D53" s="14">
        <v>55.098100000000002</v>
      </c>
      <c r="E53" s="16">
        <f t="shared" si="0"/>
        <v>65050.700477874918</v>
      </c>
    </row>
    <row r="54" spans="1:5" x14ac:dyDescent="0.25">
      <c r="A54" s="15">
        <v>13058</v>
      </c>
      <c r="B54" s="13" t="s">
        <v>1106</v>
      </c>
      <c r="C54" s="22">
        <v>3705590</v>
      </c>
      <c r="D54" s="14">
        <v>36.910400000000003</v>
      </c>
      <c r="E54" s="16">
        <f t="shared" si="0"/>
        <v>100394.19784125882</v>
      </c>
    </row>
    <row r="55" spans="1:5" x14ac:dyDescent="0.25">
      <c r="A55" s="15">
        <v>13059</v>
      </c>
      <c r="B55" s="13" t="s">
        <v>1107</v>
      </c>
      <c r="C55" s="22">
        <v>22003304</v>
      </c>
      <c r="D55" s="14">
        <v>349.78530000000001</v>
      </c>
      <c r="E55" s="16">
        <f t="shared" si="0"/>
        <v>62905.170686132318</v>
      </c>
    </row>
    <row r="56" spans="1:5" x14ac:dyDescent="0.25">
      <c r="A56" s="15">
        <v>13060</v>
      </c>
      <c r="B56" s="13" t="s">
        <v>1108</v>
      </c>
      <c r="C56" s="22">
        <v>4340460</v>
      </c>
      <c r="D56" s="14">
        <v>65.7102</v>
      </c>
      <c r="E56" s="16">
        <f t="shared" si="0"/>
        <v>66054.585132901746</v>
      </c>
    </row>
    <row r="57" spans="1:5" x14ac:dyDescent="0.25">
      <c r="A57" s="15">
        <v>13061</v>
      </c>
      <c r="B57" s="13" t="s">
        <v>1109</v>
      </c>
      <c r="C57" s="22">
        <v>16314636</v>
      </c>
      <c r="D57" s="14">
        <v>275.16950000000003</v>
      </c>
      <c r="E57" s="16">
        <f t="shared" si="0"/>
        <v>59289.405257486746</v>
      </c>
    </row>
    <row r="58" spans="1:5" x14ac:dyDescent="0.25">
      <c r="A58" s="15">
        <v>13062</v>
      </c>
      <c r="B58" s="13" t="s">
        <v>1110</v>
      </c>
      <c r="C58" s="22">
        <v>3933150</v>
      </c>
      <c r="D58" s="14">
        <v>55.662100000000002</v>
      </c>
      <c r="E58" s="16">
        <f t="shared" si="0"/>
        <v>70661.185977532281</v>
      </c>
    </row>
    <row r="59" spans="1:5" x14ac:dyDescent="0.25">
      <c r="A59" s="15">
        <v>14126</v>
      </c>
      <c r="B59" s="13" t="s">
        <v>1111</v>
      </c>
      <c r="C59" s="22">
        <v>83270647</v>
      </c>
      <c r="D59" s="14">
        <v>1105.9067</v>
      </c>
      <c r="E59" s="16">
        <f t="shared" si="0"/>
        <v>75296.267759296519</v>
      </c>
    </row>
    <row r="60" spans="1:5" x14ac:dyDescent="0.25">
      <c r="A60" s="15">
        <v>14127</v>
      </c>
      <c r="B60" s="13" t="s">
        <v>1112</v>
      </c>
      <c r="C60" s="22">
        <v>42216895</v>
      </c>
      <c r="D60" s="14">
        <v>642.07039999999995</v>
      </c>
      <c r="E60" s="16">
        <f t="shared" si="0"/>
        <v>65751.193327086876</v>
      </c>
    </row>
    <row r="61" spans="1:5" x14ac:dyDescent="0.25">
      <c r="A61" s="15">
        <v>14129</v>
      </c>
      <c r="B61" s="13" t="s">
        <v>1113</v>
      </c>
      <c r="C61" s="22">
        <v>164228699</v>
      </c>
      <c r="D61" s="14">
        <v>2008.6464000000001</v>
      </c>
      <c r="E61" s="16">
        <f t="shared" si="0"/>
        <v>81760.880859866622</v>
      </c>
    </row>
    <row r="62" spans="1:5" x14ac:dyDescent="0.25">
      <c r="A62" s="15">
        <v>14130</v>
      </c>
      <c r="B62" s="13" t="s">
        <v>1114</v>
      </c>
      <c r="C62" s="22">
        <v>294702358</v>
      </c>
      <c r="D62" s="14">
        <v>769.97490000000005</v>
      </c>
      <c r="E62" s="16">
        <f t="shared" si="0"/>
        <v>382742.81148645235</v>
      </c>
    </row>
    <row r="63" spans="1:5" x14ac:dyDescent="0.25">
      <c r="A63" s="15">
        <v>15001</v>
      </c>
      <c r="B63" s="13" t="s">
        <v>1115</v>
      </c>
      <c r="C63" s="22">
        <v>22702427</v>
      </c>
      <c r="D63" s="14">
        <v>446</v>
      </c>
      <c r="E63" s="16">
        <f t="shared" si="0"/>
        <v>50902.302690582961</v>
      </c>
    </row>
    <row r="64" spans="1:5" x14ac:dyDescent="0.25">
      <c r="A64" s="15">
        <v>15002</v>
      </c>
      <c r="B64" s="13" t="s">
        <v>1116</v>
      </c>
      <c r="C64" s="22">
        <v>1063772225</v>
      </c>
      <c r="D64" s="14">
        <v>3920.8004999999998</v>
      </c>
      <c r="E64" s="16">
        <f t="shared" si="0"/>
        <v>271315.06053419452</v>
      </c>
    </row>
    <row r="65" spans="1:5" x14ac:dyDescent="0.25">
      <c r="A65" s="15">
        <v>15003</v>
      </c>
      <c r="B65" s="13" t="s">
        <v>1117</v>
      </c>
      <c r="C65" s="22">
        <v>86039467</v>
      </c>
      <c r="D65" s="14">
        <v>205.9914</v>
      </c>
      <c r="E65" s="16">
        <f t="shared" si="0"/>
        <v>417684.75285861449</v>
      </c>
    </row>
    <row r="66" spans="1:5" x14ac:dyDescent="0.25">
      <c r="A66" s="15">
        <v>15004</v>
      </c>
      <c r="B66" s="13" t="s">
        <v>1118</v>
      </c>
      <c r="C66" s="22">
        <v>29455692</v>
      </c>
      <c r="D66" s="14">
        <v>309.35079999999999</v>
      </c>
      <c r="E66" s="16">
        <f t="shared" si="0"/>
        <v>95217.765720987314</v>
      </c>
    </row>
    <row r="67" spans="1:5" x14ac:dyDescent="0.25">
      <c r="A67" s="15">
        <v>16090</v>
      </c>
      <c r="B67" s="13" t="s">
        <v>1119</v>
      </c>
      <c r="C67" s="22">
        <v>394226061</v>
      </c>
      <c r="D67" s="14">
        <v>4346.9463999999998</v>
      </c>
      <c r="E67" s="16">
        <f t="shared" ref="E67:E130" si="1">C67/D67</f>
        <v>90690.343225764183</v>
      </c>
    </row>
    <row r="68" spans="1:5" x14ac:dyDescent="0.25">
      <c r="A68" s="15">
        <v>16092</v>
      </c>
      <c r="B68" s="13" t="s">
        <v>1120</v>
      </c>
      <c r="C68" s="22">
        <v>20258206</v>
      </c>
      <c r="D68" s="14">
        <v>298.04509999999999</v>
      </c>
      <c r="E68" s="16">
        <f t="shared" si="1"/>
        <v>67970.270271177083</v>
      </c>
    </row>
    <row r="69" spans="1:5" x14ac:dyDescent="0.25">
      <c r="A69" s="15">
        <v>16094</v>
      </c>
      <c r="B69" s="13" t="s">
        <v>1121</v>
      </c>
      <c r="C69" s="22">
        <v>22671802</v>
      </c>
      <c r="D69" s="14">
        <v>317.9495</v>
      </c>
      <c r="E69" s="16">
        <f t="shared" si="1"/>
        <v>71306.298641765432</v>
      </c>
    </row>
    <row r="70" spans="1:5" x14ac:dyDescent="0.25">
      <c r="A70" s="15">
        <v>16096</v>
      </c>
      <c r="B70" s="13" t="s">
        <v>1122</v>
      </c>
      <c r="C70" s="22">
        <v>564637729</v>
      </c>
      <c r="D70" s="14">
        <v>3752.5275000000001</v>
      </c>
      <c r="E70" s="16">
        <f t="shared" si="1"/>
        <v>150468.64519980201</v>
      </c>
    </row>
    <row r="71" spans="1:5" x14ac:dyDescent="0.25">
      <c r="A71" s="15">
        <v>16097</v>
      </c>
      <c r="B71" s="13" t="s">
        <v>1123</v>
      </c>
      <c r="C71" s="22">
        <v>51741621</v>
      </c>
      <c r="D71" s="14">
        <v>370.06319999999999</v>
      </c>
      <c r="E71" s="16">
        <f t="shared" si="1"/>
        <v>139818.33643550615</v>
      </c>
    </row>
    <row r="72" spans="1:5" x14ac:dyDescent="0.25">
      <c r="A72" s="15">
        <v>17121</v>
      </c>
      <c r="B72" s="13" t="s">
        <v>1124</v>
      </c>
      <c r="C72" s="22">
        <v>7832132</v>
      </c>
      <c r="D72" s="14">
        <v>131.08699999999999</v>
      </c>
      <c r="E72" s="16">
        <f t="shared" si="1"/>
        <v>59747.587480070491</v>
      </c>
    </row>
    <row r="73" spans="1:5" x14ac:dyDescent="0.25">
      <c r="A73" s="15">
        <v>17122</v>
      </c>
      <c r="B73" s="13" t="s">
        <v>1125</v>
      </c>
      <c r="C73" s="22">
        <v>9325590</v>
      </c>
      <c r="D73" s="14">
        <v>161.77330000000001</v>
      </c>
      <c r="E73" s="16">
        <f t="shared" si="1"/>
        <v>57646.039241333398</v>
      </c>
    </row>
    <row r="74" spans="1:5" x14ac:dyDescent="0.25">
      <c r="A74" s="15">
        <v>17124</v>
      </c>
      <c r="B74" s="13" t="s">
        <v>1126</v>
      </c>
      <c r="C74" s="22">
        <v>7401216</v>
      </c>
      <c r="D74" s="14">
        <v>90.242999999999995</v>
      </c>
      <c r="E74" s="16">
        <f t="shared" si="1"/>
        <v>82014.294737541975</v>
      </c>
    </row>
    <row r="75" spans="1:5" x14ac:dyDescent="0.25">
      <c r="A75" s="15">
        <v>17125</v>
      </c>
      <c r="B75" s="13" t="s">
        <v>1127</v>
      </c>
      <c r="C75" s="22">
        <v>59020147</v>
      </c>
      <c r="D75" s="14">
        <v>866.30790000000002</v>
      </c>
      <c r="E75" s="16">
        <f t="shared" si="1"/>
        <v>68128.372141129032</v>
      </c>
    </row>
    <row r="76" spans="1:5" x14ac:dyDescent="0.25">
      <c r="A76" s="15">
        <v>17126</v>
      </c>
      <c r="B76" s="13" t="s">
        <v>1128</v>
      </c>
      <c r="C76" s="22">
        <v>13659802</v>
      </c>
      <c r="D76" s="14">
        <v>189.5163</v>
      </c>
      <c r="E76" s="16">
        <f t="shared" si="1"/>
        <v>72077.18808355798</v>
      </c>
    </row>
    <row r="77" spans="1:5" x14ac:dyDescent="0.25">
      <c r="A77" s="15">
        <v>18047</v>
      </c>
      <c r="B77" s="13" t="s">
        <v>1129</v>
      </c>
      <c r="C77" s="22">
        <v>29139572</v>
      </c>
      <c r="D77" s="14">
        <v>716.29330000000004</v>
      </c>
      <c r="E77" s="16">
        <f t="shared" si="1"/>
        <v>40681.061794100264</v>
      </c>
    </row>
    <row r="78" spans="1:5" x14ac:dyDescent="0.25">
      <c r="A78" s="15">
        <v>18050</v>
      </c>
      <c r="B78" s="13" t="s">
        <v>1130</v>
      </c>
      <c r="C78" s="22">
        <v>28702247</v>
      </c>
      <c r="D78" s="14">
        <v>503.411</v>
      </c>
      <c r="E78" s="16">
        <f t="shared" si="1"/>
        <v>57015.5340268687</v>
      </c>
    </row>
    <row r="79" spans="1:5" x14ac:dyDescent="0.25">
      <c r="A79" s="15">
        <v>19139</v>
      </c>
      <c r="B79" s="13" t="s">
        <v>1131</v>
      </c>
      <c r="C79" s="22">
        <v>30503157</v>
      </c>
      <c r="D79" s="14">
        <v>549.75019999999995</v>
      </c>
      <c r="E79" s="16">
        <f t="shared" si="1"/>
        <v>55485.485953438496</v>
      </c>
    </row>
    <row r="80" spans="1:5" x14ac:dyDescent="0.25">
      <c r="A80" s="15">
        <v>19140</v>
      </c>
      <c r="B80" s="13" t="s">
        <v>1132</v>
      </c>
      <c r="C80" s="22">
        <v>11160293</v>
      </c>
      <c r="D80" s="14">
        <v>148.59219999999999</v>
      </c>
      <c r="E80" s="16">
        <f t="shared" si="1"/>
        <v>75106.856214525396</v>
      </c>
    </row>
    <row r="81" spans="1:5" x14ac:dyDescent="0.25">
      <c r="A81" s="15">
        <v>19142</v>
      </c>
      <c r="B81" s="13" t="s">
        <v>1133</v>
      </c>
      <c r="C81" s="22">
        <v>454165363</v>
      </c>
      <c r="D81" s="14">
        <v>5601.1648999999998</v>
      </c>
      <c r="E81" s="16">
        <f t="shared" si="1"/>
        <v>81084.090739767373</v>
      </c>
    </row>
    <row r="82" spans="1:5" x14ac:dyDescent="0.25">
      <c r="A82" s="15">
        <v>19144</v>
      </c>
      <c r="B82" s="13" t="s">
        <v>1134</v>
      </c>
      <c r="C82" s="22">
        <v>48453050</v>
      </c>
      <c r="D82" s="14">
        <v>849.23099999999999</v>
      </c>
      <c r="E82" s="16">
        <f t="shared" si="1"/>
        <v>57055.206416157678</v>
      </c>
    </row>
    <row r="83" spans="1:5" x14ac:dyDescent="0.25">
      <c r="A83" s="15">
        <v>19147</v>
      </c>
      <c r="B83" s="13" t="s">
        <v>1135</v>
      </c>
      <c r="C83" s="22">
        <v>15113679</v>
      </c>
      <c r="D83" s="14">
        <v>203.65029999999999</v>
      </c>
      <c r="E83" s="16">
        <f t="shared" si="1"/>
        <v>74213.88036256269</v>
      </c>
    </row>
    <row r="84" spans="1:5" x14ac:dyDescent="0.25">
      <c r="A84" s="15">
        <v>19148</v>
      </c>
      <c r="B84" s="13" t="s">
        <v>1136</v>
      </c>
      <c r="C84" s="22">
        <v>136329948</v>
      </c>
      <c r="D84" s="14">
        <v>2024.0291</v>
      </c>
      <c r="E84" s="16">
        <f t="shared" si="1"/>
        <v>67355.725270945957</v>
      </c>
    </row>
    <row r="85" spans="1:5" x14ac:dyDescent="0.25">
      <c r="A85" s="15">
        <v>19149</v>
      </c>
      <c r="B85" s="13" t="s">
        <v>1137</v>
      </c>
      <c r="C85" s="22">
        <v>181375652</v>
      </c>
      <c r="D85" s="14">
        <v>2361.4666999999999</v>
      </c>
      <c r="E85" s="16">
        <f t="shared" si="1"/>
        <v>76806.355982068271</v>
      </c>
    </row>
    <row r="86" spans="1:5" x14ac:dyDescent="0.25">
      <c r="A86" s="15">
        <v>19150</v>
      </c>
      <c r="B86" s="13" t="s">
        <v>1138</v>
      </c>
      <c r="C86" s="22">
        <v>17451691</v>
      </c>
      <c r="D86" s="14">
        <v>286.07490000000001</v>
      </c>
      <c r="E86" s="16">
        <f t="shared" si="1"/>
        <v>61003.922399343668</v>
      </c>
    </row>
    <row r="87" spans="1:5" x14ac:dyDescent="0.25">
      <c r="A87" s="15">
        <v>19151</v>
      </c>
      <c r="B87" s="13" t="s">
        <v>1139</v>
      </c>
      <c r="C87" s="22">
        <v>40683429</v>
      </c>
      <c r="D87" s="14">
        <v>468.7122</v>
      </c>
      <c r="E87" s="16">
        <f t="shared" si="1"/>
        <v>86798.314616090647</v>
      </c>
    </row>
    <row r="88" spans="1:5" x14ac:dyDescent="0.25">
      <c r="A88" s="15">
        <v>19152</v>
      </c>
      <c r="B88" s="13" t="s">
        <v>1140</v>
      </c>
      <c r="C88" s="22">
        <v>294927895</v>
      </c>
      <c r="D88" s="14">
        <v>4637.6073999999999</v>
      </c>
      <c r="E88" s="16">
        <f t="shared" si="1"/>
        <v>63594.838795539268</v>
      </c>
    </row>
    <row r="89" spans="1:5" x14ac:dyDescent="0.25">
      <c r="A89" s="15">
        <v>20001</v>
      </c>
      <c r="B89" s="13" t="s">
        <v>1141</v>
      </c>
      <c r="C89" s="22">
        <v>83839441</v>
      </c>
      <c r="D89" s="14">
        <v>992.18910000000005</v>
      </c>
      <c r="E89" s="16">
        <f t="shared" si="1"/>
        <v>84499.457815047557</v>
      </c>
    </row>
    <row r="90" spans="1:5" x14ac:dyDescent="0.25">
      <c r="A90" s="15">
        <v>20002</v>
      </c>
      <c r="B90" s="13" t="s">
        <v>1142</v>
      </c>
      <c r="C90" s="22">
        <v>80276959</v>
      </c>
      <c r="D90" s="14">
        <v>1187.3453999999999</v>
      </c>
      <c r="E90" s="16">
        <f t="shared" si="1"/>
        <v>67610.451853352875</v>
      </c>
    </row>
    <row r="91" spans="1:5" x14ac:dyDescent="0.25">
      <c r="A91" s="15">
        <v>21148</v>
      </c>
      <c r="B91" s="13" t="s">
        <v>1143</v>
      </c>
      <c r="C91" s="22">
        <v>14412061</v>
      </c>
      <c r="D91" s="14">
        <v>166.4059</v>
      </c>
      <c r="E91" s="16">
        <f t="shared" si="1"/>
        <v>86607.872677591353</v>
      </c>
    </row>
    <row r="92" spans="1:5" x14ac:dyDescent="0.25">
      <c r="A92" s="15">
        <v>21149</v>
      </c>
      <c r="B92" s="13" t="s">
        <v>1144</v>
      </c>
      <c r="C92" s="22">
        <v>17309756</v>
      </c>
      <c r="D92" s="14">
        <v>248.50149999999999</v>
      </c>
      <c r="E92" s="16">
        <f t="shared" si="1"/>
        <v>69656.545332724345</v>
      </c>
    </row>
    <row r="93" spans="1:5" x14ac:dyDescent="0.25">
      <c r="A93" s="15">
        <v>21150</v>
      </c>
      <c r="B93" s="13" t="s">
        <v>1145</v>
      </c>
      <c r="C93" s="22">
        <v>13865509</v>
      </c>
      <c r="D93" s="14">
        <v>133.75120000000001</v>
      </c>
      <c r="E93" s="16">
        <f t="shared" si="1"/>
        <v>103666.42691803885</v>
      </c>
    </row>
    <row r="94" spans="1:5" x14ac:dyDescent="0.25">
      <c r="A94" s="15">
        <v>21151</v>
      </c>
      <c r="B94" s="13" t="s">
        <v>1146</v>
      </c>
      <c r="C94" s="22">
        <v>48629652</v>
      </c>
      <c r="D94" s="14">
        <v>387.80630000000002</v>
      </c>
      <c r="E94" s="16">
        <f t="shared" si="1"/>
        <v>125396.75606095104</v>
      </c>
    </row>
    <row r="95" spans="1:5" x14ac:dyDescent="0.25">
      <c r="A95" s="15">
        <v>22088</v>
      </c>
      <c r="B95" s="13" t="s">
        <v>1147</v>
      </c>
      <c r="C95" s="22">
        <v>10631314</v>
      </c>
      <c r="D95" s="14">
        <v>207.2294</v>
      </c>
      <c r="E95" s="16">
        <f t="shared" si="1"/>
        <v>51302.151142646748</v>
      </c>
    </row>
    <row r="96" spans="1:5" x14ac:dyDescent="0.25">
      <c r="A96" s="15">
        <v>22089</v>
      </c>
      <c r="B96" s="13" t="s">
        <v>1148</v>
      </c>
      <c r="C96" s="22">
        <v>378397692</v>
      </c>
      <c r="D96" s="14">
        <v>5519.4120999999996</v>
      </c>
      <c r="E96" s="16">
        <f t="shared" si="1"/>
        <v>68557.608155404814</v>
      </c>
    </row>
    <row r="97" spans="1:5" x14ac:dyDescent="0.25">
      <c r="A97" s="15">
        <v>22090</v>
      </c>
      <c r="B97" s="13" t="s">
        <v>1149</v>
      </c>
      <c r="C97" s="22">
        <v>35095798</v>
      </c>
      <c r="D97" s="14">
        <v>737.89149999999995</v>
      </c>
      <c r="E97" s="16">
        <f t="shared" si="1"/>
        <v>47562.274399420516</v>
      </c>
    </row>
    <row r="98" spans="1:5" x14ac:dyDescent="0.25">
      <c r="A98" s="15">
        <v>22091</v>
      </c>
      <c r="B98" s="13" t="s">
        <v>1150</v>
      </c>
      <c r="C98" s="22">
        <v>29940826</v>
      </c>
      <c r="D98" s="14">
        <v>411.95839999999998</v>
      </c>
      <c r="E98" s="16">
        <f t="shared" si="1"/>
        <v>72679.246253990699</v>
      </c>
    </row>
    <row r="99" spans="1:5" x14ac:dyDescent="0.25">
      <c r="A99" s="15">
        <v>22092</v>
      </c>
      <c r="B99" s="13" t="s">
        <v>1151</v>
      </c>
      <c r="C99" s="22">
        <v>56905916</v>
      </c>
      <c r="D99" s="14">
        <v>1037.3184000000001</v>
      </c>
      <c r="E99" s="16">
        <f t="shared" si="1"/>
        <v>54858.677914129352</v>
      </c>
    </row>
    <row r="100" spans="1:5" x14ac:dyDescent="0.25">
      <c r="A100" s="15">
        <v>22093</v>
      </c>
      <c r="B100" s="13" t="s">
        <v>1152</v>
      </c>
      <c r="C100" s="22">
        <v>379191745</v>
      </c>
      <c r="D100" s="14">
        <v>5216.7929000000004</v>
      </c>
      <c r="E100" s="16">
        <f t="shared" si="1"/>
        <v>72686.754538406152</v>
      </c>
    </row>
    <row r="101" spans="1:5" x14ac:dyDescent="0.25">
      <c r="A101" s="15">
        <v>22094</v>
      </c>
      <c r="B101" s="13" t="s">
        <v>1153</v>
      </c>
      <c r="C101" s="22">
        <v>57604132</v>
      </c>
      <c r="D101" s="14">
        <v>744.11850000000004</v>
      </c>
      <c r="E101" s="16">
        <f t="shared" si="1"/>
        <v>77412.57877609547</v>
      </c>
    </row>
    <row r="102" spans="1:5" x14ac:dyDescent="0.25">
      <c r="A102" s="15">
        <v>23096</v>
      </c>
      <c r="B102" s="13" t="s">
        <v>1154</v>
      </c>
      <c r="C102" s="22">
        <v>7250738</v>
      </c>
      <c r="D102" s="14">
        <v>31.696000000000002</v>
      </c>
      <c r="E102" s="16">
        <f t="shared" si="1"/>
        <v>228758.77082281676</v>
      </c>
    </row>
    <row r="103" spans="1:5" x14ac:dyDescent="0.25">
      <c r="A103" s="15">
        <v>23099</v>
      </c>
      <c r="B103" s="13" t="s">
        <v>1155</v>
      </c>
      <c r="C103" s="22">
        <v>4482205</v>
      </c>
      <c r="D103" s="14">
        <v>58.531199999999998</v>
      </c>
      <c r="E103" s="16">
        <f t="shared" si="1"/>
        <v>76578.047263681598</v>
      </c>
    </row>
    <row r="104" spans="1:5" x14ac:dyDescent="0.25">
      <c r="A104" s="15">
        <v>23101</v>
      </c>
      <c r="B104" s="13" t="s">
        <v>1156</v>
      </c>
      <c r="C104" s="22">
        <v>67191002</v>
      </c>
      <c r="D104" s="14">
        <v>881.62350000000004</v>
      </c>
      <c r="E104" s="16">
        <f t="shared" si="1"/>
        <v>76212.807394539734</v>
      </c>
    </row>
    <row r="105" spans="1:5" x14ac:dyDescent="0.25">
      <c r="A105" s="15">
        <v>24086</v>
      </c>
      <c r="B105" s="13" t="s">
        <v>1157</v>
      </c>
      <c r="C105" s="22">
        <v>300171188</v>
      </c>
      <c r="D105" s="14">
        <v>3514.5068000000001</v>
      </c>
      <c r="E105" s="16">
        <f t="shared" si="1"/>
        <v>85409.192550146719</v>
      </c>
    </row>
    <row r="106" spans="1:5" x14ac:dyDescent="0.25">
      <c r="A106" s="15">
        <v>24087</v>
      </c>
      <c r="B106" s="13" t="s">
        <v>1158</v>
      </c>
      <c r="C106" s="22">
        <v>198854854</v>
      </c>
      <c r="D106" s="14">
        <v>2375.7773999999999</v>
      </c>
      <c r="E106" s="16">
        <f t="shared" si="1"/>
        <v>83700.962051411043</v>
      </c>
    </row>
    <row r="107" spans="1:5" x14ac:dyDescent="0.25">
      <c r="A107" s="15">
        <v>24089</v>
      </c>
      <c r="B107" s="13" t="s">
        <v>1159</v>
      </c>
      <c r="C107" s="22">
        <v>201733337</v>
      </c>
      <c r="D107" s="14">
        <v>2896.8200999999999</v>
      </c>
      <c r="E107" s="16">
        <f t="shared" si="1"/>
        <v>69639.5806560442</v>
      </c>
    </row>
    <row r="108" spans="1:5" x14ac:dyDescent="0.25">
      <c r="A108" s="15">
        <v>24090</v>
      </c>
      <c r="B108" s="13" t="s">
        <v>1160</v>
      </c>
      <c r="C108" s="22">
        <v>758722958</v>
      </c>
      <c r="D108" s="14">
        <v>10732.289699999999</v>
      </c>
      <c r="E108" s="16">
        <f t="shared" si="1"/>
        <v>70695.348262915417</v>
      </c>
    </row>
    <row r="109" spans="1:5" x14ac:dyDescent="0.25">
      <c r="A109" s="15">
        <v>24091</v>
      </c>
      <c r="B109" s="13" t="s">
        <v>1161</v>
      </c>
      <c r="C109" s="22">
        <v>6297429</v>
      </c>
      <c r="D109" s="14">
        <v>40.488900000000001</v>
      </c>
      <c r="E109" s="16">
        <f t="shared" si="1"/>
        <v>155534.70210353949</v>
      </c>
    </row>
    <row r="110" spans="1:5" x14ac:dyDescent="0.25">
      <c r="A110" s="15">
        <v>24093</v>
      </c>
      <c r="B110" s="13" t="s">
        <v>1162</v>
      </c>
      <c r="C110" s="22">
        <v>1860080168</v>
      </c>
      <c r="D110" s="14">
        <v>17893.066999999999</v>
      </c>
      <c r="E110" s="16">
        <f t="shared" si="1"/>
        <v>103955.35701062316</v>
      </c>
    </row>
    <row r="111" spans="1:5" x14ac:dyDescent="0.25">
      <c r="A111" s="15">
        <v>25001</v>
      </c>
      <c r="B111" s="13" t="s">
        <v>1163</v>
      </c>
      <c r="C111" s="22">
        <v>110040834</v>
      </c>
      <c r="D111" s="14">
        <v>1755.4711</v>
      </c>
      <c r="E111" s="16">
        <f t="shared" si="1"/>
        <v>62684.503322213619</v>
      </c>
    </row>
    <row r="112" spans="1:5" x14ac:dyDescent="0.25">
      <c r="A112" s="15">
        <v>25002</v>
      </c>
      <c r="B112" s="13" t="s">
        <v>1164</v>
      </c>
      <c r="C112" s="22">
        <v>59594212</v>
      </c>
      <c r="D112" s="14">
        <v>869.12760000000003</v>
      </c>
      <c r="E112" s="16">
        <f t="shared" si="1"/>
        <v>68567.851256823502</v>
      </c>
    </row>
    <row r="113" spans="1:5" x14ac:dyDescent="0.25">
      <c r="A113" s="15">
        <v>25003</v>
      </c>
      <c r="B113" s="13" t="s">
        <v>1165</v>
      </c>
      <c r="C113" s="22">
        <v>72933561</v>
      </c>
      <c r="D113" s="14">
        <v>698.96540000000005</v>
      </c>
      <c r="E113" s="16">
        <f t="shared" si="1"/>
        <v>104345.02337311688</v>
      </c>
    </row>
    <row r="114" spans="1:5" x14ac:dyDescent="0.25">
      <c r="A114" s="15">
        <v>26001</v>
      </c>
      <c r="B114" s="13" t="s">
        <v>1166</v>
      </c>
      <c r="C114" s="22">
        <v>49810317</v>
      </c>
      <c r="D114" s="14">
        <v>579.20249999999999</v>
      </c>
      <c r="E114" s="16">
        <f t="shared" si="1"/>
        <v>85998.10428995041</v>
      </c>
    </row>
    <row r="115" spans="1:5" x14ac:dyDescent="0.25">
      <c r="A115" s="15">
        <v>26002</v>
      </c>
      <c r="B115" s="13" t="s">
        <v>1167</v>
      </c>
      <c r="C115" s="22">
        <v>89248772</v>
      </c>
      <c r="D115" s="14">
        <v>1140.8306</v>
      </c>
      <c r="E115" s="16">
        <f t="shared" si="1"/>
        <v>78231.397369600716</v>
      </c>
    </row>
    <row r="116" spans="1:5" x14ac:dyDescent="0.25">
      <c r="A116" s="15">
        <v>26005</v>
      </c>
      <c r="B116" s="13" t="s">
        <v>1168</v>
      </c>
      <c r="C116" s="22">
        <v>59750260</v>
      </c>
      <c r="D116" s="14">
        <v>619.12729999999999</v>
      </c>
      <c r="E116" s="16">
        <f t="shared" si="1"/>
        <v>96507.228804157072</v>
      </c>
    </row>
    <row r="117" spans="1:5" x14ac:dyDescent="0.25">
      <c r="A117" s="15">
        <v>26006</v>
      </c>
      <c r="B117" s="13" t="s">
        <v>1169</v>
      </c>
      <c r="C117" s="22">
        <v>1187647557</v>
      </c>
      <c r="D117" s="14">
        <v>8104.1675999999998</v>
      </c>
      <c r="E117" s="16">
        <f t="shared" si="1"/>
        <v>146547.75365208389</v>
      </c>
    </row>
    <row r="118" spans="1:5" x14ac:dyDescent="0.25">
      <c r="A118" s="15">
        <v>27055</v>
      </c>
      <c r="B118" s="13" t="s">
        <v>1170</v>
      </c>
      <c r="C118" s="22">
        <v>7879791</v>
      </c>
      <c r="D118" s="14">
        <v>136.3468</v>
      </c>
      <c r="E118" s="16">
        <f t="shared" si="1"/>
        <v>57792.269418864249</v>
      </c>
    </row>
    <row r="119" spans="1:5" x14ac:dyDescent="0.25">
      <c r="A119" s="15">
        <v>27056</v>
      </c>
      <c r="B119" s="13" t="s">
        <v>1171</v>
      </c>
      <c r="C119" s="22">
        <v>8417223</v>
      </c>
      <c r="D119" s="14">
        <v>142.62139999999999</v>
      </c>
      <c r="E119" s="16">
        <f t="shared" si="1"/>
        <v>59017.952425091891</v>
      </c>
    </row>
    <row r="120" spans="1:5" x14ac:dyDescent="0.25">
      <c r="A120" s="15">
        <v>27057</v>
      </c>
      <c r="B120" s="13" t="s">
        <v>1172</v>
      </c>
      <c r="C120" s="22">
        <v>12056417</v>
      </c>
      <c r="D120" s="14">
        <v>162.36080000000001</v>
      </c>
      <c r="E120" s="16">
        <f t="shared" si="1"/>
        <v>74256.945026139307</v>
      </c>
    </row>
    <row r="121" spans="1:5" x14ac:dyDescent="0.25">
      <c r="A121" s="15">
        <v>27058</v>
      </c>
      <c r="B121" s="13" t="s">
        <v>1173</v>
      </c>
      <c r="C121" s="22">
        <v>12936902</v>
      </c>
      <c r="D121" s="14">
        <v>224.53039999999999</v>
      </c>
      <c r="E121" s="16">
        <f t="shared" si="1"/>
        <v>57617.596548173438</v>
      </c>
    </row>
    <row r="122" spans="1:5" x14ac:dyDescent="0.25">
      <c r="A122" s="15">
        <v>27059</v>
      </c>
      <c r="B122" s="13" t="s">
        <v>1174</v>
      </c>
      <c r="C122" s="22">
        <v>16370132</v>
      </c>
      <c r="D122" s="14">
        <v>258.7672</v>
      </c>
      <c r="E122" s="16">
        <f t="shared" si="1"/>
        <v>63262.005385535726</v>
      </c>
    </row>
    <row r="123" spans="1:5" x14ac:dyDescent="0.25">
      <c r="A123" s="15">
        <v>27061</v>
      </c>
      <c r="B123" s="13" t="s">
        <v>1175</v>
      </c>
      <c r="C123" s="22">
        <v>132471400</v>
      </c>
      <c r="D123" s="14">
        <v>1398.3945000000001</v>
      </c>
      <c r="E123" s="16">
        <f t="shared" si="1"/>
        <v>94731.064803243993</v>
      </c>
    </row>
    <row r="124" spans="1:5" x14ac:dyDescent="0.25">
      <c r="A124" s="15">
        <v>28101</v>
      </c>
      <c r="B124" s="13" t="s">
        <v>1176</v>
      </c>
      <c r="C124" s="22">
        <v>59201121</v>
      </c>
      <c r="D124" s="14">
        <v>924.35209999999995</v>
      </c>
      <c r="E124" s="16">
        <f t="shared" si="1"/>
        <v>64046.071837776974</v>
      </c>
    </row>
    <row r="125" spans="1:5" x14ac:dyDescent="0.25">
      <c r="A125" s="15">
        <v>28102</v>
      </c>
      <c r="B125" s="13" t="s">
        <v>1177</v>
      </c>
      <c r="C125" s="22">
        <v>109657985</v>
      </c>
      <c r="D125" s="14">
        <v>1479.6084000000001</v>
      </c>
      <c r="E125" s="16">
        <f t="shared" si="1"/>
        <v>74112.842965746881</v>
      </c>
    </row>
    <row r="126" spans="1:5" x14ac:dyDescent="0.25">
      <c r="A126" s="15">
        <v>28103</v>
      </c>
      <c r="B126" s="13" t="s">
        <v>1178</v>
      </c>
      <c r="C126" s="22">
        <v>53987751</v>
      </c>
      <c r="D126" s="14">
        <v>851.50869999999998</v>
      </c>
      <c r="E126" s="16">
        <f t="shared" si="1"/>
        <v>63402.46552971215</v>
      </c>
    </row>
    <row r="127" spans="1:5" x14ac:dyDescent="0.25">
      <c r="A127" s="15">
        <v>29001</v>
      </c>
      <c r="B127" s="13" t="s">
        <v>1179</v>
      </c>
      <c r="C127" s="22">
        <v>27245154</v>
      </c>
      <c r="D127" s="14">
        <v>336.91969999999998</v>
      </c>
      <c r="E127" s="16">
        <f t="shared" si="1"/>
        <v>80865.422829237956</v>
      </c>
    </row>
    <row r="128" spans="1:5" x14ac:dyDescent="0.25">
      <c r="A128" s="15">
        <v>29002</v>
      </c>
      <c r="B128" s="13" t="s">
        <v>1180</v>
      </c>
      <c r="C128" s="22">
        <v>9766098</v>
      </c>
      <c r="D128" s="14">
        <v>135.2176</v>
      </c>
      <c r="E128" s="16">
        <f t="shared" si="1"/>
        <v>72225.050585130928</v>
      </c>
    </row>
    <row r="129" spans="1:5" x14ac:dyDescent="0.25">
      <c r="A129" s="15">
        <v>29003</v>
      </c>
      <c r="B129" s="13" t="s">
        <v>1181</v>
      </c>
      <c r="C129" s="22">
        <v>9845803</v>
      </c>
      <c r="D129" s="14">
        <v>143.7227</v>
      </c>
      <c r="E129" s="16">
        <f t="shared" si="1"/>
        <v>68505.552706705348</v>
      </c>
    </row>
    <row r="130" spans="1:5" x14ac:dyDescent="0.25">
      <c r="A130" s="15">
        <v>29004</v>
      </c>
      <c r="B130" s="13" t="s">
        <v>1182</v>
      </c>
      <c r="C130" s="22">
        <v>34498275</v>
      </c>
      <c r="D130" s="14">
        <v>435.45909999999998</v>
      </c>
      <c r="E130" s="16">
        <f t="shared" si="1"/>
        <v>79222.767419488999</v>
      </c>
    </row>
    <row r="131" spans="1:5" x14ac:dyDescent="0.25">
      <c r="A131" s="15">
        <v>30093</v>
      </c>
      <c r="B131" s="13" t="s">
        <v>1183</v>
      </c>
      <c r="C131" s="22">
        <v>108276267</v>
      </c>
      <c r="D131" s="14">
        <v>1670.3188</v>
      </c>
      <c r="E131" s="16">
        <f t="shared" ref="E131:E194" si="2">C131/D131</f>
        <v>64823.713293534143</v>
      </c>
    </row>
    <row r="132" spans="1:5" x14ac:dyDescent="0.25">
      <c r="A132" s="15">
        <v>31116</v>
      </c>
      <c r="B132" s="13" t="s">
        <v>1184</v>
      </c>
      <c r="C132" s="22">
        <v>12566388</v>
      </c>
      <c r="D132" s="14">
        <v>160.89920000000001</v>
      </c>
      <c r="E132" s="16">
        <f t="shared" si="2"/>
        <v>78100.997394642109</v>
      </c>
    </row>
    <row r="133" spans="1:5" x14ac:dyDescent="0.25">
      <c r="A133" s="15">
        <v>31117</v>
      </c>
      <c r="B133" s="13" t="s">
        <v>1185</v>
      </c>
      <c r="C133" s="22">
        <v>20710042</v>
      </c>
      <c r="D133" s="14">
        <v>154.11429999999999</v>
      </c>
      <c r="E133" s="16">
        <f t="shared" si="2"/>
        <v>134381.05354272772</v>
      </c>
    </row>
    <row r="134" spans="1:5" x14ac:dyDescent="0.25">
      <c r="A134" s="15">
        <v>31118</v>
      </c>
      <c r="B134" s="13" t="s">
        <v>1186</v>
      </c>
      <c r="C134" s="22">
        <v>9089466</v>
      </c>
      <c r="D134" s="14">
        <v>62.596800000000002</v>
      </c>
      <c r="E134" s="16">
        <f t="shared" si="2"/>
        <v>145206.56007974848</v>
      </c>
    </row>
    <row r="135" spans="1:5" x14ac:dyDescent="0.25">
      <c r="A135" s="15">
        <v>31121</v>
      </c>
      <c r="B135" s="13" t="s">
        <v>1187</v>
      </c>
      <c r="C135" s="22">
        <v>38287291</v>
      </c>
      <c r="D135" s="14">
        <v>584.63499999999999</v>
      </c>
      <c r="E135" s="16">
        <f t="shared" si="2"/>
        <v>65489.221480068765</v>
      </c>
    </row>
    <row r="136" spans="1:5" x14ac:dyDescent="0.25">
      <c r="A136" s="15">
        <v>31122</v>
      </c>
      <c r="B136" s="13" t="s">
        <v>1188</v>
      </c>
      <c r="C136" s="22">
        <v>14999036</v>
      </c>
      <c r="D136" s="14">
        <v>145.7182</v>
      </c>
      <c r="E136" s="16">
        <f t="shared" si="2"/>
        <v>102931.79575372192</v>
      </c>
    </row>
    <row r="137" spans="1:5" x14ac:dyDescent="0.25">
      <c r="A137" s="15">
        <v>32054</v>
      </c>
      <c r="B137" s="13" t="s">
        <v>1189</v>
      </c>
      <c r="C137" s="22">
        <v>9255180</v>
      </c>
      <c r="D137" s="14">
        <v>133.73699999999999</v>
      </c>
      <c r="E137" s="16">
        <f t="shared" si="2"/>
        <v>69204.333879180776</v>
      </c>
    </row>
    <row r="138" spans="1:5" x14ac:dyDescent="0.25">
      <c r="A138" s="15">
        <v>32055</v>
      </c>
      <c r="B138" s="13" t="s">
        <v>1190</v>
      </c>
      <c r="C138" s="22">
        <v>42108706</v>
      </c>
      <c r="D138" s="14">
        <v>539.51310000000001</v>
      </c>
      <c r="E138" s="16">
        <f t="shared" si="2"/>
        <v>78049.459781421436</v>
      </c>
    </row>
    <row r="139" spans="1:5" x14ac:dyDescent="0.25">
      <c r="A139" s="15">
        <v>32056</v>
      </c>
      <c r="B139" s="13" t="s">
        <v>1191</v>
      </c>
      <c r="C139" s="22">
        <v>25464460</v>
      </c>
      <c r="D139" s="14">
        <v>130.2765</v>
      </c>
      <c r="E139" s="16">
        <f t="shared" si="2"/>
        <v>195464.72310815842</v>
      </c>
    </row>
    <row r="140" spans="1:5" x14ac:dyDescent="0.25">
      <c r="A140" s="15">
        <v>32058</v>
      </c>
      <c r="B140" s="13" t="s">
        <v>1192</v>
      </c>
      <c r="C140" s="22">
        <v>13714114</v>
      </c>
      <c r="D140" s="14">
        <v>195.28290000000001</v>
      </c>
      <c r="E140" s="16">
        <f t="shared" si="2"/>
        <v>70226.906708165436</v>
      </c>
    </row>
    <row r="141" spans="1:5" x14ac:dyDescent="0.25">
      <c r="A141" s="15">
        <v>33090</v>
      </c>
      <c r="B141" s="13" t="s">
        <v>1193</v>
      </c>
      <c r="C141" s="22">
        <v>64932890</v>
      </c>
      <c r="D141" s="14">
        <v>1035.7788</v>
      </c>
      <c r="E141" s="16">
        <f t="shared" si="2"/>
        <v>62689.919894093218</v>
      </c>
    </row>
    <row r="142" spans="1:5" x14ac:dyDescent="0.25">
      <c r="A142" s="15">
        <v>33091</v>
      </c>
      <c r="B142" s="13" t="s">
        <v>1194</v>
      </c>
      <c r="C142" s="22">
        <v>13207160</v>
      </c>
      <c r="D142" s="14">
        <v>136.38399999999999</v>
      </c>
      <c r="E142" s="16">
        <f t="shared" si="2"/>
        <v>96838.045518535902</v>
      </c>
    </row>
    <row r="143" spans="1:5" x14ac:dyDescent="0.25">
      <c r="A143" s="15">
        <v>33092</v>
      </c>
      <c r="B143" s="13" t="s">
        <v>1195</v>
      </c>
      <c r="C143" s="22">
        <v>17860190</v>
      </c>
      <c r="D143" s="14">
        <v>247.9443</v>
      </c>
      <c r="E143" s="16">
        <f t="shared" si="2"/>
        <v>72033.07355724652</v>
      </c>
    </row>
    <row r="144" spans="1:5" x14ac:dyDescent="0.25">
      <c r="A144" s="15">
        <v>33093</v>
      </c>
      <c r="B144" s="13" t="s">
        <v>1196</v>
      </c>
      <c r="C144" s="22">
        <v>28567353</v>
      </c>
      <c r="D144" s="14">
        <v>340.95609999999999</v>
      </c>
      <c r="E144" s="16">
        <f t="shared" si="2"/>
        <v>83786.015267068113</v>
      </c>
    </row>
    <row r="145" spans="1:5" x14ac:dyDescent="0.25">
      <c r="A145" s="15">
        <v>33094</v>
      </c>
      <c r="B145" s="13" t="s">
        <v>1197</v>
      </c>
      <c r="C145" s="22">
        <v>17961265</v>
      </c>
      <c r="D145" s="14">
        <v>257.32389999999998</v>
      </c>
      <c r="E145" s="16">
        <f t="shared" si="2"/>
        <v>69800.220655757206</v>
      </c>
    </row>
    <row r="146" spans="1:5" x14ac:dyDescent="0.25">
      <c r="A146" s="15">
        <v>34121</v>
      </c>
      <c r="B146" s="13" t="s">
        <v>1198</v>
      </c>
      <c r="C146" s="22">
        <v>8776474</v>
      </c>
      <c r="D146" s="14">
        <v>121.8591</v>
      </c>
      <c r="E146" s="16">
        <f t="shared" si="2"/>
        <v>72021.490393413376</v>
      </c>
    </row>
    <row r="147" spans="1:5" x14ac:dyDescent="0.25">
      <c r="A147" s="15">
        <v>34122</v>
      </c>
      <c r="B147" s="13" t="s">
        <v>1199</v>
      </c>
      <c r="C147" s="22">
        <v>5729420</v>
      </c>
      <c r="D147" s="14">
        <v>141.9495</v>
      </c>
      <c r="E147" s="16">
        <f t="shared" si="2"/>
        <v>40362.382396556524</v>
      </c>
    </row>
    <row r="148" spans="1:5" x14ac:dyDescent="0.25">
      <c r="A148" s="15">
        <v>34124</v>
      </c>
      <c r="B148" s="13" t="s">
        <v>1200</v>
      </c>
      <c r="C148" s="22">
        <v>89063420</v>
      </c>
      <c r="D148" s="14">
        <v>1260.8621000000001</v>
      </c>
      <c r="E148" s="16">
        <f t="shared" si="2"/>
        <v>70636.92373654501</v>
      </c>
    </row>
    <row r="149" spans="1:5" x14ac:dyDescent="0.25">
      <c r="A149" s="15">
        <v>35092</v>
      </c>
      <c r="B149" s="13" t="s">
        <v>1201</v>
      </c>
      <c r="C149" s="22">
        <v>43813962</v>
      </c>
      <c r="D149" s="14">
        <v>1015.6527</v>
      </c>
      <c r="E149" s="16">
        <f t="shared" si="2"/>
        <v>43138.724487218911</v>
      </c>
    </row>
    <row r="150" spans="1:5" x14ac:dyDescent="0.25">
      <c r="A150" s="15">
        <v>35093</v>
      </c>
      <c r="B150" s="13" t="s">
        <v>1202</v>
      </c>
      <c r="C150" s="22">
        <v>50648360</v>
      </c>
      <c r="D150" s="14">
        <v>565.84339999999997</v>
      </c>
      <c r="E150" s="16">
        <f t="shared" si="2"/>
        <v>89509.500331717223</v>
      </c>
    </row>
    <row r="151" spans="1:5" x14ac:dyDescent="0.25">
      <c r="A151" s="15">
        <v>35094</v>
      </c>
      <c r="B151" s="13" t="s">
        <v>1203</v>
      </c>
      <c r="C151" s="22">
        <v>20502035</v>
      </c>
      <c r="D151" s="14">
        <v>531.99459999999999</v>
      </c>
      <c r="E151" s="16">
        <f t="shared" si="2"/>
        <v>38538.050950141223</v>
      </c>
    </row>
    <row r="152" spans="1:5" x14ac:dyDescent="0.25">
      <c r="A152" s="15">
        <v>35097</v>
      </c>
      <c r="B152" s="13" t="s">
        <v>1204</v>
      </c>
      <c r="C152" s="22">
        <v>11836260</v>
      </c>
      <c r="D152" s="14">
        <v>287.714</v>
      </c>
      <c r="E152" s="16">
        <f t="shared" si="2"/>
        <v>41138.978290941697</v>
      </c>
    </row>
    <row r="153" spans="1:5" x14ac:dyDescent="0.25">
      <c r="A153" s="15">
        <v>35098</v>
      </c>
      <c r="B153" s="13" t="s">
        <v>1205</v>
      </c>
      <c r="C153" s="22">
        <v>45100105</v>
      </c>
      <c r="D153" s="14">
        <v>749.75300000000004</v>
      </c>
      <c r="E153" s="16">
        <f t="shared" si="2"/>
        <v>60153.283814803006</v>
      </c>
    </row>
    <row r="154" spans="1:5" x14ac:dyDescent="0.25">
      <c r="A154" s="15">
        <v>35099</v>
      </c>
      <c r="B154" s="13" t="s">
        <v>1206</v>
      </c>
      <c r="C154" s="22">
        <v>15546490</v>
      </c>
      <c r="D154" s="14">
        <v>304.54629999999997</v>
      </c>
      <c r="E154" s="16">
        <f t="shared" si="2"/>
        <v>51048.034403964193</v>
      </c>
    </row>
    <row r="155" spans="1:5" x14ac:dyDescent="0.25">
      <c r="A155" s="15">
        <v>35102</v>
      </c>
      <c r="B155" s="13" t="s">
        <v>1207</v>
      </c>
      <c r="C155" s="22">
        <v>88850724</v>
      </c>
      <c r="D155" s="14">
        <v>1845.3742999999999</v>
      </c>
      <c r="E155" s="16">
        <f t="shared" si="2"/>
        <v>48147.806111746548</v>
      </c>
    </row>
    <row r="156" spans="1:5" x14ac:dyDescent="0.25">
      <c r="A156" s="15">
        <v>36123</v>
      </c>
      <c r="B156" s="13" t="s">
        <v>1208</v>
      </c>
      <c r="C156" s="22">
        <v>25145335</v>
      </c>
      <c r="D156" s="14">
        <v>202.28659999999999</v>
      </c>
      <c r="E156" s="16">
        <f t="shared" si="2"/>
        <v>124305.49032906778</v>
      </c>
    </row>
    <row r="157" spans="1:5" x14ac:dyDescent="0.25">
      <c r="A157" s="15">
        <v>36126</v>
      </c>
      <c r="B157" s="13" t="s">
        <v>1209</v>
      </c>
      <c r="C157" s="22">
        <v>319232771</v>
      </c>
      <c r="D157" s="14">
        <v>2976.8350999999998</v>
      </c>
      <c r="E157" s="16">
        <f t="shared" si="2"/>
        <v>107238.9837784431</v>
      </c>
    </row>
    <row r="158" spans="1:5" x14ac:dyDescent="0.25">
      <c r="A158" s="15">
        <v>36131</v>
      </c>
      <c r="B158" s="13" t="s">
        <v>1210</v>
      </c>
      <c r="C158" s="22">
        <v>300380580</v>
      </c>
      <c r="D158" s="14">
        <v>2843.3616999999999</v>
      </c>
      <c r="E158" s="16">
        <f t="shared" si="2"/>
        <v>105642.76082075664</v>
      </c>
    </row>
    <row r="159" spans="1:5" x14ac:dyDescent="0.25">
      <c r="A159" s="15">
        <v>36133</v>
      </c>
      <c r="B159" s="13" t="s">
        <v>1211</v>
      </c>
      <c r="C159" s="22">
        <v>38422133</v>
      </c>
      <c r="D159" s="14">
        <v>435.66460000000001</v>
      </c>
      <c r="E159" s="16">
        <f t="shared" si="2"/>
        <v>88192.001369861129</v>
      </c>
    </row>
    <row r="160" spans="1:5" x14ac:dyDescent="0.25">
      <c r="A160" s="15">
        <v>36134</v>
      </c>
      <c r="B160" s="13" t="s">
        <v>1212</v>
      </c>
      <c r="C160" s="22">
        <v>24295919</v>
      </c>
      <c r="D160" s="14">
        <v>334.5652</v>
      </c>
      <c r="E160" s="16">
        <f t="shared" si="2"/>
        <v>72619.384801527471</v>
      </c>
    </row>
    <row r="161" spans="1:5" x14ac:dyDescent="0.25">
      <c r="A161" s="15">
        <v>36135</v>
      </c>
      <c r="B161" s="13" t="s">
        <v>1213</v>
      </c>
      <c r="C161" s="22">
        <v>11077248</v>
      </c>
      <c r="D161" s="14">
        <v>103.2972</v>
      </c>
      <c r="E161" s="16">
        <f t="shared" si="2"/>
        <v>107236.67243642615</v>
      </c>
    </row>
    <row r="162" spans="1:5" x14ac:dyDescent="0.25">
      <c r="A162" s="15">
        <v>36136</v>
      </c>
      <c r="B162" s="13" t="s">
        <v>1214</v>
      </c>
      <c r="C162" s="22">
        <v>146296751</v>
      </c>
      <c r="D162" s="14">
        <v>2062.1606999999999</v>
      </c>
      <c r="E162" s="16">
        <f t="shared" si="2"/>
        <v>70943.428899600316</v>
      </c>
    </row>
    <row r="163" spans="1:5" x14ac:dyDescent="0.25">
      <c r="A163" s="15">
        <v>36137</v>
      </c>
      <c r="B163" s="13" t="s">
        <v>1215</v>
      </c>
      <c r="C163" s="22">
        <v>157971346</v>
      </c>
      <c r="D163" s="14">
        <v>1954.8617999999999</v>
      </c>
      <c r="E163" s="16">
        <f t="shared" si="2"/>
        <v>80809.470009593526</v>
      </c>
    </row>
    <row r="164" spans="1:5" x14ac:dyDescent="0.25">
      <c r="A164" s="15">
        <v>36138</v>
      </c>
      <c r="B164" s="13" t="s">
        <v>1216</v>
      </c>
      <c r="C164" s="22">
        <v>34859409</v>
      </c>
      <c r="D164" s="14">
        <v>465.76940000000002</v>
      </c>
      <c r="E164" s="16">
        <f t="shared" si="2"/>
        <v>74842.634574104697</v>
      </c>
    </row>
    <row r="165" spans="1:5" x14ac:dyDescent="0.25">
      <c r="A165" s="15">
        <v>36139</v>
      </c>
      <c r="B165" s="13" t="s">
        <v>1217</v>
      </c>
      <c r="C165" s="22">
        <v>744141411</v>
      </c>
      <c r="D165" s="14">
        <v>3761.0927000000001</v>
      </c>
      <c r="E165" s="16">
        <f t="shared" si="2"/>
        <v>197852.45149634307</v>
      </c>
    </row>
    <row r="166" spans="1:5" x14ac:dyDescent="0.25">
      <c r="A166" s="15">
        <v>37037</v>
      </c>
      <c r="B166" s="13" t="s">
        <v>1218</v>
      </c>
      <c r="C166" s="22">
        <v>147467645</v>
      </c>
      <c r="D166" s="14">
        <v>1769.307</v>
      </c>
      <c r="E166" s="16">
        <f t="shared" si="2"/>
        <v>83347.686410555092</v>
      </c>
    </row>
    <row r="167" spans="1:5" x14ac:dyDescent="0.25">
      <c r="A167" s="15">
        <v>37039</v>
      </c>
      <c r="B167" s="13" t="s">
        <v>1219</v>
      </c>
      <c r="C167" s="22">
        <v>107807121</v>
      </c>
      <c r="D167" s="14">
        <v>928.81719999999996</v>
      </c>
      <c r="E167" s="16">
        <f t="shared" si="2"/>
        <v>116069.25560810028</v>
      </c>
    </row>
    <row r="168" spans="1:5" x14ac:dyDescent="0.25">
      <c r="A168" s="15">
        <v>38044</v>
      </c>
      <c r="B168" s="13" t="s">
        <v>1220</v>
      </c>
      <c r="C168" s="22">
        <v>44014052</v>
      </c>
      <c r="D168" s="14">
        <v>307.25</v>
      </c>
      <c r="E168" s="16">
        <f t="shared" si="2"/>
        <v>143251.59316517494</v>
      </c>
    </row>
    <row r="169" spans="1:5" x14ac:dyDescent="0.25">
      <c r="A169" s="15">
        <v>38045</v>
      </c>
      <c r="B169" s="13" t="s">
        <v>1221</v>
      </c>
      <c r="C169" s="22">
        <v>23108463</v>
      </c>
      <c r="D169" s="14">
        <v>308.79509999999999</v>
      </c>
      <c r="E169" s="16">
        <f t="shared" si="2"/>
        <v>74834.293031204186</v>
      </c>
    </row>
    <row r="170" spans="1:5" x14ac:dyDescent="0.25">
      <c r="A170" s="15">
        <v>38046</v>
      </c>
      <c r="B170" s="13" t="s">
        <v>1222</v>
      </c>
      <c r="C170" s="22">
        <v>33993266</v>
      </c>
      <c r="D170" s="14">
        <v>444.94060000000002</v>
      </c>
      <c r="E170" s="16">
        <f t="shared" si="2"/>
        <v>76399.559851359925</v>
      </c>
    </row>
    <row r="171" spans="1:5" x14ac:dyDescent="0.25">
      <c r="A171" s="15">
        <v>39133</v>
      </c>
      <c r="B171" s="13" t="s">
        <v>1223</v>
      </c>
      <c r="C171" s="22">
        <v>334870990</v>
      </c>
      <c r="D171" s="14">
        <v>4112.5168999999996</v>
      </c>
      <c r="E171" s="16">
        <f t="shared" si="2"/>
        <v>81427.261733562729</v>
      </c>
    </row>
    <row r="172" spans="1:5" x14ac:dyDescent="0.25">
      <c r="A172" s="15">
        <v>39134</v>
      </c>
      <c r="B172" s="13" t="s">
        <v>1224</v>
      </c>
      <c r="C172" s="22">
        <v>298832452</v>
      </c>
      <c r="D172" s="14">
        <v>4290.0726000000004</v>
      </c>
      <c r="E172" s="16">
        <f t="shared" si="2"/>
        <v>69656.735412822614</v>
      </c>
    </row>
    <row r="173" spans="1:5" x14ac:dyDescent="0.25">
      <c r="A173" s="15">
        <v>39135</v>
      </c>
      <c r="B173" s="13" t="s">
        <v>1225</v>
      </c>
      <c r="C173" s="22">
        <v>53281289</v>
      </c>
      <c r="D173" s="14">
        <v>774.5489</v>
      </c>
      <c r="E173" s="16">
        <f t="shared" si="2"/>
        <v>68790.090593376357</v>
      </c>
    </row>
    <row r="174" spans="1:5" x14ac:dyDescent="0.25">
      <c r="A174" s="15">
        <v>39136</v>
      </c>
      <c r="B174" s="13" t="s">
        <v>1226</v>
      </c>
      <c r="C174" s="22">
        <v>17687085</v>
      </c>
      <c r="D174" s="14">
        <v>244.4247</v>
      </c>
      <c r="E174" s="16">
        <f t="shared" si="2"/>
        <v>72362.101702487518</v>
      </c>
    </row>
    <row r="175" spans="1:5" x14ac:dyDescent="0.25">
      <c r="A175" s="15">
        <v>39137</v>
      </c>
      <c r="B175" s="13" t="s">
        <v>1227</v>
      </c>
      <c r="C175" s="22">
        <v>170065847</v>
      </c>
      <c r="D175" s="14">
        <v>1141.5038</v>
      </c>
      <c r="E175" s="16">
        <f t="shared" si="2"/>
        <v>148984.03929973778</v>
      </c>
    </row>
    <row r="176" spans="1:5" x14ac:dyDescent="0.25">
      <c r="A176" s="15">
        <v>39139</v>
      </c>
      <c r="B176" s="13" t="s">
        <v>1228</v>
      </c>
      <c r="C176" s="22">
        <v>212856104</v>
      </c>
      <c r="D176" s="14">
        <v>2059.8278</v>
      </c>
      <c r="E176" s="16">
        <f t="shared" si="2"/>
        <v>103336.84398278341</v>
      </c>
    </row>
    <row r="177" spans="1:5" x14ac:dyDescent="0.25">
      <c r="A177" s="15">
        <v>39141</v>
      </c>
      <c r="B177" s="13" t="s">
        <v>1229</v>
      </c>
      <c r="C177" s="22">
        <v>3269232180</v>
      </c>
      <c r="D177" s="14">
        <v>22711.3704</v>
      </c>
      <c r="E177" s="16">
        <f t="shared" si="2"/>
        <v>143946.93593654744</v>
      </c>
    </row>
    <row r="178" spans="1:5" x14ac:dyDescent="0.25">
      <c r="A178" s="15">
        <v>39142</v>
      </c>
      <c r="B178" s="13" t="s">
        <v>1230</v>
      </c>
      <c r="C178" s="22">
        <v>61913839</v>
      </c>
      <c r="D178" s="14">
        <v>1059.7231999999999</v>
      </c>
      <c r="E178" s="16">
        <f t="shared" si="2"/>
        <v>58424.538596493883</v>
      </c>
    </row>
    <row r="179" spans="1:5" x14ac:dyDescent="0.25">
      <c r="A179" s="15">
        <v>40100</v>
      </c>
      <c r="B179" s="13" t="s">
        <v>1231</v>
      </c>
      <c r="C179" s="22">
        <v>11598390</v>
      </c>
      <c r="D179" s="14">
        <v>139.2441</v>
      </c>
      <c r="E179" s="16">
        <f t="shared" si="2"/>
        <v>83295.378403824652</v>
      </c>
    </row>
    <row r="180" spans="1:5" x14ac:dyDescent="0.25">
      <c r="A180" s="15">
        <v>40101</v>
      </c>
      <c r="B180" s="13" t="s">
        <v>1232</v>
      </c>
      <c r="C180" s="22">
        <v>3834873</v>
      </c>
      <c r="D180" s="14">
        <v>43.564</v>
      </c>
      <c r="E180" s="16">
        <f t="shared" si="2"/>
        <v>88028.486823983112</v>
      </c>
    </row>
    <row r="181" spans="1:5" x14ac:dyDescent="0.25">
      <c r="A181" s="15">
        <v>40103</v>
      </c>
      <c r="B181" s="13" t="s">
        <v>1233</v>
      </c>
      <c r="C181" s="22">
        <v>8699409</v>
      </c>
      <c r="D181" s="14">
        <v>73.433300000000003</v>
      </c>
      <c r="E181" s="16">
        <f t="shared" si="2"/>
        <v>118466.81274026906</v>
      </c>
    </row>
    <row r="182" spans="1:5" x14ac:dyDescent="0.25">
      <c r="A182" s="15">
        <v>40104</v>
      </c>
      <c r="B182" s="13" t="s">
        <v>1234</v>
      </c>
      <c r="C182" s="22">
        <v>5238697</v>
      </c>
      <c r="D182" s="14">
        <v>80.285600000000002</v>
      </c>
      <c r="E182" s="16">
        <f t="shared" si="2"/>
        <v>65250.76726087866</v>
      </c>
    </row>
    <row r="183" spans="1:5" x14ac:dyDescent="0.25">
      <c r="A183" s="15">
        <v>40107</v>
      </c>
      <c r="B183" s="13" t="s">
        <v>1235</v>
      </c>
      <c r="C183" s="22">
        <v>71054914</v>
      </c>
      <c r="D183" s="14">
        <v>1176.3248000000001</v>
      </c>
      <c r="E183" s="16">
        <f t="shared" si="2"/>
        <v>60404.162183777808</v>
      </c>
    </row>
    <row r="184" spans="1:5" x14ac:dyDescent="0.25">
      <c r="A184" s="15">
        <v>41001</v>
      </c>
      <c r="B184" s="13" t="s">
        <v>1236</v>
      </c>
      <c r="C184" s="22">
        <v>5245292</v>
      </c>
      <c r="D184" s="14">
        <v>81.023200000000003</v>
      </c>
      <c r="E184" s="16">
        <f t="shared" si="2"/>
        <v>64738.149073351829</v>
      </c>
    </row>
    <row r="185" spans="1:5" x14ac:dyDescent="0.25">
      <c r="A185" s="15">
        <v>41002</v>
      </c>
      <c r="B185" s="13" t="s">
        <v>1237</v>
      </c>
      <c r="C185" s="22">
        <v>59057320</v>
      </c>
      <c r="D185" s="14">
        <v>813.84130000000005</v>
      </c>
      <c r="E185" s="16">
        <f t="shared" si="2"/>
        <v>72566.137894451895</v>
      </c>
    </row>
    <row r="186" spans="1:5" x14ac:dyDescent="0.25">
      <c r="A186" s="15">
        <v>41003</v>
      </c>
      <c r="B186" s="13" t="s">
        <v>1238</v>
      </c>
      <c r="C186" s="22">
        <v>15856836</v>
      </c>
      <c r="D186" s="14">
        <v>208.91679999999999</v>
      </c>
      <c r="E186" s="16">
        <f t="shared" si="2"/>
        <v>75900.243541926742</v>
      </c>
    </row>
    <row r="187" spans="1:5" x14ac:dyDescent="0.25">
      <c r="A187" s="15">
        <v>41004</v>
      </c>
      <c r="B187" s="13" t="s">
        <v>1239</v>
      </c>
      <c r="C187" s="22">
        <v>9879030</v>
      </c>
      <c r="D187" s="14">
        <v>114.31950000000001</v>
      </c>
      <c r="E187" s="16">
        <f t="shared" si="2"/>
        <v>86415.965780116254</v>
      </c>
    </row>
    <row r="188" spans="1:5" x14ac:dyDescent="0.25">
      <c r="A188" s="15">
        <v>41005</v>
      </c>
      <c r="B188" s="13" t="s">
        <v>1240</v>
      </c>
      <c r="C188" s="22">
        <v>6734268</v>
      </c>
      <c r="D188" s="14">
        <v>97.809899999999999</v>
      </c>
      <c r="E188" s="16">
        <f t="shared" si="2"/>
        <v>68850.576475387468</v>
      </c>
    </row>
    <row r="189" spans="1:5" x14ac:dyDescent="0.25">
      <c r="A189" s="15">
        <v>42111</v>
      </c>
      <c r="B189" s="13" t="s">
        <v>1241</v>
      </c>
      <c r="C189" s="22">
        <v>41159139</v>
      </c>
      <c r="D189" s="14">
        <v>664.29309999999998</v>
      </c>
      <c r="E189" s="16">
        <f t="shared" si="2"/>
        <v>61959.305312669967</v>
      </c>
    </row>
    <row r="190" spans="1:5" x14ac:dyDescent="0.25">
      <c r="A190" s="15">
        <v>42113</v>
      </c>
      <c r="B190" s="13" t="s">
        <v>1242</v>
      </c>
      <c r="C190" s="22">
        <v>8952200</v>
      </c>
      <c r="D190" s="14">
        <v>77.185599999999994</v>
      </c>
      <c r="E190" s="16">
        <f t="shared" si="2"/>
        <v>115982.77398893058</v>
      </c>
    </row>
    <row r="191" spans="1:5" x14ac:dyDescent="0.25">
      <c r="A191" s="15">
        <v>42117</v>
      </c>
      <c r="B191" s="13" t="s">
        <v>1243</v>
      </c>
      <c r="C191" s="22">
        <v>9425695</v>
      </c>
      <c r="D191" s="14">
        <v>138.8742</v>
      </c>
      <c r="E191" s="16">
        <f t="shared" si="2"/>
        <v>67872.182161985445</v>
      </c>
    </row>
    <row r="192" spans="1:5" x14ac:dyDescent="0.25">
      <c r="A192" s="15">
        <v>42118</v>
      </c>
      <c r="B192" s="13" t="s">
        <v>1244</v>
      </c>
      <c r="C192" s="22">
        <v>14863015</v>
      </c>
      <c r="D192" s="14">
        <v>107.7794</v>
      </c>
      <c r="E192" s="16">
        <f t="shared" si="2"/>
        <v>137902.18724542909</v>
      </c>
    </row>
    <row r="193" spans="1:5" x14ac:dyDescent="0.25">
      <c r="A193" s="15">
        <v>42119</v>
      </c>
      <c r="B193" s="13" t="s">
        <v>1245</v>
      </c>
      <c r="C193" s="22">
        <v>16537049</v>
      </c>
      <c r="D193" s="14">
        <v>39.56</v>
      </c>
      <c r="E193" s="16">
        <f t="shared" si="2"/>
        <v>418024.4944388271</v>
      </c>
    </row>
    <row r="194" spans="1:5" x14ac:dyDescent="0.25">
      <c r="A194" s="15">
        <v>42121</v>
      </c>
      <c r="B194" s="13" t="s">
        <v>1246</v>
      </c>
      <c r="C194" s="22">
        <v>10281429</v>
      </c>
      <c r="D194" s="14">
        <v>77.392200000000003</v>
      </c>
      <c r="E194" s="16">
        <f t="shared" si="2"/>
        <v>132848.38782202857</v>
      </c>
    </row>
    <row r="195" spans="1:5" x14ac:dyDescent="0.25">
      <c r="A195" s="15">
        <v>42124</v>
      </c>
      <c r="B195" s="13" t="s">
        <v>1247</v>
      </c>
      <c r="C195" s="22">
        <v>157189529</v>
      </c>
      <c r="D195" s="14">
        <v>1566.6069</v>
      </c>
      <c r="E195" s="16">
        <f t="shared" ref="E195:E258" si="3">C195/D195</f>
        <v>100337.56968643506</v>
      </c>
    </row>
    <row r="196" spans="1:5" x14ac:dyDescent="0.25">
      <c r="A196" s="15">
        <v>43001</v>
      </c>
      <c r="B196" s="13" t="s">
        <v>1248</v>
      </c>
      <c r="C196" s="22">
        <v>38821966</v>
      </c>
      <c r="D196" s="14">
        <v>696.76469999999995</v>
      </c>
      <c r="E196" s="16">
        <f t="shared" si="3"/>
        <v>55717.46961348645</v>
      </c>
    </row>
    <row r="197" spans="1:5" x14ac:dyDescent="0.25">
      <c r="A197" s="15">
        <v>43002</v>
      </c>
      <c r="B197" s="13" t="s">
        <v>1249</v>
      </c>
      <c r="C197" s="22">
        <v>32932896</v>
      </c>
      <c r="D197" s="14">
        <v>255.32900000000001</v>
      </c>
      <c r="E197" s="16">
        <f t="shared" si="3"/>
        <v>128982.19943680507</v>
      </c>
    </row>
    <row r="198" spans="1:5" x14ac:dyDescent="0.25">
      <c r="A198" s="15">
        <v>43003</v>
      </c>
      <c r="B198" s="13" t="s">
        <v>1250</v>
      </c>
      <c r="C198" s="22">
        <v>21213850</v>
      </c>
      <c r="D198" s="14">
        <v>310.3023</v>
      </c>
      <c r="E198" s="16">
        <f t="shared" si="3"/>
        <v>68365.107187410467</v>
      </c>
    </row>
    <row r="199" spans="1:5" x14ac:dyDescent="0.25">
      <c r="A199" s="15">
        <v>43004</v>
      </c>
      <c r="B199" s="13" t="s">
        <v>1251</v>
      </c>
      <c r="C199" s="22">
        <v>38606283</v>
      </c>
      <c r="D199" s="14">
        <v>264.5138</v>
      </c>
      <c r="E199" s="16">
        <f t="shared" si="3"/>
        <v>145951.86716156208</v>
      </c>
    </row>
    <row r="200" spans="1:5" x14ac:dyDescent="0.25">
      <c r="A200" s="15">
        <v>44078</v>
      </c>
      <c r="B200" s="13" t="s">
        <v>1252</v>
      </c>
      <c r="C200" s="22">
        <v>19418070</v>
      </c>
      <c r="D200" s="14">
        <v>64.5625</v>
      </c>
      <c r="E200" s="16">
        <f t="shared" si="3"/>
        <v>300763.9109390126</v>
      </c>
    </row>
    <row r="201" spans="1:5" x14ac:dyDescent="0.25">
      <c r="A201" s="15">
        <v>44083</v>
      </c>
      <c r="B201" s="13" t="s">
        <v>1253</v>
      </c>
      <c r="C201" s="22">
        <v>27012935</v>
      </c>
      <c r="D201" s="14">
        <v>245.95089999999999</v>
      </c>
      <c r="E201" s="16">
        <f t="shared" si="3"/>
        <v>109830.60033527018</v>
      </c>
    </row>
    <row r="202" spans="1:5" x14ac:dyDescent="0.25">
      <c r="A202" s="15">
        <v>44084</v>
      </c>
      <c r="B202" s="13" t="s">
        <v>1254</v>
      </c>
      <c r="C202" s="22">
        <v>28250784</v>
      </c>
      <c r="D202" s="14">
        <v>240.94309999999999</v>
      </c>
      <c r="E202" s="16">
        <f t="shared" si="3"/>
        <v>117250.85300222335</v>
      </c>
    </row>
    <row r="203" spans="1:5" x14ac:dyDescent="0.25">
      <c r="A203" s="15">
        <v>45076</v>
      </c>
      <c r="B203" s="13" t="s">
        <v>1255</v>
      </c>
      <c r="C203" s="22">
        <v>25022605</v>
      </c>
      <c r="D203" s="14">
        <v>423.23750000000001</v>
      </c>
      <c r="E203" s="16">
        <f t="shared" si="3"/>
        <v>59121.899642635632</v>
      </c>
    </row>
    <row r="204" spans="1:5" x14ac:dyDescent="0.25">
      <c r="A204" s="15">
        <v>45077</v>
      </c>
      <c r="B204" s="13" t="s">
        <v>1256</v>
      </c>
      <c r="C204" s="22">
        <v>46203943</v>
      </c>
      <c r="D204" s="14">
        <v>601.60910000000001</v>
      </c>
      <c r="E204" s="16">
        <f t="shared" si="3"/>
        <v>76800.605243504455</v>
      </c>
    </row>
    <row r="205" spans="1:5" x14ac:dyDescent="0.25">
      <c r="A205" s="15">
        <v>45078</v>
      </c>
      <c r="B205" s="13" t="s">
        <v>1257</v>
      </c>
      <c r="C205" s="22">
        <v>22415171</v>
      </c>
      <c r="D205" s="14">
        <v>235.22030000000001</v>
      </c>
      <c r="E205" s="16">
        <f t="shared" si="3"/>
        <v>95294.37297716226</v>
      </c>
    </row>
    <row r="206" spans="1:5" x14ac:dyDescent="0.25">
      <c r="A206" s="15">
        <v>46128</v>
      </c>
      <c r="B206" s="13" t="s">
        <v>1258</v>
      </c>
      <c r="C206" s="22">
        <v>23206138</v>
      </c>
      <c r="D206" s="14">
        <v>294.36799999999999</v>
      </c>
      <c r="E206" s="16">
        <f t="shared" si="3"/>
        <v>78833.765898467231</v>
      </c>
    </row>
    <row r="207" spans="1:5" x14ac:dyDescent="0.25">
      <c r="A207" s="15">
        <v>46130</v>
      </c>
      <c r="B207" s="13" t="s">
        <v>1259</v>
      </c>
      <c r="C207" s="22">
        <v>64414422</v>
      </c>
      <c r="D207" s="14">
        <v>1146.0264</v>
      </c>
      <c r="E207" s="16">
        <f t="shared" si="3"/>
        <v>56206.752305182497</v>
      </c>
    </row>
    <row r="208" spans="1:5" x14ac:dyDescent="0.25">
      <c r="A208" s="15">
        <v>46131</v>
      </c>
      <c r="B208" s="13" t="s">
        <v>1260</v>
      </c>
      <c r="C208" s="22">
        <v>66921338</v>
      </c>
      <c r="D208" s="14">
        <v>1240.8101999999999</v>
      </c>
      <c r="E208" s="16">
        <f t="shared" si="3"/>
        <v>53933.581461532158</v>
      </c>
    </row>
    <row r="209" spans="1:5" x14ac:dyDescent="0.25">
      <c r="A209" s="15">
        <v>46132</v>
      </c>
      <c r="B209" s="13" t="s">
        <v>1261</v>
      </c>
      <c r="C209" s="22">
        <v>37568250</v>
      </c>
      <c r="D209" s="14">
        <v>577.56349999999998</v>
      </c>
      <c r="E209" s="16">
        <f t="shared" si="3"/>
        <v>65046.094498700142</v>
      </c>
    </row>
    <row r="210" spans="1:5" x14ac:dyDescent="0.25">
      <c r="A210" s="15">
        <v>46134</v>
      </c>
      <c r="B210" s="13" t="s">
        <v>1262</v>
      </c>
      <c r="C210" s="22">
        <v>142171310</v>
      </c>
      <c r="D210" s="14">
        <v>1863.4493</v>
      </c>
      <c r="E210" s="16">
        <f t="shared" si="3"/>
        <v>76294.702517530255</v>
      </c>
    </row>
    <row r="211" spans="1:5" x14ac:dyDescent="0.25">
      <c r="A211" s="15">
        <v>46135</v>
      </c>
      <c r="B211" s="13" t="s">
        <v>1263</v>
      </c>
      <c r="C211" s="22">
        <v>24912990</v>
      </c>
      <c r="D211" s="14">
        <v>361.51850000000002</v>
      </c>
      <c r="E211" s="16">
        <f t="shared" si="3"/>
        <v>68912.075039036732</v>
      </c>
    </row>
    <row r="212" spans="1:5" x14ac:dyDescent="0.25">
      <c r="A212" s="15">
        <v>46137</v>
      </c>
      <c r="B212" s="13" t="s">
        <v>1264</v>
      </c>
      <c r="C212" s="22">
        <v>16427990</v>
      </c>
      <c r="D212" s="14">
        <v>259.71179999999998</v>
      </c>
      <c r="E212" s="16">
        <f t="shared" si="3"/>
        <v>63254.692316637142</v>
      </c>
    </row>
    <row r="213" spans="1:5" x14ac:dyDescent="0.25">
      <c r="A213" s="15">
        <v>46140</v>
      </c>
      <c r="B213" s="13" t="s">
        <v>1265</v>
      </c>
      <c r="C213" s="22">
        <v>41766937</v>
      </c>
      <c r="D213" s="14">
        <v>670.81889999999999</v>
      </c>
      <c r="E213" s="16">
        <f t="shared" si="3"/>
        <v>62262.612159556033</v>
      </c>
    </row>
    <row r="214" spans="1:5" x14ac:dyDescent="0.25">
      <c r="A214" s="15">
        <v>47060</v>
      </c>
      <c r="B214" s="13" t="s">
        <v>1266</v>
      </c>
      <c r="C214" s="22">
        <v>28047588</v>
      </c>
      <c r="D214" s="14">
        <v>346.94510000000002</v>
      </c>
      <c r="E214" s="16">
        <f t="shared" si="3"/>
        <v>80841.574070364441</v>
      </c>
    </row>
    <row r="215" spans="1:5" x14ac:dyDescent="0.25">
      <c r="A215" s="15">
        <v>47062</v>
      </c>
      <c r="B215" s="13" t="s">
        <v>1267</v>
      </c>
      <c r="C215" s="22">
        <v>43429874</v>
      </c>
      <c r="D215" s="14">
        <v>931.90200000000004</v>
      </c>
      <c r="E215" s="16">
        <f t="shared" si="3"/>
        <v>46603.477618891251</v>
      </c>
    </row>
    <row r="216" spans="1:5" x14ac:dyDescent="0.25">
      <c r="A216" s="15">
        <v>47064</v>
      </c>
      <c r="B216" s="13" t="s">
        <v>1268</v>
      </c>
      <c r="C216" s="22">
        <v>8941220</v>
      </c>
      <c r="D216" s="14">
        <v>150.07759999999999</v>
      </c>
      <c r="E216" s="16">
        <f t="shared" si="3"/>
        <v>59577.312003923311</v>
      </c>
    </row>
    <row r="217" spans="1:5" x14ac:dyDescent="0.25">
      <c r="A217" s="15">
        <v>47065</v>
      </c>
      <c r="B217" s="13" t="s">
        <v>1269</v>
      </c>
      <c r="C217" s="22">
        <v>90902327</v>
      </c>
      <c r="D217" s="14">
        <v>396.14850000000001</v>
      </c>
      <c r="E217" s="16">
        <f t="shared" si="3"/>
        <v>229465.28132758295</v>
      </c>
    </row>
    <row r="218" spans="1:5" x14ac:dyDescent="0.25">
      <c r="A218" s="15">
        <v>48066</v>
      </c>
      <c r="B218" s="13" t="s">
        <v>1270</v>
      </c>
      <c r="C218" s="22">
        <v>259002207</v>
      </c>
      <c r="D218" s="14">
        <v>4684.2457000000004</v>
      </c>
      <c r="E218" s="16">
        <f t="shared" si="3"/>
        <v>55292.190800324584</v>
      </c>
    </row>
    <row r="219" spans="1:5" x14ac:dyDescent="0.25">
      <c r="A219" s="15">
        <v>48068</v>
      </c>
      <c r="B219" s="13" t="s">
        <v>1271</v>
      </c>
      <c r="C219" s="22">
        <v>1216723859</v>
      </c>
      <c r="D219" s="14">
        <v>13490.9154</v>
      </c>
      <c r="E219" s="16">
        <f t="shared" si="3"/>
        <v>90188.384029151945</v>
      </c>
    </row>
    <row r="220" spans="1:5" x14ac:dyDescent="0.25">
      <c r="A220" s="15">
        <v>48069</v>
      </c>
      <c r="B220" s="13" t="s">
        <v>1272</v>
      </c>
      <c r="C220" s="22">
        <v>243331311</v>
      </c>
      <c r="D220" s="14">
        <v>3522.2847000000002</v>
      </c>
      <c r="E220" s="16">
        <f t="shared" si="3"/>
        <v>69083.37392488461</v>
      </c>
    </row>
    <row r="221" spans="1:5" x14ac:dyDescent="0.25">
      <c r="A221" s="15">
        <v>48070</v>
      </c>
      <c r="B221" s="13" t="s">
        <v>1273</v>
      </c>
      <c r="C221" s="22">
        <v>120271467</v>
      </c>
      <c r="D221" s="14">
        <v>1940.1713</v>
      </c>
      <c r="E221" s="16">
        <f t="shared" si="3"/>
        <v>61990.127882007124</v>
      </c>
    </row>
    <row r="222" spans="1:5" x14ac:dyDescent="0.25">
      <c r="A222" s="15">
        <v>48071</v>
      </c>
      <c r="B222" s="13" t="s">
        <v>1274</v>
      </c>
      <c r="C222" s="22">
        <v>1620817669</v>
      </c>
      <c r="D222" s="14">
        <v>16775.3894</v>
      </c>
      <c r="E222" s="16">
        <f t="shared" si="3"/>
        <v>96618.780664489372</v>
      </c>
    </row>
    <row r="223" spans="1:5" x14ac:dyDescent="0.25">
      <c r="A223" s="15">
        <v>48072</v>
      </c>
      <c r="B223" s="13" t="s">
        <v>1275</v>
      </c>
      <c r="C223" s="22">
        <v>365277816</v>
      </c>
      <c r="D223" s="14">
        <v>5764.0379000000003</v>
      </c>
      <c r="E223" s="16">
        <f t="shared" si="3"/>
        <v>63371.862284250419</v>
      </c>
    </row>
    <row r="224" spans="1:5" x14ac:dyDescent="0.25">
      <c r="A224" s="15">
        <v>48073</v>
      </c>
      <c r="B224" s="13" t="s">
        <v>1276</v>
      </c>
      <c r="C224" s="22">
        <v>617339470</v>
      </c>
      <c r="D224" s="14">
        <v>8229.3654999999999</v>
      </c>
      <c r="E224" s="16">
        <f t="shared" si="3"/>
        <v>75016.654686196649</v>
      </c>
    </row>
    <row r="225" spans="1:5" x14ac:dyDescent="0.25">
      <c r="A225" s="15">
        <v>48074</v>
      </c>
      <c r="B225" s="13" t="s">
        <v>1277</v>
      </c>
      <c r="C225" s="22">
        <v>424351578</v>
      </c>
      <c r="D225" s="14">
        <v>3577.0814</v>
      </c>
      <c r="E225" s="16">
        <f t="shared" si="3"/>
        <v>118630.67415798813</v>
      </c>
    </row>
    <row r="226" spans="1:5" x14ac:dyDescent="0.25">
      <c r="A226" s="15">
        <v>48075</v>
      </c>
      <c r="B226" s="13" t="s">
        <v>1278</v>
      </c>
      <c r="C226" s="22">
        <v>48545393</v>
      </c>
      <c r="D226" s="14">
        <v>521.59410000000003</v>
      </c>
      <c r="E226" s="16">
        <f t="shared" si="3"/>
        <v>93071.208052391696</v>
      </c>
    </row>
    <row r="227" spans="1:5" x14ac:dyDescent="0.25">
      <c r="A227" s="15">
        <v>48077</v>
      </c>
      <c r="B227" s="13" t="s">
        <v>1279</v>
      </c>
      <c r="C227" s="22">
        <v>931212531</v>
      </c>
      <c r="D227" s="14">
        <v>13770.6643</v>
      </c>
      <c r="E227" s="16">
        <f t="shared" si="3"/>
        <v>67622.920050414701</v>
      </c>
    </row>
    <row r="228" spans="1:5" x14ac:dyDescent="0.25">
      <c r="A228" s="15">
        <v>48078</v>
      </c>
      <c r="B228" s="13" t="s">
        <v>1280</v>
      </c>
      <c r="C228" s="22">
        <v>2747076379</v>
      </c>
      <c r="D228" s="14">
        <v>13765.6675</v>
      </c>
      <c r="E228" s="16">
        <f t="shared" si="3"/>
        <v>199559.9834879057</v>
      </c>
    </row>
    <row r="229" spans="1:5" x14ac:dyDescent="0.25">
      <c r="A229" s="15">
        <v>48080</v>
      </c>
      <c r="B229" s="13" t="s">
        <v>1281</v>
      </c>
      <c r="C229" s="22">
        <v>386553164</v>
      </c>
      <c r="D229" s="14">
        <v>2149.5578999999998</v>
      </c>
      <c r="E229" s="16">
        <f t="shared" si="3"/>
        <v>179829.14719347641</v>
      </c>
    </row>
    <row r="230" spans="1:5" x14ac:dyDescent="0.25">
      <c r="A230" s="15">
        <v>49132</v>
      </c>
      <c r="B230" s="13" t="s">
        <v>1282</v>
      </c>
      <c r="C230" s="22">
        <v>211323411</v>
      </c>
      <c r="D230" s="14">
        <v>3121.5340000000001</v>
      </c>
      <c r="E230" s="16">
        <f t="shared" si="3"/>
        <v>67698.577366128316</v>
      </c>
    </row>
    <row r="231" spans="1:5" x14ac:dyDescent="0.25">
      <c r="A231" s="15">
        <v>49135</v>
      </c>
      <c r="B231" s="13" t="s">
        <v>1283</v>
      </c>
      <c r="C231" s="22">
        <v>18975955</v>
      </c>
      <c r="D231" s="14">
        <v>209.11490000000001</v>
      </c>
      <c r="E231" s="16">
        <f t="shared" si="3"/>
        <v>90744.155485811862</v>
      </c>
    </row>
    <row r="232" spans="1:5" x14ac:dyDescent="0.25">
      <c r="A232" s="15">
        <v>49137</v>
      </c>
      <c r="B232" s="13" t="s">
        <v>1284</v>
      </c>
      <c r="C232" s="22">
        <v>34466551</v>
      </c>
      <c r="D232" s="14">
        <v>454.86489999999998</v>
      </c>
      <c r="E232" s="16">
        <f t="shared" si="3"/>
        <v>75773.160338377405</v>
      </c>
    </row>
    <row r="233" spans="1:5" x14ac:dyDescent="0.25">
      <c r="A233" s="15">
        <v>49140</v>
      </c>
      <c r="B233" s="13" t="s">
        <v>1285</v>
      </c>
      <c r="C233" s="22">
        <v>34045672</v>
      </c>
      <c r="D233" s="14">
        <v>786.71820000000002</v>
      </c>
      <c r="E233" s="16">
        <f t="shared" si="3"/>
        <v>43275.561694136479</v>
      </c>
    </row>
    <row r="234" spans="1:5" x14ac:dyDescent="0.25">
      <c r="A234" s="15">
        <v>49142</v>
      </c>
      <c r="B234" s="13" t="s">
        <v>1286</v>
      </c>
      <c r="C234" s="22">
        <v>280438064</v>
      </c>
      <c r="D234" s="14">
        <v>4130.6454999999996</v>
      </c>
      <c r="E234" s="16">
        <f t="shared" si="3"/>
        <v>67892.067716776961</v>
      </c>
    </row>
    <row r="235" spans="1:5" x14ac:dyDescent="0.25">
      <c r="A235" s="15">
        <v>49144</v>
      </c>
      <c r="B235" s="13" t="s">
        <v>1287</v>
      </c>
      <c r="C235" s="22">
        <v>210171356</v>
      </c>
      <c r="D235" s="14">
        <v>4010.3984</v>
      </c>
      <c r="E235" s="16">
        <f t="shared" si="3"/>
        <v>52406.602795373146</v>
      </c>
    </row>
    <row r="236" spans="1:5" x14ac:dyDescent="0.25">
      <c r="A236" s="15">
        <v>49148</v>
      </c>
      <c r="B236" s="13" t="s">
        <v>1288</v>
      </c>
      <c r="C236" s="22">
        <v>828341322</v>
      </c>
      <c r="D236" s="14">
        <v>7101.5027</v>
      </c>
      <c r="E236" s="16">
        <f t="shared" si="3"/>
        <v>116643.10456433397</v>
      </c>
    </row>
    <row r="237" spans="1:5" x14ac:dyDescent="0.25">
      <c r="A237" s="15">
        <v>50001</v>
      </c>
      <c r="B237" s="13" t="s">
        <v>1289</v>
      </c>
      <c r="C237" s="22">
        <v>544356246</v>
      </c>
      <c r="D237" s="14">
        <v>6512.9960000000001</v>
      </c>
      <c r="E237" s="16">
        <f t="shared" si="3"/>
        <v>83580.006190699336</v>
      </c>
    </row>
    <row r="238" spans="1:5" x14ac:dyDescent="0.25">
      <c r="A238" s="15">
        <v>50002</v>
      </c>
      <c r="B238" s="13" t="s">
        <v>1290</v>
      </c>
      <c r="C238" s="22">
        <v>48874154</v>
      </c>
      <c r="D238" s="14">
        <v>668.79290000000003</v>
      </c>
      <c r="E238" s="16">
        <f t="shared" si="3"/>
        <v>73078.159173041451</v>
      </c>
    </row>
    <row r="239" spans="1:5" x14ac:dyDescent="0.25">
      <c r="A239" s="15">
        <v>50003</v>
      </c>
      <c r="B239" s="13" t="s">
        <v>1291</v>
      </c>
      <c r="C239" s="22">
        <v>240255450</v>
      </c>
      <c r="D239" s="14">
        <v>3363.7819</v>
      </c>
      <c r="E239" s="16">
        <f t="shared" si="3"/>
        <v>71424.20559430444</v>
      </c>
    </row>
    <row r="240" spans="1:5" x14ac:dyDescent="0.25">
      <c r="A240" s="15">
        <v>50005</v>
      </c>
      <c r="B240" s="13" t="s">
        <v>1292</v>
      </c>
      <c r="C240" s="22">
        <v>159994873</v>
      </c>
      <c r="D240" s="14">
        <v>1373.3906999999999</v>
      </c>
      <c r="E240" s="16">
        <f t="shared" si="3"/>
        <v>116496.25485304365</v>
      </c>
    </row>
    <row r="241" spans="1:5" x14ac:dyDescent="0.25">
      <c r="A241" s="15">
        <v>50006</v>
      </c>
      <c r="B241" s="13" t="s">
        <v>1293</v>
      </c>
      <c r="C241" s="22">
        <v>240933059</v>
      </c>
      <c r="D241" s="14">
        <v>2909.7957999999999</v>
      </c>
      <c r="E241" s="16">
        <f t="shared" si="3"/>
        <v>82800.675909972793</v>
      </c>
    </row>
    <row r="242" spans="1:5" x14ac:dyDescent="0.25">
      <c r="A242" s="15">
        <v>50007</v>
      </c>
      <c r="B242" s="13" t="s">
        <v>1294</v>
      </c>
      <c r="C242" s="22">
        <v>181821815</v>
      </c>
      <c r="D242" s="14">
        <v>882.28330000000005</v>
      </c>
      <c r="E242" s="16">
        <f t="shared" si="3"/>
        <v>206080.98895218802</v>
      </c>
    </row>
    <row r="243" spans="1:5" x14ac:dyDescent="0.25">
      <c r="A243" s="15">
        <v>50009</v>
      </c>
      <c r="B243" s="13" t="s">
        <v>1295</v>
      </c>
      <c r="C243" s="22">
        <v>33302241</v>
      </c>
      <c r="D243" s="14">
        <v>375.1909</v>
      </c>
      <c r="E243" s="16">
        <f t="shared" si="3"/>
        <v>88760.790840076341</v>
      </c>
    </row>
    <row r="244" spans="1:5" x14ac:dyDescent="0.25">
      <c r="A244" s="15">
        <v>50010</v>
      </c>
      <c r="B244" s="13" t="s">
        <v>1296</v>
      </c>
      <c r="C244" s="22">
        <v>206292455</v>
      </c>
      <c r="D244" s="14">
        <v>2863.4135999999999</v>
      </c>
      <c r="E244" s="16">
        <f t="shared" si="3"/>
        <v>72044.23943505752</v>
      </c>
    </row>
    <row r="245" spans="1:5" x14ac:dyDescent="0.25">
      <c r="A245" s="15">
        <v>50012</v>
      </c>
      <c r="B245" s="13" t="s">
        <v>1297</v>
      </c>
      <c r="C245" s="22">
        <v>845568184</v>
      </c>
      <c r="D245" s="14">
        <v>11232.505800000001</v>
      </c>
      <c r="E245" s="16">
        <f t="shared" si="3"/>
        <v>75278.677710542557</v>
      </c>
    </row>
    <row r="246" spans="1:5" x14ac:dyDescent="0.25">
      <c r="A246" s="15">
        <v>50013</v>
      </c>
      <c r="B246" s="13" t="s">
        <v>1298</v>
      </c>
      <c r="C246" s="22">
        <v>58271010</v>
      </c>
      <c r="D246" s="14">
        <v>626.87040000000002</v>
      </c>
      <c r="E246" s="16">
        <f t="shared" si="3"/>
        <v>92955.433850441812</v>
      </c>
    </row>
    <row r="247" spans="1:5" x14ac:dyDescent="0.25">
      <c r="A247" s="15">
        <v>50014</v>
      </c>
      <c r="B247" s="13" t="s">
        <v>1299</v>
      </c>
      <c r="C247" s="22">
        <v>181619358</v>
      </c>
      <c r="D247" s="14">
        <v>2790.7226000000001</v>
      </c>
      <c r="E247" s="16">
        <f t="shared" si="3"/>
        <v>65079.688679913939</v>
      </c>
    </row>
    <row r="248" spans="1:5" x14ac:dyDescent="0.25">
      <c r="A248" s="15">
        <v>51150</v>
      </c>
      <c r="B248" s="13" t="s">
        <v>1300</v>
      </c>
      <c r="C248" s="22">
        <v>22391224</v>
      </c>
      <c r="D248" s="14">
        <v>254.88939999999999</v>
      </c>
      <c r="E248" s="16">
        <f t="shared" si="3"/>
        <v>87846.822974984447</v>
      </c>
    </row>
    <row r="249" spans="1:5" x14ac:dyDescent="0.25">
      <c r="A249" s="15">
        <v>51152</v>
      </c>
      <c r="B249" s="13" t="s">
        <v>1301</v>
      </c>
      <c r="C249" s="22">
        <v>87711593</v>
      </c>
      <c r="D249" s="14">
        <v>1274.1116</v>
      </c>
      <c r="E249" s="16">
        <f t="shared" si="3"/>
        <v>68841.373863953515</v>
      </c>
    </row>
    <row r="250" spans="1:5" x14ac:dyDescent="0.25">
      <c r="A250" s="15">
        <v>51153</v>
      </c>
      <c r="B250" s="13" t="s">
        <v>1302</v>
      </c>
      <c r="C250" s="22">
        <v>8833403</v>
      </c>
      <c r="D250" s="14">
        <v>146.23230000000001</v>
      </c>
      <c r="E250" s="16">
        <f t="shared" si="3"/>
        <v>60406.647505373294</v>
      </c>
    </row>
    <row r="251" spans="1:5" x14ac:dyDescent="0.25">
      <c r="A251" s="15">
        <v>51154</v>
      </c>
      <c r="B251" s="13" t="s">
        <v>1303</v>
      </c>
      <c r="C251" s="22">
        <v>35137098</v>
      </c>
      <c r="D251" s="14">
        <v>598.52859999999998</v>
      </c>
      <c r="E251" s="16">
        <f t="shared" si="3"/>
        <v>58705.796180834135</v>
      </c>
    </row>
    <row r="252" spans="1:5" x14ac:dyDescent="0.25">
      <c r="A252" s="15">
        <v>51155</v>
      </c>
      <c r="B252" s="13" t="s">
        <v>1304</v>
      </c>
      <c r="C252" s="22">
        <v>55347579</v>
      </c>
      <c r="D252" s="14">
        <v>1410.4245000000001</v>
      </c>
      <c r="E252" s="16">
        <f t="shared" si="3"/>
        <v>39241.787844723345</v>
      </c>
    </row>
    <row r="253" spans="1:5" x14ac:dyDescent="0.25">
      <c r="A253" s="15">
        <v>51156</v>
      </c>
      <c r="B253" s="13" t="s">
        <v>1305</v>
      </c>
      <c r="C253" s="22">
        <v>15160533</v>
      </c>
      <c r="D253" s="14">
        <v>293.19920000000002</v>
      </c>
      <c r="E253" s="16">
        <f t="shared" si="3"/>
        <v>51707.279556015157</v>
      </c>
    </row>
    <row r="254" spans="1:5" x14ac:dyDescent="0.25">
      <c r="A254" s="15">
        <v>51159</v>
      </c>
      <c r="B254" s="13" t="s">
        <v>1306</v>
      </c>
      <c r="C254" s="22">
        <v>256745346</v>
      </c>
      <c r="D254" s="14">
        <v>3174.0012999999999</v>
      </c>
      <c r="E254" s="16">
        <f t="shared" si="3"/>
        <v>80890.119988293649</v>
      </c>
    </row>
    <row r="255" spans="1:5" x14ac:dyDescent="0.25">
      <c r="A255" s="15">
        <v>52096</v>
      </c>
      <c r="B255" s="13" t="s">
        <v>1307</v>
      </c>
      <c r="C255" s="22">
        <v>59944067</v>
      </c>
      <c r="D255" s="14">
        <v>467.86900000000003</v>
      </c>
      <c r="E255" s="16">
        <f t="shared" si="3"/>
        <v>128121.47631067671</v>
      </c>
    </row>
    <row r="256" spans="1:5" x14ac:dyDescent="0.25">
      <c r="A256" s="15">
        <v>53111</v>
      </c>
      <c r="B256" s="13" t="s">
        <v>1308</v>
      </c>
      <c r="C256" s="22">
        <v>32179984</v>
      </c>
      <c r="D256" s="14">
        <v>777.94780000000003</v>
      </c>
      <c r="E256" s="16">
        <f t="shared" si="3"/>
        <v>41365.222705173794</v>
      </c>
    </row>
    <row r="257" spans="1:5" x14ac:dyDescent="0.25">
      <c r="A257" s="15">
        <v>53112</v>
      </c>
      <c r="B257" s="13" t="s">
        <v>1309</v>
      </c>
      <c r="C257" s="22">
        <v>8183417</v>
      </c>
      <c r="D257" s="14">
        <v>98.933499999999995</v>
      </c>
      <c r="E257" s="16">
        <f t="shared" si="3"/>
        <v>82716.339763578566</v>
      </c>
    </row>
    <row r="258" spans="1:5" x14ac:dyDescent="0.25">
      <c r="A258" s="15">
        <v>53113</v>
      </c>
      <c r="B258" s="13" t="s">
        <v>1310</v>
      </c>
      <c r="C258" s="22">
        <v>284106315</v>
      </c>
      <c r="D258" s="14">
        <v>4042.0617999999999</v>
      </c>
      <c r="E258" s="16">
        <f t="shared" si="3"/>
        <v>70287.474328076831</v>
      </c>
    </row>
    <row r="259" spans="1:5" x14ac:dyDescent="0.25">
      <c r="A259" s="15">
        <v>53114</v>
      </c>
      <c r="B259" s="13" t="s">
        <v>1311</v>
      </c>
      <c r="C259" s="22">
        <v>26847537</v>
      </c>
      <c r="D259" s="14">
        <v>635.76430000000005</v>
      </c>
      <c r="E259" s="16">
        <f t="shared" ref="E259:E322" si="4">C259/D259</f>
        <v>42228.758362179185</v>
      </c>
    </row>
    <row r="260" spans="1:5" x14ac:dyDescent="0.25">
      <c r="A260" s="15">
        <v>54037</v>
      </c>
      <c r="B260" s="13" t="s">
        <v>1312</v>
      </c>
      <c r="C260" s="22">
        <v>45181317</v>
      </c>
      <c r="D260" s="14">
        <v>451.23930000000001</v>
      </c>
      <c r="E260" s="16">
        <f t="shared" si="4"/>
        <v>100127.17642279828</v>
      </c>
    </row>
    <row r="261" spans="1:5" x14ac:dyDescent="0.25">
      <c r="A261" s="15">
        <v>54039</v>
      </c>
      <c r="B261" s="13" t="s">
        <v>1313</v>
      </c>
      <c r="C261" s="22">
        <v>64632265</v>
      </c>
      <c r="D261" s="14">
        <v>951.69619999999998</v>
      </c>
      <c r="E261" s="16">
        <f t="shared" si="4"/>
        <v>67912.70680706721</v>
      </c>
    </row>
    <row r="262" spans="1:5" x14ac:dyDescent="0.25">
      <c r="A262" s="15">
        <v>54041</v>
      </c>
      <c r="B262" s="13" t="s">
        <v>1314</v>
      </c>
      <c r="C262" s="22">
        <v>122003507</v>
      </c>
      <c r="D262" s="14">
        <v>1940.7805000000001</v>
      </c>
      <c r="E262" s="16">
        <f t="shared" si="4"/>
        <v>62863.11460775703</v>
      </c>
    </row>
    <row r="263" spans="1:5" x14ac:dyDescent="0.25">
      <c r="A263" s="15">
        <v>54042</v>
      </c>
      <c r="B263" s="13" t="s">
        <v>1315</v>
      </c>
      <c r="C263" s="22">
        <v>28857756</v>
      </c>
      <c r="D263" s="14">
        <v>343.69130000000001</v>
      </c>
      <c r="E263" s="16">
        <f t="shared" si="4"/>
        <v>83964.173663982758</v>
      </c>
    </row>
    <row r="264" spans="1:5" x14ac:dyDescent="0.25">
      <c r="A264" s="15">
        <v>54043</v>
      </c>
      <c r="B264" s="13" t="s">
        <v>1316</v>
      </c>
      <c r="C264" s="22">
        <v>25023837</v>
      </c>
      <c r="D264" s="14">
        <v>384.5564</v>
      </c>
      <c r="E264" s="16">
        <f t="shared" si="4"/>
        <v>65071.955635116203</v>
      </c>
    </row>
    <row r="265" spans="1:5" x14ac:dyDescent="0.25">
      <c r="A265" s="15">
        <v>54045</v>
      </c>
      <c r="B265" s="13" t="s">
        <v>1317</v>
      </c>
      <c r="C265" s="22">
        <v>53774214</v>
      </c>
      <c r="D265" s="14">
        <v>866.29759999999999</v>
      </c>
      <c r="E265" s="16">
        <f t="shared" si="4"/>
        <v>62073.603805435916</v>
      </c>
    </row>
    <row r="266" spans="1:5" x14ac:dyDescent="0.25">
      <c r="A266" s="15">
        <v>55104</v>
      </c>
      <c r="B266" s="13" t="s">
        <v>1318</v>
      </c>
      <c r="C266" s="22">
        <v>42856938</v>
      </c>
      <c r="D266" s="14">
        <v>496.1155</v>
      </c>
      <c r="E266" s="16">
        <f t="shared" si="4"/>
        <v>86385.001073338775</v>
      </c>
    </row>
    <row r="267" spans="1:5" x14ac:dyDescent="0.25">
      <c r="A267" s="15">
        <v>55105</v>
      </c>
      <c r="B267" s="13" t="s">
        <v>1319</v>
      </c>
      <c r="C267" s="22">
        <v>35494427</v>
      </c>
      <c r="D267" s="14">
        <v>645.74530000000004</v>
      </c>
      <c r="E267" s="16">
        <f t="shared" si="4"/>
        <v>54966.605254424612</v>
      </c>
    </row>
    <row r="268" spans="1:5" x14ac:dyDescent="0.25">
      <c r="A268" s="15">
        <v>55106</v>
      </c>
      <c r="B268" s="13" t="s">
        <v>1320</v>
      </c>
      <c r="C268" s="22">
        <v>35791850</v>
      </c>
      <c r="D268" s="14">
        <v>681.70809999999994</v>
      </c>
      <c r="E268" s="16">
        <f t="shared" si="4"/>
        <v>52503.190148393427</v>
      </c>
    </row>
    <row r="269" spans="1:5" x14ac:dyDescent="0.25">
      <c r="A269" s="15">
        <v>55108</v>
      </c>
      <c r="B269" s="13" t="s">
        <v>1321</v>
      </c>
      <c r="C269" s="22">
        <v>102264782</v>
      </c>
      <c r="D269" s="14">
        <v>1404.1251</v>
      </c>
      <c r="E269" s="16">
        <f t="shared" si="4"/>
        <v>72831.67432873325</v>
      </c>
    </row>
    <row r="270" spans="1:5" x14ac:dyDescent="0.25">
      <c r="A270" s="15">
        <v>55110</v>
      </c>
      <c r="B270" s="13" t="s">
        <v>1322</v>
      </c>
      <c r="C270" s="22">
        <v>104494724</v>
      </c>
      <c r="D270" s="14">
        <v>2005.8536999999999</v>
      </c>
      <c r="E270" s="16">
        <f t="shared" si="4"/>
        <v>52094.888076832329</v>
      </c>
    </row>
    <row r="271" spans="1:5" x14ac:dyDescent="0.25">
      <c r="A271" s="15">
        <v>55111</v>
      </c>
      <c r="B271" s="13" t="s">
        <v>1323</v>
      </c>
      <c r="C271" s="22">
        <v>27588959</v>
      </c>
      <c r="D271" s="14">
        <v>389.09440000000001</v>
      </c>
      <c r="E271" s="16">
        <f t="shared" si="4"/>
        <v>70905.566875287841</v>
      </c>
    </row>
    <row r="272" spans="1:5" x14ac:dyDescent="0.25">
      <c r="A272" s="15">
        <v>56015</v>
      </c>
      <c r="B272" s="13" t="s">
        <v>1324</v>
      </c>
      <c r="C272" s="22">
        <v>32540061</v>
      </c>
      <c r="D272" s="14">
        <v>489.58069999999998</v>
      </c>
      <c r="E272" s="16">
        <f t="shared" si="4"/>
        <v>66465.162944536016</v>
      </c>
    </row>
    <row r="273" spans="1:5" x14ac:dyDescent="0.25">
      <c r="A273" s="15">
        <v>56017</v>
      </c>
      <c r="B273" s="13" t="s">
        <v>1325</v>
      </c>
      <c r="C273" s="22">
        <v>67068936</v>
      </c>
      <c r="D273" s="14">
        <v>930.92529999999999</v>
      </c>
      <c r="E273" s="16">
        <f t="shared" si="4"/>
        <v>72045.454130422717</v>
      </c>
    </row>
    <row r="274" spans="1:5" x14ac:dyDescent="0.25">
      <c r="A274" s="15">
        <v>57001</v>
      </c>
      <c r="B274" s="13" t="s">
        <v>1326</v>
      </c>
      <c r="C274" s="22">
        <v>28062312</v>
      </c>
      <c r="D274" s="14">
        <v>365.66449999999998</v>
      </c>
      <c r="E274" s="16">
        <f t="shared" si="4"/>
        <v>76743.331660579584</v>
      </c>
    </row>
    <row r="275" spans="1:5" x14ac:dyDescent="0.25">
      <c r="A275" s="15">
        <v>57002</v>
      </c>
      <c r="B275" s="13" t="s">
        <v>1327</v>
      </c>
      <c r="C275" s="22">
        <v>42332756</v>
      </c>
      <c r="D275" s="14">
        <v>746.69619999999998</v>
      </c>
      <c r="E275" s="16">
        <f t="shared" si="4"/>
        <v>56693.412930184997</v>
      </c>
    </row>
    <row r="276" spans="1:5" x14ac:dyDescent="0.25">
      <c r="A276" s="15">
        <v>57003</v>
      </c>
      <c r="B276" s="13" t="s">
        <v>1328</v>
      </c>
      <c r="C276" s="22">
        <v>412340762</v>
      </c>
      <c r="D276" s="14">
        <v>5699.1917999999996</v>
      </c>
      <c r="E276" s="16">
        <f t="shared" si="4"/>
        <v>72350.743135193319</v>
      </c>
    </row>
    <row r="277" spans="1:5" x14ac:dyDescent="0.25">
      <c r="A277" s="15">
        <v>57004</v>
      </c>
      <c r="B277" s="13" t="s">
        <v>1329</v>
      </c>
      <c r="C277" s="22">
        <v>89259873</v>
      </c>
      <c r="D277" s="14">
        <v>1383.6024</v>
      </c>
      <c r="E277" s="16">
        <f t="shared" si="4"/>
        <v>64512.661296337734</v>
      </c>
    </row>
    <row r="278" spans="1:5" x14ac:dyDescent="0.25">
      <c r="A278" s="15">
        <v>58106</v>
      </c>
      <c r="B278" s="13" t="s">
        <v>1330</v>
      </c>
      <c r="C278" s="22">
        <v>16266613</v>
      </c>
      <c r="D278" s="14">
        <v>234.7449</v>
      </c>
      <c r="E278" s="16">
        <f t="shared" si="4"/>
        <v>69294.851560140392</v>
      </c>
    </row>
    <row r="279" spans="1:5" x14ac:dyDescent="0.25">
      <c r="A279" s="15">
        <v>58107</v>
      </c>
      <c r="B279" s="13" t="s">
        <v>1331</v>
      </c>
      <c r="C279" s="22">
        <v>9974088</v>
      </c>
      <c r="D279" s="14">
        <v>140.434</v>
      </c>
      <c r="E279" s="16">
        <f t="shared" si="4"/>
        <v>71023.313442613609</v>
      </c>
    </row>
    <row r="280" spans="1:5" x14ac:dyDescent="0.25">
      <c r="A280" s="15">
        <v>58108</v>
      </c>
      <c r="B280" s="13" t="s">
        <v>1332</v>
      </c>
      <c r="C280" s="22">
        <v>14534647</v>
      </c>
      <c r="D280" s="14">
        <v>232.40979999999999</v>
      </c>
      <c r="E280" s="16">
        <f t="shared" si="4"/>
        <v>62538.873145624668</v>
      </c>
    </row>
    <row r="281" spans="1:5" x14ac:dyDescent="0.25">
      <c r="A281" s="15">
        <v>58109</v>
      </c>
      <c r="B281" s="13" t="s">
        <v>1333</v>
      </c>
      <c r="C281" s="22">
        <v>36629965</v>
      </c>
      <c r="D281" s="14">
        <v>631.15989999999999</v>
      </c>
      <c r="E281" s="16">
        <f t="shared" si="4"/>
        <v>58035.95095315783</v>
      </c>
    </row>
    <row r="282" spans="1:5" x14ac:dyDescent="0.25">
      <c r="A282" s="15">
        <v>58112</v>
      </c>
      <c r="B282" s="13" t="s">
        <v>1334</v>
      </c>
      <c r="C282" s="22">
        <v>58876294</v>
      </c>
      <c r="D282" s="14">
        <v>982.5933</v>
      </c>
      <c r="E282" s="16">
        <f t="shared" si="4"/>
        <v>59919.291124822448</v>
      </c>
    </row>
    <row r="283" spans="1:5" x14ac:dyDescent="0.25">
      <c r="A283" s="15">
        <v>59113</v>
      </c>
      <c r="B283" s="13" t="s">
        <v>1335</v>
      </c>
      <c r="C283" s="22">
        <v>10866229</v>
      </c>
      <c r="D283" s="14">
        <v>166.64089999999999</v>
      </c>
      <c r="E283" s="16">
        <f t="shared" si="4"/>
        <v>65207.455072554221</v>
      </c>
    </row>
    <row r="284" spans="1:5" x14ac:dyDescent="0.25">
      <c r="A284" s="15">
        <v>59114</v>
      </c>
      <c r="B284" s="13" t="s">
        <v>1336</v>
      </c>
      <c r="C284" s="22">
        <v>6202081</v>
      </c>
      <c r="D284" s="14">
        <v>77.496099999999998</v>
      </c>
      <c r="E284" s="16">
        <f t="shared" si="4"/>
        <v>80030.878973264465</v>
      </c>
    </row>
    <row r="285" spans="1:5" x14ac:dyDescent="0.25">
      <c r="A285" s="15">
        <v>59117</v>
      </c>
      <c r="B285" s="13" t="s">
        <v>1337</v>
      </c>
      <c r="C285" s="22">
        <v>134229220</v>
      </c>
      <c r="D285" s="14">
        <v>1799.6222</v>
      </c>
      <c r="E285" s="16">
        <f t="shared" si="4"/>
        <v>74587.443964627688</v>
      </c>
    </row>
    <row r="286" spans="1:5" x14ac:dyDescent="0.25">
      <c r="A286" s="15">
        <v>60077</v>
      </c>
      <c r="B286" s="13" t="s">
        <v>1338</v>
      </c>
      <c r="C286" s="22">
        <v>203107101</v>
      </c>
      <c r="D286" s="14">
        <v>3566.6695</v>
      </c>
      <c r="E286" s="16">
        <f t="shared" si="4"/>
        <v>56945.870930850193</v>
      </c>
    </row>
    <row r="287" spans="1:5" x14ac:dyDescent="0.25">
      <c r="A287" s="15">
        <v>61150</v>
      </c>
      <c r="B287" s="13" t="s">
        <v>1339</v>
      </c>
      <c r="C287" s="22">
        <v>13218066</v>
      </c>
      <c r="D287" s="14">
        <v>189.88249999999999</v>
      </c>
      <c r="E287" s="16">
        <f t="shared" si="4"/>
        <v>69611.817834713569</v>
      </c>
    </row>
    <row r="288" spans="1:5" x14ac:dyDescent="0.25">
      <c r="A288" s="15">
        <v>61151</v>
      </c>
      <c r="B288" s="13" t="s">
        <v>1340</v>
      </c>
      <c r="C288" s="22">
        <v>11491890</v>
      </c>
      <c r="D288" s="14">
        <v>210.5086</v>
      </c>
      <c r="E288" s="16">
        <f t="shared" si="4"/>
        <v>54591.07133865315</v>
      </c>
    </row>
    <row r="289" spans="1:5" x14ac:dyDescent="0.25">
      <c r="A289" s="15">
        <v>61154</v>
      </c>
      <c r="B289" s="13" t="s">
        <v>1341</v>
      </c>
      <c r="C289" s="22">
        <v>23330491</v>
      </c>
      <c r="D289" s="14">
        <v>302.29829999999998</v>
      </c>
      <c r="E289" s="16">
        <f t="shared" si="4"/>
        <v>77177.049953638518</v>
      </c>
    </row>
    <row r="290" spans="1:5" x14ac:dyDescent="0.25">
      <c r="A290" s="15">
        <v>61156</v>
      </c>
      <c r="B290" s="13" t="s">
        <v>1342</v>
      </c>
      <c r="C290" s="22">
        <v>94208071</v>
      </c>
      <c r="D290" s="14">
        <v>1329.1005</v>
      </c>
      <c r="E290" s="16">
        <f t="shared" si="4"/>
        <v>70881.074079800586</v>
      </c>
    </row>
    <row r="291" spans="1:5" x14ac:dyDescent="0.25">
      <c r="A291" s="15">
        <v>61157</v>
      </c>
      <c r="B291" s="13" t="s">
        <v>1343</v>
      </c>
      <c r="C291" s="22">
        <v>5406803</v>
      </c>
      <c r="D291" s="14">
        <v>83.692300000000003</v>
      </c>
      <c r="E291" s="16">
        <f t="shared" si="4"/>
        <v>64603.350606925604</v>
      </c>
    </row>
    <row r="292" spans="1:5" x14ac:dyDescent="0.25">
      <c r="A292" s="15">
        <v>61158</v>
      </c>
      <c r="B292" s="13" t="s">
        <v>1344</v>
      </c>
      <c r="C292" s="22">
        <v>10674281</v>
      </c>
      <c r="D292" s="14">
        <v>102.8365</v>
      </c>
      <c r="E292" s="16">
        <f t="shared" si="4"/>
        <v>103798.56373952828</v>
      </c>
    </row>
    <row r="293" spans="1:5" x14ac:dyDescent="0.25">
      <c r="A293" s="15">
        <v>62070</v>
      </c>
      <c r="B293" s="13" t="s">
        <v>1345</v>
      </c>
      <c r="C293" s="22">
        <v>10283610</v>
      </c>
      <c r="D293" s="14">
        <v>158.76669999999999</v>
      </c>
      <c r="E293" s="16">
        <f t="shared" si="4"/>
        <v>64771.831876583696</v>
      </c>
    </row>
    <row r="294" spans="1:5" x14ac:dyDescent="0.25">
      <c r="A294" s="15">
        <v>62072</v>
      </c>
      <c r="B294" s="13" t="s">
        <v>1346</v>
      </c>
      <c r="C294" s="22">
        <v>93189673</v>
      </c>
      <c r="D294" s="14">
        <v>1743.8085000000001</v>
      </c>
      <c r="E294" s="16">
        <f t="shared" si="4"/>
        <v>53440.313543602977</v>
      </c>
    </row>
    <row r="295" spans="1:5" x14ac:dyDescent="0.25">
      <c r="A295" s="15">
        <v>63066</v>
      </c>
      <c r="B295" s="13" t="s">
        <v>1347</v>
      </c>
      <c r="C295" s="22">
        <v>45188590</v>
      </c>
      <c r="D295" s="14">
        <v>484.9692</v>
      </c>
      <c r="E295" s="16">
        <f t="shared" si="4"/>
        <v>93178.267815770567</v>
      </c>
    </row>
    <row r="296" spans="1:5" x14ac:dyDescent="0.25">
      <c r="A296" s="15">
        <v>63067</v>
      </c>
      <c r="B296" s="13" t="s">
        <v>1348</v>
      </c>
      <c r="C296" s="22">
        <v>57605936</v>
      </c>
      <c r="D296" s="14">
        <v>769.18780000000004</v>
      </c>
      <c r="E296" s="16">
        <f t="shared" si="4"/>
        <v>74891.90026154861</v>
      </c>
    </row>
    <row r="297" spans="1:5" x14ac:dyDescent="0.25">
      <c r="A297" s="15">
        <v>64072</v>
      </c>
      <c r="B297" s="13" t="s">
        <v>1349</v>
      </c>
      <c r="C297" s="22">
        <v>13812615</v>
      </c>
      <c r="D297" s="14">
        <v>236.19329999999999</v>
      </c>
      <c r="E297" s="16">
        <f t="shared" si="4"/>
        <v>58480.130469407901</v>
      </c>
    </row>
    <row r="298" spans="1:5" x14ac:dyDescent="0.25">
      <c r="A298" s="15">
        <v>64074</v>
      </c>
      <c r="B298" s="13" t="s">
        <v>1350</v>
      </c>
      <c r="C298" s="22">
        <v>115909195</v>
      </c>
      <c r="D298" s="14">
        <v>1163.52</v>
      </c>
      <c r="E298" s="16">
        <f t="shared" si="4"/>
        <v>99619.426395764574</v>
      </c>
    </row>
    <row r="299" spans="1:5" x14ac:dyDescent="0.25">
      <c r="A299" s="15">
        <v>64075</v>
      </c>
      <c r="B299" s="13" t="s">
        <v>1351</v>
      </c>
      <c r="C299" s="22">
        <v>285858890</v>
      </c>
      <c r="D299" s="14">
        <v>3321.1224999999999</v>
      </c>
      <c r="E299" s="16">
        <f t="shared" si="4"/>
        <v>86072.973821351072</v>
      </c>
    </row>
    <row r="300" spans="1:5" x14ac:dyDescent="0.25">
      <c r="A300" s="15">
        <v>65096</v>
      </c>
      <c r="B300" s="13" t="s">
        <v>1352</v>
      </c>
      <c r="C300" s="22">
        <v>13573311</v>
      </c>
      <c r="D300" s="14">
        <v>184.57679999999999</v>
      </c>
      <c r="E300" s="16">
        <f t="shared" si="4"/>
        <v>73537.470581351503</v>
      </c>
    </row>
    <row r="301" spans="1:5" x14ac:dyDescent="0.25">
      <c r="A301" s="15">
        <v>65098</v>
      </c>
      <c r="B301" s="13" t="s">
        <v>1353</v>
      </c>
      <c r="C301" s="22">
        <v>33611408</v>
      </c>
      <c r="D301" s="14">
        <v>362.46690000000001</v>
      </c>
      <c r="E301" s="16">
        <f t="shared" si="4"/>
        <v>92729.592688325472</v>
      </c>
    </row>
    <row r="302" spans="1:5" x14ac:dyDescent="0.25">
      <c r="A302" s="15">
        <v>66102</v>
      </c>
      <c r="B302" s="13" t="s">
        <v>1354</v>
      </c>
      <c r="C302" s="22">
        <v>170671499</v>
      </c>
      <c r="D302" s="14">
        <v>1738.6629</v>
      </c>
      <c r="E302" s="16">
        <f t="shared" si="4"/>
        <v>98162.501195602672</v>
      </c>
    </row>
    <row r="303" spans="1:5" x14ac:dyDescent="0.25">
      <c r="A303" s="15">
        <v>66103</v>
      </c>
      <c r="B303" s="13" t="s">
        <v>1355</v>
      </c>
      <c r="C303" s="22">
        <v>10291343</v>
      </c>
      <c r="D303" s="14">
        <v>218.53800000000001</v>
      </c>
      <c r="E303" s="16">
        <f t="shared" si="4"/>
        <v>47091.778088936473</v>
      </c>
    </row>
    <row r="304" spans="1:5" x14ac:dyDescent="0.25">
      <c r="A304" s="15">
        <v>66104</v>
      </c>
      <c r="B304" s="13" t="s">
        <v>1356</v>
      </c>
      <c r="C304" s="22">
        <v>14182213</v>
      </c>
      <c r="D304" s="14">
        <v>240.76759999999999</v>
      </c>
      <c r="E304" s="16">
        <f t="shared" si="4"/>
        <v>58904.159031364688</v>
      </c>
    </row>
    <row r="305" spans="1:5" x14ac:dyDescent="0.25">
      <c r="A305" s="15">
        <v>66105</v>
      </c>
      <c r="B305" s="13" t="s">
        <v>1357</v>
      </c>
      <c r="C305" s="22">
        <v>528581813</v>
      </c>
      <c r="D305" s="14">
        <v>1763.5812000000001</v>
      </c>
      <c r="E305" s="16">
        <f t="shared" si="4"/>
        <v>299720.7120375291</v>
      </c>
    </row>
    <row r="306" spans="1:5" x14ac:dyDescent="0.25">
      <c r="A306" s="15">
        <v>66107</v>
      </c>
      <c r="B306" s="13" t="s">
        <v>1358</v>
      </c>
      <c r="C306" s="22">
        <v>30608336</v>
      </c>
      <c r="D306" s="14">
        <v>672.28909999999996</v>
      </c>
      <c r="E306" s="16">
        <f t="shared" si="4"/>
        <v>45528.532293621902</v>
      </c>
    </row>
    <row r="307" spans="1:5" x14ac:dyDescent="0.25">
      <c r="A307" s="15">
        <v>67055</v>
      </c>
      <c r="B307" s="13" t="s">
        <v>1359</v>
      </c>
      <c r="C307" s="22">
        <v>58391511</v>
      </c>
      <c r="D307" s="14">
        <v>1018.4815</v>
      </c>
      <c r="E307" s="16">
        <f t="shared" si="4"/>
        <v>57331.930918725571</v>
      </c>
    </row>
    <row r="308" spans="1:5" x14ac:dyDescent="0.25">
      <c r="A308" s="15">
        <v>67061</v>
      </c>
      <c r="B308" s="13" t="s">
        <v>1360</v>
      </c>
      <c r="C308" s="22">
        <v>74435695</v>
      </c>
      <c r="D308" s="14">
        <v>941.19200000000001</v>
      </c>
      <c r="E308" s="16">
        <f t="shared" si="4"/>
        <v>79086.621008253365</v>
      </c>
    </row>
    <row r="309" spans="1:5" x14ac:dyDescent="0.25">
      <c r="A309" s="15">
        <v>68070</v>
      </c>
      <c r="B309" s="13" t="s">
        <v>1361</v>
      </c>
      <c r="C309" s="22">
        <v>80049552</v>
      </c>
      <c r="D309" s="14">
        <v>1200.7634</v>
      </c>
      <c r="E309" s="16">
        <f t="shared" si="4"/>
        <v>66665.549599529768</v>
      </c>
    </row>
    <row r="310" spans="1:5" x14ac:dyDescent="0.25">
      <c r="A310" s="15">
        <v>68071</v>
      </c>
      <c r="B310" s="13" t="s">
        <v>1362</v>
      </c>
      <c r="C310" s="22">
        <v>9240186</v>
      </c>
      <c r="D310" s="14">
        <v>113.86279999999999</v>
      </c>
      <c r="E310" s="16">
        <f t="shared" si="4"/>
        <v>81151.93021777086</v>
      </c>
    </row>
    <row r="311" spans="1:5" x14ac:dyDescent="0.25">
      <c r="A311" s="15">
        <v>68072</v>
      </c>
      <c r="B311" s="13" t="s">
        <v>1363</v>
      </c>
      <c r="C311" s="22">
        <v>8416595</v>
      </c>
      <c r="D311" s="14">
        <v>73.444999999999993</v>
      </c>
      <c r="E311" s="16">
        <f t="shared" si="4"/>
        <v>114597.2496425897</v>
      </c>
    </row>
    <row r="312" spans="1:5" x14ac:dyDescent="0.25">
      <c r="A312" s="15">
        <v>68073</v>
      </c>
      <c r="B312" s="13" t="s">
        <v>1364</v>
      </c>
      <c r="C312" s="22">
        <v>42680636</v>
      </c>
      <c r="D312" s="14">
        <v>550.98090000000002</v>
      </c>
      <c r="E312" s="16">
        <f t="shared" si="4"/>
        <v>77463.004615949481</v>
      </c>
    </row>
    <row r="313" spans="1:5" x14ac:dyDescent="0.25">
      <c r="A313" s="15">
        <v>68074</v>
      </c>
      <c r="B313" s="13" t="s">
        <v>1365</v>
      </c>
      <c r="C313" s="22">
        <v>15034907</v>
      </c>
      <c r="D313" s="14">
        <v>197.9502</v>
      </c>
      <c r="E313" s="16">
        <f t="shared" si="4"/>
        <v>75952.977061907499</v>
      </c>
    </row>
    <row r="314" spans="1:5" x14ac:dyDescent="0.25">
      <c r="A314" s="15">
        <v>68075</v>
      </c>
      <c r="B314" s="13" t="s">
        <v>1366</v>
      </c>
      <c r="C314" s="22">
        <v>6246236</v>
      </c>
      <c r="D314" s="14">
        <v>114.6726</v>
      </c>
      <c r="E314" s="16">
        <f t="shared" si="4"/>
        <v>54470.169857489927</v>
      </c>
    </row>
    <row r="315" spans="1:5" x14ac:dyDescent="0.25">
      <c r="A315" s="15">
        <v>69104</v>
      </c>
      <c r="B315" s="13" t="s">
        <v>1367</v>
      </c>
      <c r="C315" s="22">
        <v>3832217</v>
      </c>
      <c r="D315" s="14">
        <v>48.0319</v>
      </c>
      <c r="E315" s="16">
        <f t="shared" si="4"/>
        <v>79784.830498064824</v>
      </c>
    </row>
    <row r="316" spans="1:5" x14ac:dyDescent="0.25">
      <c r="A316" s="15">
        <v>69106</v>
      </c>
      <c r="B316" s="13" t="s">
        <v>1368</v>
      </c>
      <c r="C316" s="22">
        <v>70335275</v>
      </c>
      <c r="D316" s="14">
        <v>624.61260000000004</v>
      </c>
      <c r="E316" s="16">
        <f t="shared" si="4"/>
        <v>112606.23785046923</v>
      </c>
    </row>
    <row r="317" spans="1:5" x14ac:dyDescent="0.25">
      <c r="A317" s="15">
        <v>69107</v>
      </c>
      <c r="B317" s="13" t="s">
        <v>1369</v>
      </c>
      <c r="C317" s="22">
        <v>6734661</v>
      </c>
      <c r="D317" s="14">
        <v>75.708699999999993</v>
      </c>
      <c r="E317" s="16">
        <f t="shared" si="4"/>
        <v>88954.915353189266</v>
      </c>
    </row>
    <row r="318" spans="1:5" x14ac:dyDescent="0.25">
      <c r="A318" s="15">
        <v>69108</v>
      </c>
      <c r="B318" s="13" t="s">
        <v>1370</v>
      </c>
      <c r="C318" s="22">
        <v>12324988</v>
      </c>
      <c r="D318" s="14">
        <v>216.12020000000001</v>
      </c>
      <c r="E318" s="16">
        <f t="shared" si="4"/>
        <v>57028.394384236177</v>
      </c>
    </row>
    <row r="319" spans="1:5" x14ac:dyDescent="0.25">
      <c r="A319" s="15">
        <v>69109</v>
      </c>
      <c r="B319" s="13" t="s">
        <v>1371</v>
      </c>
      <c r="C319" s="22">
        <v>37619652</v>
      </c>
      <c r="D319" s="14">
        <v>401.12619999999998</v>
      </c>
      <c r="E319" s="16">
        <f t="shared" si="4"/>
        <v>93785.078112574047</v>
      </c>
    </row>
    <row r="320" spans="1:5" x14ac:dyDescent="0.25">
      <c r="A320" s="15">
        <v>70092</v>
      </c>
      <c r="B320" s="13" t="s">
        <v>1372</v>
      </c>
      <c r="C320" s="22">
        <v>32349693</v>
      </c>
      <c r="D320" s="14">
        <v>382.93380000000002</v>
      </c>
      <c r="E320" s="16">
        <f t="shared" si="4"/>
        <v>84478.552167502581</v>
      </c>
    </row>
    <row r="321" spans="1:5" x14ac:dyDescent="0.25">
      <c r="A321" s="15">
        <v>70093</v>
      </c>
      <c r="B321" s="13" t="s">
        <v>1373</v>
      </c>
      <c r="C321" s="22">
        <v>118707146</v>
      </c>
      <c r="D321" s="14">
        <v>1203.0420999999999</v>
      </c>
      <c r="E321" s="16">
        <f t="shared" si="4"/>
        <v>98672.478710429175</v>
      </c>
    </row>
    <row r="322" spans="1:5" x14ac:dyDescent="0.25">
      <c r="A322" s="15">
        <v>71091</v>
      </c>
      <c r="B322" s="13" t="s">
        <v>1374</v>
      </c>
      <c r="C322" s="22">
        <v>79181813</v>
      </c>
      <c r="D322" s="14">
        <v>590.80759999999998</v>
      </c>
      <c r="E322" s="16">
        <f t="shared" si="4"/>
        <v>134023.01019824389</v>
      </c>
    </row>
    <row r="323" spans="1:5" x14ac:dyDescent="0.25">
      <c r="A323" s="15">
        <v>71092</v>
      </c>
      <c r="B323" s="13" t="s">
        <v>1375</v>
      </c>
      <c r="C323" s="22">
        <v>243534277</v>
      </c>
      <c r="D323" s="14">
        <v>1253.2282</v>
      </c>
      <c r="E323" s="16">
        <f t="shared" ref="E323:E386" si="5">C323/D323</f>
        <v>194325.56417099456</v>
      </c>
    </row>
    <row r="324" spans="1:5" x14ac:dyDescent="0.25">
      <c r="A324" s="15">
        <v>72066</v>
      </c>
      <c r="B324" s="13" t="s">
        <v>1376</v>
      </c>
      <c r="C324" s="22">
        <v>9731163</v>
      </c>
      <c r="D324" s="14">
        <v>139.10900000000001</v>
      </c>
      <c r="E324" s="16">
        <f t="shared" si="5"/>
        <v>69953.511275330849</v>
      </c>
    </row>
    <row r="325" spans="1:5" x14ac:dyDescent="0.25">
      <c r="A325" s="15">
        <v>72068</v>
      </c>
      <c r="B325" s="13" t="s">
        <v>1377</v>
      </c>
      <c r="C325" s="22">
        <v>45727379</v>
      </c>
      <c r="D325" s="14">
        <v>701.85180000000003</v>
      </c>
      <c r="E325" s="16">
        <f t="shared" si="5"/>
        <v>65152.470934747187</v>
      </c>
    </row>
    <row r="326" spans="1:5" x14ac:dyDescent="0.25">
      <c r="A326" s="15">
        <v>72073</v>
      </c>
      <c r="B326" s="13" t="s">
        <v>1378</v>
      </c>
      <c r="C326" s="22">
        <v>13505826</v>
      </c>
      <c r="D326" s="14">
        <v>275.01240000000001</v>
      </c>
      <c r="E326" s="16">
        <f t="shared" si="5"/>
        <v>49109.880136313848</v>
      </c>
    </row>
    <row r="327" spans="1:5" x14ac:dyDescent="0.25">
      <c r="A327" s="15">
        <v>72074</v>
      </c>
      <c r="B327" s="13" t="s">
        <v>1379</v>
      </c>
      <c r="C327" s="22">
        <v>287869956</v>
      </c>
      <c r="D327" s="14">
        <v>1344.7748999999999</v>
      </c>
      <c r="E327" s="16">
        <f t="shared" si="5"/>
        <v>214065.53319815831</v>
      </c>
    </row>
    <row r="328" spans="1:5" x14ac:dyDescent="0.25">
      <c r="A328" s="15">
        <v>73099</v>
      </c>
      <c r="B328" s="13" t="s">
        <v>1380</v>
      </c>
      <c r="C328" s="22">
        <v>63593969</v>
      </c>
      <c r="D328" s="14">
        <v>1426.6894</v>
      </c>
      <c r="E328" s="16">
        <f t="shared" si="5"/>
        <v>44574.501639950504</v>
      </c>
    </row>
    <row r="329" spans="1:5" x14ac:dyDescent="0.25">
      <c r="A329" s="15">
        <v>73102</v>
      </c>
      <c r="B329" s="13" t="s">
        <v>1381</v>
      </c>
      <c r="C329" s="22">
        <v>57775210</v>
      </c>
      <c r="D329" s="14">
        <v>847.21199999999999</v>
      </c>
      <c r="E329" s="16">
        <f t="shared" si="5"/>
        <v>68194.513297734215</v>
      </c>
    </row>
    <row r="330" spans="1:5" x14ac:dyDescent="0.25">
      <c r="A330" s="15">
        <v>73105</v>
      </c>
      <c r="B330" s="13" t="s">
        <v>1382</v>
      </c>
      <c r="C330" s="22">
        <v>7740500</v>
      </c>
      <c r="D330" s="14">
        <v>174.05590000000001</v>
      </c>
      <c r="E330" s="16">
        <f t="shared" si="5"/>
        <v>44471.345125330423</v>
      </c>
    </row>
    <row r="331" spans="1:5" x14ac:dyDescent="0.25">
      <c r="A331" s="15">
        <v>73106</v>
      </c>
      <c r="B331" s="13" t="s">
        <v>1383</v>
      </c>
      <c r="C331" s="22">
        <v>81922512</v>
      </c>
      <c r="D331" s="14">
        <v>1446.3368</v>
      </c>
      <c r="E331" s="16">
        <f t="shared" si="5"/>
        <v>56641.379794802982</v>
      </c>
    </row>
    <row r="332" spans="1:5" x14ac:dyDescent="0.25">
      <c r="A332" s="15">
        <v>73108</v>
      </c>
      <c r="B332" s="13" t="s">
        <v>1384</v>
      </c>
      <c r="C332" s="22">
        <v>257850519</v>
      </c>
      <c r="D332" s="14">
        <v>4188.4339</v>
      </c>
      <c r="E332" s="16">
        <f t="shared" si="5"/>
        <v>61562.513616366254</v>
      </c>
    </row>
    <row r="333" spans="1:5" x14ac:dyDescent="0.25">
      <c r="A333" s="15">
        <v>74187</v>
      </c>
      <c r="B333" s="13" t="s">
        <v>1385</v>
      </c>
      <c r="C333" s="22">
        <v>23087092</v>
      </c>
      <c r="D333" s="14">
        <v>209.81100000000001</v>
      </c>
      <c r="E333" s="16">
        <f t="shared" si="5"/>
        <v>110037.56714376272</v>
      </c>
    </row>
    <row r="334" spans="1:5" x14ac:dyDescent="0.25">
      <c r="A334" s="15">
        <v>74190</v>
      </c>
      <c r="B334" s="13" t="s">
        <v>1386</v>
      </c>
      <c r="C334" s="22">
        <v>22220590</v>
      </c>
      <c r="D334" s="14">
        <v>226.0883</v>
      </c>
      <c r="E334" s="16">
        <f t="shared" si="5"/>
        <v>98282.794819546165</v>
      </c>
    </row>
    <row r="335" spans="1:5" x14ac:dyDescent="0.25">
      <c r="A335" s="15">
        <v>74194</v>
      </c>
      <c r="B335" s="13" t="s">
        <v>1387</v>
      </c>
      <c r="C335" s="22">
        <v>13569843</v>
      </c>
      <c r="D335" s="14">
        <v>205.94300000000001</v>
      </c>
      <c r="E335" s="16">
        <f t="shared" si="5"/>
        <v>65891.256318495885</v>
      </c>
    </row>
    <row r="336" spans="1:5" x14ac:dyDescent="0.25">
      <c r="A336" s="15">
        <v>74195</v>
      </c>
      <c r="B336" s="13" t="s">
        <v>1388</v>
      </c>
      <c r="C336" s="22">
        <v>12999384</v>
      </c>
      <c r="D336" s="14">
        <v>140.71789999999999</v>
      </c>
      <c r="E336" s="16">
        <f t="shared" si="5"/>
        <v>92379.036355715944</v>
      </c>
    </row>
    <row r="337" spans="1:5" x14ac:dyDescent="0.25">
      <c r="A337" s="15">
        <v>74197</v>
      </c>
      <c r="B337" s="13" t="s">
        <v>1389</v>
      </c>
      <c r="C337" s="22">
        <v>14829834</v>
      </c>
      <c r="D337" s="14">
        <v>229.9384</v>
      </c>
      <c r="E337" s="16">
        <f t="shared" si="5"/>
        <v>64494.812523701999</v>
      </c>
    </row>
    <row r="338" spans="1:5" x14ac:dyDescent="0.25">
      <c r="A338" s="15">
        <v>74201</v>
      </c>
      <c r="B338" s="13" t="s">
        <v>1390</v>
      </c>
      <c r="C338" s="22">
        <v>190327055</v>
      </c>
      <c r="D338" s="14">
        <v>1320.9007999999999</v>
      </c>
      <c r="E338" s="16">
        <f t="shared" si="5"/>
        <v>144088.83316597281</v>
      </c>
    </row>
    <row r="339" spans="1:5" x14ac:dyDescent="0.25">
      <c r="A339" s="15">
        <v>74202</v>
      </c>
      <c r="B339" s="13" t="s">
        <v>1391</v>
      </c>
      <c r="C339" s="22">
        <v>13205898</v>
      </c>
      <c r="D339" s="14">
        <v>171.16839999999999</v>
      </c>
      <c r="E339" s="16">
        <f t="shared" si="5"/>
        <v>77151.495252628403</v>
      </c>
    </row>
    <row r="340" spans="1:5" x14ac:dyDescent="0.25">
      <c r="A340" s="15">
        <v>75084</v>
      </c>
      <c r="B340" s="13" t="s">
        <v>1392</v>
      </c>
      <c r="C340" s="22">
        <v>9769411</v>
      </c>
      <c r="D340" s="14">
        <v>155.4084</v>
      </c>
      <c r="E340" s="16">
        <f t="shared" si="5"/>
        <v>62862.824660700448</v>
      </c>
    </row>
    <row r="341" spans="1:5" x14ac:dyDescent="0.25">
      <c r="A341" s="15">
        <v>75085</v>
      </c>
      <c r="B341" s="13" t="s">
        <v>1393</v>
      </c>
      <c r="C341" s="22">
        <v>27489878</v>
      </c>
      <c r="D341" s="14">
        <v>614.65329999999994</v>
      </c>
      <c r="E341" s="16">
        <f t="shared" si="5"/>
        <v>44724.201431929192</v>
      </c>
    </row>
    <row r="342" spans="1:5" x14ac:dyDescent="0.25">
      <c r="A342" s="15">
        <v>75086</v>
      </c>
      <c r="B342" s="13" t="s">
        <v>1394</v>
      </c>
      <c r="C342" s="22">
        <v>12073648</v>
      </c>
      <c r="D342" s="14">
        <v>185.3775</v>
      </c>
      <c r="E342" s="16">
        <f t="shared" si="5"/>
        <v>65130.061630996213</v>
      </c>
    </row>
    <row r="343" spans="1:5" x14ac:dyDescent="0.25">
      <c r="A343" s="15">
        <v>75087</v>
      </c>
      <c r="B343" s="13" t="s">
        <v>1395</v>
      </c>
      <c r="C343" s="22">
        <v>31801582</v>
      </c>
      <c r="D343" s="14">
        <v>697.63130000000001</v>
      </c>
      <c r="E343" s="16">
        <f t="shared" si="5"/>
        <v>45585.084843526944</v>
      </c>
    </row>
    <row r="344" spans="1:5" x14ac:dyDescent="0.25">
      <c r="A344" s="15">
        <v>76081</v>
      </c>
      <c r="B344" s="13" t="s">
        <v>1396</v>
      </c>
      <c r="C344" s="22">
        <v>14458399</v>
      </c>
      <c r="D344" s="14">
        <v>190.16720000000001</v>
      </c>
      <c r="E344" s="16">
        <f t="shared" si="5"/>
        <v>76029.930503262396</v>
      </c>
    </row>
    <row r="345" spans="1:5" x14ac:dyDescent="0.25">
      <c r="A345" s="15">
        <v>76082</v>
      </c>
      <c r="B345" s="13" t="s">
        <v>1397</v>
      </c>
      <c r="C345" s="22">
        <v>56951751</v>
      </c>
      <c r="D345" s="14">
        <v>585.85580000000004</v>
      </c>
      <c r="E345" s="16">
        <f t="shared" si="5"/>
        <v>97211.209652614169</v>
      </c>
    </row>
    <row r="346" spans="1:5" x14ac:dyDescent="0.25">
      <c r="A346" s="15">
        <v>76083</v>
      </c>
      <c r="B346" s="13" t="s">
        <v>1398</v>
      </c>
      <c r="C346" s="22">
        <v>78642365</v>
      </c>
      <c r="D346" s="14">
        <v>740.63419999999996</v>
      </c>
      <c r="E346" s="16">
        <f t="shared" si="5"/>
        <v>106182.46497393721</v>
      </c>
    </row>
    <row r="347" spans="1:5" x14ac:dyDescent="0.25">
      <c r="A347" s="15">
        <v>77100</v>
      </c>
      <c r="B347" s="13" t="s">
        <v>1399</v>
      </c>
      <c r="C347" s="22">
        <v>6090134</v>
      </c>
      <c r="D347" s="14">
        <v>90.864999999999995</v>
      </c>
      <c r="E347" s="16">
        <f t="shared" si="5"/>
        <v>67023.980630605845</v>
      </c>
    </row>
    <row r="348" spans="1:5" x14ac:dyDescent="0.25">
      <c r="A348" s="15">
        <v>77101</v>
      </c>
      <c r="B348" s="13" t="s">
        <v>1400</v>
      </c>
      <c r="C348" s="22">
        <v>12716206</v>
      </c>
      <c r="D348" s="14">
        <v>343.54860000000002</v>
      </c>
      <c r="E348" s="16">
        <f t="shared" si="5"/>
        <v>37014.285606170422</v>
      </c>
    </row>
    <row r="349" spans="1:5" x14ac:dyDescent="0.25">
      <c r="A349" s="15">
        <v>77102</v>
      </c>
      <c r="B349" s="13" t="s">
        <v>1401</v>
      </c>
      <c r="C349" s="22">
        <v>46649384</v>
      </c>
      <c r="D349" s="14">
        <v>583.46720000000005</v>
      </c>
      <c r="E349" s="16">
        <f t="shared" si="5"/>
        <v>79952.02472392621</v>
      </c>
    </row>
    <row r="350" spans="1:5" x14ac:dyDescent="0.25">
      <c r="A350" s="15">
        <v>77103</v>
      </c>
      <c r="B350" s="13" t="s">
        <v>1402</v>
      </c>
      <c r="C350" s="22">
        <v>14985919</v>
      </c>
      <c r="D350" s="14">
        <v>280.62180000000001</v>
      </c>
      <c r="E350" s="16">
        <f t="shared" si="5"/>
        <v>53402.547485619434</v>
      </c>
    </row>
    <row r="351" spans="1:5" x14ac:dyDescent="0.25">
      <c r="A351" s="15">
        <v>77104</v>
      </c>
      <c r="B351" s="13" t="s">
        <v>1403</v>
      </c>
      <c r="C351" s="22">
        <v>21716754</v>
      </c>
      <c r="D351" s="14">
        <v>161.21629999999999</v>
      </c>
      <c r="E351" s="16">
        <f t="shared" si="5"/>
        <v>134705.6966324125</v>
      </c>
    </row>
    <row r="352" spans="1:5" x14ac:dyDescent="0.25">
      <c r="A352" s="15">
        <v>78001</v>
      </c>
      <c r="B352" s="13" t="s">
        <v>1404</v>
      </c>
      <c r="C352" s="22">
        <v>18066075</v>
      </c>
      <c r="D352" s="14">
        <v>249.10059999999999</v>
      </c>
      <c r="E352" s="16">
        <f t="shared" si="5"/>
        <v>72525.216719670687</v>
      </c>
    </row>
    <row r="353" spans="1:5" x14ac:dyDescent="0.25">
      <c r="A353" s="15">
        <v>78002</v>
      </c>
      <c r="B353" s="13" t="s">
        <v>1405</v>
      </c>
      <c r="C353" s="22">
        <v>27835788</v>
      </c>
      <c r="D353" s="14">
        <v>771.149</v>
      </c>
      <c r="E353" s="16">
        <f t="shared" si="5"/>
        <v>36096.510531687134</v>
      </c>
    </row>
    <row r="354" spans="1:5" x14ac:dyDescent="0.25">
      <c r="A354" s="15">
        <v>78003</v>
      </c>
      <c r="B354" s="13" t="s">
        <v>1406</v>
      </c>
      <c r="C354" s="22">
        <v>10515965</v>
      </c>
      <c r="D354" s="14">
        <v>162.39859999999999</v>
      </c>
      <c r="E354" s="16">
        <f t="shared" si="5"/>
        <v>64754.037288498796</v>
      </c>
    </row>
    <row r="355" spans="1:5" x14ac:dyDescent="0.25">
      <c r="A355" s="15">
        <v>78004</v>
      </c>
      <c r="B355" s="13" t="s">
        <v>1407</v>
      </c>
      <c r="C355" s="22">
        <v>7154107</v>
      </c>
      <c r="D355" s="14">
        <v>225.62469999999999</v>
      </c>
      <c r="E355" s="16">
        <f t="shared" si="5"/>
        <v>31707.995622819664</v>
      </c>
    </row>
    <row r="356" spans="1:5" x14ac:dyDescent="0.25">
      <c r="A356" s="15">
        <v>78005</v>
      </c>
      <c r="B356" s="13" t="s">
        <v>1408</v>
      </c>
      <c r="C356" s="22">
        <v>28182079</v>
      </c>
      <c r="D356" s="14">
        <v>634.39520000000005</v>
      </c>
      <c r="E356" s="16">
        <f t="shared" si="5"/>
        <v>44423.537567749561</v>
      </c>
    </row>
    <row r="357" spans="1:5" x14ac:dyDescent="0.25">
      <c r="A357" s="15">
        <v>78009</v>
      </c>
      <c r="B357" s="13" t="s">
        <v>1409</v>
      </c>
      <c r="C357" s="22">
        <v>10641253</v>
      </c>
      <c r="D357" s="14">
        <v>190.6576</v>
      </c>
      <c r="E357" s="16">
        <f t="shared" si="5"/>
        <v>55813.421547318336</v>
      </c>
    </row>
    <row r="358" spans="1:5" x14ac:dyDescent="0.25">
      <c r="A358" s="15">
        <v>78012</v>
      </c>
      <c r="B358" s="13" t="s">
        <v>1410</v>
      </c>
      <c r="C358" s="22">
        <v>46861269</v>
      </c>
      <c r="D358" s="14">
        <v>1122.6371999999999</v>
      </c>
      <c r="E358" s="16">
        <f t="shared" si="5"/>
        <v>41742.13093954129</v>
      </c>
    </row>
    <row r="359" spans="1:5" x14ac:dyDescent="0.25">
      <c r="A359" s="15">
        <v>79077</v>
      </c>
      <c r="B359" s="13" t="s">
        <v>1411</v>
      </c>
      <c r="C359" s="22">
        <v>270583309</v>
      </c>
      <c r="D359" s="14">
        <v>2180.0583000000001</v>
      </c>
      <c r="E359" s="16">
        <f t="shared" si="5"/>
        <v>124117.4646567938</v>
      </c>
    </row>
    <row r="360" spans="1:5" x14ac:dyDescent="0.25">
      <c r="A360" s="15">
        <v>79078</v>
      </c>
      <c r="B360" s="13" t="s">
        <v>1412</v>
      </c>
      <c r="C360" s="22">
        <v>16929748</v>
      </c>
      <c r="D360" s="14">
        <v>115.7633</v>
      </c>
      <c r="E360" s="16">
        <f t="shared" si="5"/>
        <v>146244.51790852542</v>
      </c>
    </row>
    <row r="361" spans="1:5" x14ac:dyDescent="0.25">
      <c r="A361" s="15">
        <v>80116</v>
      </c>
      <c r="B361" s="13" t="s">
        <v>1413</v>
      </c>
      <c r="C361" s="22">
        <v>23186535</v>
      </c>
      <c r="D361" s="14">
        <v>308.65190000000001</v>
      </c>
      <c r="E361" s="16">
        <f t="shared" si="5"/>
        <v>75121.957778325683</v>
      </c>
    </row>
    <row r="362" spans="1:5" x14ac:dyDescent="0.25">
      <c r="A362" s="15">
        <v>80118</v>
      </c>
      <c r="B362" s="13" t="s">
        <v>1414</v>
      </c>
      <c r="C362" s="22">
        <v>17169641</v>
      </c>
      <c r="D362" s="14">
        <v>357.5249</v>
      </c>
      <c r="E362" s="16">
        <f t="shared" si="5"/>
        <v>48023.622970036493</v>
      </c>
    </row>
    <row r="363" spans="1:5" x14ac:dyDescent="0.25">
      <c r="A363" s="15">
        <v>80119</v>
      </c>
      <c r="B363" s="13" t="s">
        <v>1415</v>
      </c>
      <c r="C363" s="22">
        <v>35832276</v>
      </c>
      <c r="D363" s="14">
        <v>569.11659999999995</v>
      </c>
      <c r="E363" s="16">
        <f t="shared" si="5"/>
        <v>62961.220951910385</v>
      </c>
    </row>
    <row r="364" spans="1:5" x14ac:dyDescent="0.25">
      <c r="A364" s="15">
        <v>80121</v>
      </c>
      <c r="B364" s="13" t="s">
        <v>1416</v>
      </c>
      <c r="C364" s="22">
        <v>22366367</v>
      </c>
      <c r="D364" s="14">
        <v>372.51490000000001</v>
      </c>
      <c r="E364" s="16">
        <f t="shared" si="5"/>
        <v>60041.536593569814</v>
      </c>
    </row>
    <row r="365" spans="1:5" x14ac:dyDescent="0.25">
      <c r="A365" s="15">
        <v>80122</v>
      </c>
      <c r="B365" s="13" t="s">
        <v>1417</v>
      </c>
      <c r="C365" s="22">
        <v>52228073</v>
      </c>
      <c r="D365" s="14">
        <v>162.9614</v>
      </c>
      <c r="E365" s="16">
        <f t="shared" si="5"/>
        <v>320493.52177877707</v>
      </c>
    </row>
    <row r="366" spans="1:5" x14ac:dyDescent="0.25">
      <c r="A366" s="15">
        <v>80125</v>
      </c>
      <c r="B366" s="13" t="s">
        <v>1418</v>
      </c>
      <c r="C366" s="22">
        <v>337042461</v>
      </c>
      <c r="D366" s="14">
        <v>4315.3271000000004</v>
      </c>
      <c r="E366" s="16">
        <f t="shared" si="5"/>
        <v>78103.572032812983</v>
      </c>
    </row>
    <row r="367" spans="1:5" x14ac:dyDescent="0.25">
      <c r="A367" s="15">
        <v>81094</v>
      </c>
      <c r="B367" s="13" t="s">
        <v>1419</v>
      </c>
      <c r="C367" s="22">
        <v>110446227</v>
      </c>
      <c r="D367" s="14">
        <v>1722.5399</v>
      </c>
      <c r="E367" s="16">
        <f t="shared" si="5"/>
        <v>64118.24016384178</v>
      </c>
    </row>
    <row r="368" spans="1:5" x14ac:dyDescent="0.25">
      <c r="A368" s="15">
        <v>81095</v>
      </c>
      <c r="B368" s="13" t="s">
        <v>1420</v>
      </c>
      <c r="C368" s="22">
        <v>25260570</v>
      </c>
      <c r="D368" s="14">
        <v>412.56330000000003</v>
      </c>
      <c r="E368" s="16">
        <f t="shared" si="5"/>
        <v>61228.34968597546</v>
      </c>
    </row>
    <row r="369" spans="1:5" x14ac:dyDescent="0.25">
      <c r="A369" s="15">
        <v>81096</v>
      </c>
      <c r="B369" s="13" t="s">
        <v>1421</v>
      </c>
      <c r="C369" s="22">
        <v>380937178</v>
      </c>
      <c r="D369" s="14">
        <v>3694.9295999999999</v>
      </c>
      <c r="E369" s="16">
        <f t="shared" si="5"/>
        <v>103097.27633240969</v>
      </c>
    </row>
    <row r="370" spans="1:5" x14ac:dyDescent="0.25">
      <c r="A370" s="15">
        <v>81097</v>
      </c>
      <c r="B370" s="13" t="s">
        <v>1422</v>
      </c>
      <c r="C370" s="22">
        <v>17496031</v>
      </c>
      <c r="D370" s="14">
        <v>245.81460000000001</v>
      </c>
      <c r="E370" s="16">
        <f t="shared" si="5"/>
        <v>71175.719424314098</v>
      </c>
    </row>
    <row r="371" spans="1:5" x14ac:dyDescent="0.25">
      <c r="A371" s="15">
        <v>82100</v>
      </c>
      <c r="B371" s="13" t="s">
        <v>1423</v>
      </c>
      <c r="C371" s="22">
        <v>95471212</v>
      </c>
      <c r="D371" s="14">
        <v>1238.4086</v>
      </c>
      <c r="E371" s="16">
        <f t="shared" si="5"/>
        <v>77091.851590823906</v>
      </c>
    </row>
    <row r="372" spans="1:5" x14ac:dyDescent="0.25">
      <c r="A372" s="15">
        <v>82101</v>
      </c>
      <c r="B372" s="13" t="s">
        <v>1424</v>
      </c>
      <c r="C372" s="22">
        <v>37110153</v>
      </c>
      <c r="D372" s="14">
        <v>432.67009999999999</v>
      </c>
      <c r="E372" s="16">
        <f t="shared" si="5"/>
        <v>85770.089035503028</v>
      </c>
    </row>
    <row r="373" spans="1:5" x14ac:dyDescent="0.25">
      <c r="A373" s="15">
        <v>82105</v>
      </c>
      <c r="B373" s="13" t="s">
        <v>1425</v>
      </c>
      <c r="C373" s="22">
        <v>11607642</v>
      </c>
      <c r="D373" s="14">
        <v>49.806399999999996</v>
      </c>
      <c r="E373" s="16">
        <f t="shared" si="5"/>
        <v>233055.22984997914</v>
      </c>
    </row>
    <row r="374" spans="1:5" x14ac:dyDescent="0.25">
      <c r="A374" s="15">
        <v>82108</v>
      </c>
      <c r="B374" s="13" t="s">
        <v>1426</v>
      </c>
      <c r="C374" s="22">
        <v>48556769</v>
      </c>
      <c r="D374" s="14">
        <v>662.67840000000001</v>
      </c>
      <c r="E374" s="16">
        <f t="shared" si="5"/>
        <v>73273.504915808327</v>
      </c>
    </row>
    <row r="375" spans="1:5" x14ac:dyDescent="0.25">
      <c r="A375" s="15">
        <v>83001</v>
      </c>
      <c r="B375" s="13" t="s">
        <v>1427</v>
      </c>
      <c r="C375" s="22">
        <v>53603282</v>
      </c>
      <c r="D375" s="14">
        <v>597.09130000000005</v>
      </c>
      <c r="E375" s="16">
        <f t="shared" si="5"/>
        <v>89774.012784979437</v>
      </c>
    </row>
    <row r="376" spans="1:5" x14ac:dyDescent="0.25">
      <c r="A376" s="15">
        <v>83002</v>
      </c>
      <c r="B376" s="13" t="s">
        <v>1428</v>
      </c>
      <c r="C376" s="22">
        <v>184933040</v>
      </c>
      <c r="D376" s="14">
        <v>557.30029999999999</v>
      </c>
      <c r="E376" s="16">
        <f t="shared" si="5"/>
        <v>331837.32361170452</v>
      </c>
    </row>
    <row r="377" spans="1:5" x14ac:dyDescent="0.25">
      <c r="A377" s="15">
        <v>83003</v>
      </c>
      <c r="B377" s="13" t="s">
        <v>1429</v>
      </c>
      <c r="C377" s="22">
        <v>425043543</v>
      </c>
      <c r="D377" s="14">
        <v>3498.0068000000001</v>
      </c>
      <c r="E377" s="16">
        <f t="shared" si="5"/>
        <v>121510.21061479926</v>
      </c>
    </row>
    <row r="378" spans="1:5" x14ac:dyDescent="0.25">
      <c r="A378" s="15">
        <v>83005</v>
      </c>
      <c r="B378" s="13" t="s">
        <v>1430</v>
      </c>
      <c r="C378" s="22">
        <v>1439746071</v>
      </c>
      <c r="D378" s="14">
        <v>9869.7198000000008</v>
      </c>
      <c r="E378" s="16">
        <f t="shared" si="5"/>
        <v>145875.07043513027</v>
      </c>
    </row>
    <row r="379" spans="1:5" x14ac:dyDescent="0.25">
      <c r="A379" s="15">
        <v>84001</v>
      </c>
      <c r="B379" s="13" t="s">
        <v>1431</v>
      </c>
      <c r="C379" s="22">
        <v>148648889</v>
      </c>
      <c r="D379" s="14">
        <v>2533.9169999999999</v>
      </c>
      <c r="E379" s="16">
        <f t="shared" si="5"/>
        <v>58663.677223839615</v>
      </c>
    </row>
    <row r="380" spans="1:5" x14ac:dyDescent="0.25">
      <c r="A380" s="15">
        <v>84002</v>
      </c>
      <c r="B380" s="13" t="s">
        <v>1432</v>
      </c>
      <c r="C380" s="22">
        <v>16253030</v>
      </c>
      <c r="D380" s="14">
        <v>380.45819999999998</v>
      </c>
      <c r="E380" s="16">
        <f t="shared" si="5"/>
        <v>42719.620709975497</v>
      </c>
    </row>
    <row r="381" spans="1:5" x14ac:dyDescent="0.25">
      <c r="A381" s="15">
        <v>84003</v>
      </c>
      <c r="B381" s="13" t="s">
        <v>1433</v>
      </c>
      <c r="C381" s="22">
        <v>16105240</v>
      </c>
      <c r="D381" s="14">
        <v>258.83620000000002</v>
      </c>
      <c r="E381" s="16">
        <f t="shared" si="5"/>
        <v>62221.744871853312</v>
      </c>
    </row>
    <row r="382" spans="1:5" x14ac:dyDescent="0.25">
      <c r="A382" s="15">
        <v>84004</v>
      </c>
      <c r="B382" s="13" t="s">
        <v>1434</v>
      </c>
      <c r="C382" s="22">
        <v>19363498</v>
      </c>
      <c r="D382" s="14">
        <v>349.48250000000002</v>
      </c>
      <c r="E382" s="16">
        <f t="shared" si="5"/>
        <v>55406.202027283194</v>
      </c>
    </row>
    <row r="383" spans="1:5" x14ac:dyDescent="0.25">
      <c r="A383" s="15">
        <v>84005</v>
      </c>
      <c r="B383" s="13" t="s">
        <v>1435</v>
      </c>
      <c r="C383" s="22">
        <v>32046720</v>
      </c>
      <c r="D383" s="14">
        <v>573.70609999999999</v>
      </c>
      <c r="E383" s="16">
        <f t="shared" si="5"/>
        <v>55859.123687198029</v>
      </c>
    </row>
    <row r="384" spans="1:5" x14ac:dyDescent="0.25">
      <c r="A384" s="15">
        <v>84006</v>
      </c>
      <c r="B384" s="13" t="s">
        <v>1436</v>
      </c>
      <c r="C384" s="22">
        <v>38220690</v>
      </c>
      <c r="D384" s="14">
        <v>799.61069999999995</v>
      </c>
      <c r="E384" s="16">
        <f t="shared" si="5"/>
        <v>47799.1227481073</v>
      </c>
    </row>
    <row r="385" spans="1:5" x14ac:dyDescent="0.25">
      <c r="A385" s="15">
        <v>85043</v>
      </c>
      <c r="B385" s="13" t="s">
        <v>1437</v>
      </c>
      <c r="C385" s="22">
        <v>5188078</v>
      </c>
      <c r="D385" s="14">
        <v>69.840500000000006</v>
      </c>
      <c r="E385" s="16">
        <f t="shared" si="5"/>
        <v>74284.6629104889</v>
      </c>
    </row>
    <row r="386" spans="1:5" x14ac:dyDescent="0.25">
      <c r="A386" s="15">
        <v>85044</v>
      </c>
      <c r="B386" s="13" t="s">
        <v>1438</v>
      </c>
      <c r="C386" s="22">
        <v>31136764</v>
      </c>
      <c r="D386" s="14">
        <v>565.18920000000003</v>
      </c>
      <c r="E386" s="16">
        <f t="shared" si="5"/>
        <v>55090.868686096619</v>
      </c>
    </row>
    <row r="387" spans="1:5" x14ac:dyDescent="0.25">
      <c r="A387" s="15">
        <v>85045</v>
      </c>
      <c r="B387" s="13" t="s">
        <v>1439</v>
      </c>
      <c r="C387" s="22">
        <v>31362309</v>
      </c>
      <c r="D387" s="14">
        <v>632.17229999999995</v>
      </c>
      <c r="E387" s="16">
        <f t="shared" ref="E387:E450" si="6">C387/D387</f>
        <v>49610.381536805711</v>
      </c>
    </row>
    <row r="388" spans="1:5" x14ac:dyDescent="0.25">
      <c r="A388" s="15">
        <v>85046</v>
      </c>
      <c r="B388" s="13" t="s">
        <v>1440</v>
      </c>
      <c r="C388" s="22">
        <v>272824085</v>
      </c>
      <c r="D388" s="14">
        <v>5578.54</v>
      </c>
      <c r="E388" s="16">
        <f t="shared" si="6"/>
        <v>48906.001391044971</v>
      </c>
    </row>
    <row r="389" spans="1:5" x14ac:dyDescent="0.25">
      <c r="A389" s="15">
        <v>85048</v>
      </c>
      <c r="B389" s="13" t="s">
        <v>1441</v>
      </c>
      <c r="C389" s="22">
        <v>58776333</v>
      </c>
      <c r="D389" s="14">
        <v>956.80830000000003</v>
      </c>
      <c r="E389" s="16">
        <f t="shared" si="6"/>
        <v>61429.58103519796</v>
      </c>
    </row>
    <row r="390" spans="1:5" x14ac:dyDescent="0.25">
      <c r="A390" s="15">
        <v>85049</v>
      </c>
      <c r="B390" s="13" t="s">
        <v>1442</v>
      </c>
      <c r="C390" s="22">
        <v>28018996</v>
      </c>
      <c r="D390" s="14">
        <v>501.72859999999997</v>
      </c>
      <c r="E390" s="16">
        <f t="shared" si="6"/>
        <v>55844.924925547399</v>
      </c>
    </row>
    <row r="391" spans="1:5" x14ac:dyDescent="0.25">
      <c r="A391" s="15">
        <v>86100</v>
      </c>
      <c r="B391" s="13" t="s">
        <v>1443</v>
      </c>
      <c r="C391" s="22">
        <v>73298469</v>
      </c>
      <c r="D391" s="14">
        <v>713.33849999999995</v>
      </c>
      <c r="E391" s="16">
        <f t="shared" si="6"/>
        <v>102754.11883698974</v>
      </c>
    </row>
    <row r="392" spans="1:5" x14ac:dyDescent="0.25">
      <c r="A392" s="15">
        <v>87083</v>
      </c>
      <c r="B392" s="13" t="s">
        <v>1444</v>
      </c>
      <c r="C392" s="22">
        <v>67084678</v>
      </c>
      <c r="D392" s="14">
        <v>692.75379999999996</v>
      </c>
      <c r="E392" s="16">
        <f t="shared" si="6"/>
        <v>96837.690388706644</v>
      </c>
    </row>
    <row r="393" spans="1:5" x14ac:dyDescent="0.25">
      <c r="A393" s="15">
        <v>88072</v>
      </c>
      <c r="B393" s="13" t="s">
        <v>1445</v>
      </c>
      <c r="C393" s="22">
        <v>22023926</v>
      </c>
      <c r="D393" s="14">
        <v>385.74709999999999</v>
      </c>
      <c r="E393" s="16">
        <f t="shared" si="6"/>
        <v>57094.210170342179</v>
      </c>
    </row>
    <row r="394" spans="1:5" x14ac:dyDescent="0.25">
      <c r="A394" s="15">
        <v>88073</v>
      </c>
      <c r="B394" s="13" t="s">
        <v>1446</v>
      </c>
      <c r="C394" s="22">
        <v>13244567</v>
      </c>
      <c r="D394" s="14">
        <v>150.14400000000001</v>
      </c>
      <c r="E394" s="16">
        <f t="shared" si="6"/>
        <v>88212.429401108267</v>
      </c>
    </row>
    <row r="395" spans="1:5" x14ac:dyDescent="0.25">
      <c r="A395" s="15">
        <v>88075</v>
      </c>
      <c r="B395" s="13" t="s">
        <v>1447</v>
      </c>
      <c r="C395" s="22">
        <v>10436050</v>
      </c>
      <c r="D395" s="14">
        <v>212.60120000000001</v>
      </c>
      <c r="E395" s="16">
        <f t="shared" si="6"/>
        <v>49087.446354959422</v>
      </c>
    </row>
    <row r="396" spans="1:5" x14ac:dyDescent="0.25">
      <c r="A396" s="15">
        <v>88080</v>
      </c>
      <c r="B396" s="13" t="s">
        <v>1448</v>
      </c>
      <c r="C396" s="22">
        <v>157050804</v>
      </c>
      <c r="D396" s="14">
        <v>607.75030000000004</v>
      </c>
      <c r="E396" s="16">
        <f t="shared" si="6"/>
        <v>258413.37141256861</v>
      </c>
    </row>
    <row r="397" spans="1:5" x14ac:dyDescent="0.25">
      <c r="A397" s="15">
        <v>88081</v>
      </c>
      <c r="B397" s="13" t="s">
        <v>1449</v>
      </c>
      <c r="C397" s="22">
        <v>160756796</v>
      </c>
      <c r="D397" s="14">
        <v>2146.788</v>
      </c>
      <c r="E397" s="16">
        <f t="shared" si="6"/>
        <v>74882.473723534888</v>
      </c>
    </row>
    <row r="398" spans="1:5" x14ac:dyDescent="0.25">
      <c r="A398" s="15">
        <v>89077</v>
      </c>
      <c r="B398" s="13" t="s">
        <v>1450</v>
      </c>
      <c r="C398" s="22">
        <v>7652711</v>
      </c>
      <c r="D398" s="14">
        <v>56.944000000000003</v>
      </c>
      <c r="E398" s="16">
        <f t="shared" si="6"/>
        <v>134390.12011801067</v>
      </c>
    </row>
    <row r="399" spans="1:5" x14ac:dyDescent="0.25">
      <c r="A399" s="15">
        <v>89080</v>
      </c>
      <c r="B399" s="13" t="s">
        <v>1451</v>
      </c>
      <c r="C399" s="22">
        <v>65087075</v>
      </c>
      <c r="D399" s="14">
        <v>1178.9777999999999</v>
      </c>
      <c r="E399" s="16">
        <f t="shared" si="6"/>
        <v>55206.361816142766</v>
      </c>
    </row>
    <row r="400" spans="1:5" x14ac:dyDescent="0.25">
      <c r="A400" s="15">
        <v>89087</v>
      </c>
      <c r="B400" s="13" t="s">
        <v>1452</v>
      </c>
      <c r="C400" s="22">
        <v>21268718</v>
      </c>
      <c r="D400" s="14">
        <v>332.77600000000001</v>
      </c>
      <c r="E400" s="16">
        <f t="shared" si="6"/>
        <v>63913.016563694495</v>
      </c>
    </row>
    <row r="401" spans="1:5" x14ac:dyDescent="0.25">
      <c r="A401" s="15">
        <v>89088</v>
      </c>
      <c r="B401" s="13" t="s">
        <v>1453</v>
      </c>
      <c r="C401" s="22">
        <v>12710943</v>
      </c>
      <c r="D401" s="14">
        <v>186.11439999999999</v>
      </c>
      <c r="E401" s="16">
        <f t="shared" si="6"/>
        <v>68296.39726963632</v>
      </c>
    </row>
    <row r="402" spans="1:5" x14ac:dyDescent="0.25">
      <c r="A402" s="15">
        <v>89089</v>
      </c>
      <c r="B402" s="13" t="s">
        <v>1454</v>
      </c>
      <c r="C402" s="22">
        <v>102583673</v>
      </c>
      <c r="D402" s="14">
        <v>1466.5666000000001</v>
      </c>
      <c r="E402" s="16">
        <f t="shared" si="6"/>
        <v>69948.185783039095</v>
      </c>
    </row>
    <row r="403" spans="1:5" x14ac:dyDescent="0.25">
      <c r="A403" s="15">
        <v>90075</v>
      </c>
      <c r="B403" s="13" t="s">
        <v>1455</v>
      </c>
      <c r="C403" s="22">
        <v>5921495</v>
      </c>
      <c r="D403" s="14">
        <v>86.308599999999998</v>
      </c>
      <c r="E403" s="16">
        <f t="shared" si="6"/>
        <v>68608.400553363172</v>
      </c>
    </row>
    <row r="404" spans="1:5" x14ac:dyDescent="0.25">
      <c r="A404" s="15">
        <v>90076</v>
      </c>
      <c r="B404" s="13" t="s">
        <v>1456</v>
      </c>
      <c r="C404" s="22">
        <v>34075124</v>
      </c>
      <c r="D404" s="14">
        <v>470.7106</v>
      </c>
      <c r="E404" s="16">
        <f t="shared" si="6"/>
        <v>72390.815078309257</v>
      </c>
    </row>
    <row r="405" spans="1:5" x14ac:dyDescent="0.25">
      <c r="A405" s="15">
        <v>90077</v>
      </c>
      <c r="B405" s="13" t="s">
        <v>1457</v>
      </c>
      <c r="C405" s="22">
        <v>68209917</v>
      </c>
      <c r="D405" s="14">
        <v>233.9539</v>
      </c>
      <c r="E405" s="16">
        <f t="shared" si="6"/>
        <v>291552.81019038364</v>
      </c>
    </row>
    <row r="406" spans="1:5" x14ac:dyDescent="0.25">
      <c r="A406" s="15">
        <v>90078</v>
      </c>
      <c r="B406" s="13" t="s">
        <v>1458</v>
      </c>
      <c r="C406" s="22">
        <v>58922445</v>
      </c>
      <c r="D406" s="14">
        <v>226.59110000000001</v>
      </c>
      <c r="E406" s="16">
        <f t="shared" si="6"/>
        <v>260038.65553413174</v>
      </c>
    </row>
    <row r="407" spans="1:5" x14ac:dyDescent="0.25">
      <c r="A407" s="15">
        <v>91091</v>
      </c>
      <c r="B407" s="13" t="s">
        <v>1459</v>
      </c>
      <c r="C407" s="22">
        <v>9456750</v>
      </c>
      <c r="D407" s="14">
        <v>426.2937</v>
      </c>
      <c r="E407" s="16">
        <f t="shared" si="6"/>
        <v>22183.649441687739</v>
      </c>
    </row>
    <row r="408" spans="1:5" x14ac:dyDescent="0.25">
      <c r="A408" s="15">
        <v>91092</v>
      </c>
      <c r="B408" s="13" t="s">
        <v>1460</v>
      </c>
      <c r="C408" s="22">
        <v>64766504</v>
      </c>
      <c r="D408" s="14">
        <v>1372.9585</v>
      </c>
      <c r="E408" s="16">
        <f t="shared" si="6"/>
        <v>47172.950966835488</v>
      </c>
    </row>
    <row r="409" spans="1:5" x14ac:dyDescent="0.25">
      <c r="A409" s="15">
        <v>91093</v>
      </c>
      <c r="B409" s="13" t="s">
        <v>1461</v>
      </c>
      <c r="C409" s="22">
        <v>5522237</v>
      </c>
      <c r="D409" s="14">
        <v>212.9033</v>
      </c>
      <c r="E409" s="16">
        <f t="shared" si="6"/>
        <v>25937.770809564718</v>
      </c>
    </row>
    <row r="410" spans="1:5" x14ac:dyDescent="0.25">
      <c r="A410" s="15">
        <v>91095</v>
      </c>
      <c r="B410" s="13" t="s">
        <v>1462</v>
      </c>
      <c r="C410" s="22">
        <v>5081624</v>
      </c>
      <c r="D410" s="14">
        <v>138.95419999999999</v>
      </c>
      <c r="E410" s="16">
        <f t="shared" si="6"/>
        <v>36570.495890012688</v>
      </c>
    </row>
    <row r="411" spans="1:5" x14ac:dyDescent="0.25">
      <c r="A411" s="15">
        <v>92087</v>
      </c>
      <c r="B411" s="13" t="s">
        <v>1463</v>
      </c>
      <c r="C411" s="22">
        <v>2020602556</v>
      </c>
      <c r="D411" s="14">
        <v>17700.285400000001</v>
      </c>
      <c r="E411" s="16">
        <f t="shared" si="6"/>
        <v>114156.49580429928</v>
      </c>
    </row>
    <row r="412" spans="1:5" x14ac:dyDescent="0.25">
      <c r="A412" s="15">
        <v>92088</v>
      </c>
      <c r="B412" s="13" t="s">
        <v>1464</v>
      </c>
      <c r="C412" s="22">
        <v>2250872122</v>
      </c>
      <c r="D412" s="14">
        <v>16198.8843</v>
      </c>
      <c r="E412" s="16">
        <f t="shared" si="6"/>
        <v>138952.29327614864</v>
      </c>
    </row>
    <row r="413" spans="1:5" x14ac:dyDescent="0.25">
      <c r="A413" s="15">
        <v>92089</v>
      </c>
      <c r="B413" s="13" t="s">
        <v>1465</v>
      </c>
      <c r="C413" s="22">
        <v>1476024281</v>
      </c>
      <c r="D413" s="14">
        <v>12346.0254</v>
      </c>
      <c r="E413" s="16">
        <f t="shared" si="6"/>
        <v>119554.6123694189</v>
      </c>
    </row>
    <row r="414" spans="1:5" x14ac:dyDescent="0.25">
      <c r="A414" s="15">
        <v>92090</v>
      </c>
      <c r="B414" s="13" t="s">
        <v>1466</v>
      </c>
      <c r="C414" s="22">
        <v>902475591</v>
      </c>
      <c r="D414" s="14">
        <v>4603.7196000000004</v>
      </c>
      <c r="E414" s="16">
        <f t="shared" si="6"/>
        <v>196031.83282491835</v>
      </c>
    </row>
    <row r="415" spans="1:5" x14ac:dyDescent="0.25">
      <c r="A415" s="15">
        <v>92091</v>
      </c>
      <c r="B415" s="13" t="s">
        <v>1467</v>
      </c>
      <c r="C415" s="22">
        <v>271128728</v>
      </c>
      <c r="D415" s="14">
        <v>1423.1813999999999</v>
      </c>
      <c r="E415" s="16">
        <f t="shared" si="6"/>
        <v>190508.90350309527</v>
      </c>
    </row>
    <row r="416" spans="1:5" x14ac:dyDescent="0.25">
      <c r="A416" s="15">
        <v>93120</v>
      </c>
      <c r="B416" s="13" t="s">
        <v>1468</v>
      </c>
      <c r="C416" s="22">
        <v>24026901</v>
      </c>
      <c r="D416" s="14">
        <v>272.70600000000002</v>
      </c>
      <c r="E416" s="16">
        <f t="shared" si="6"/>
        <v>88105.509229719915</v>
      </c>
    </row>
    <row r="417" spans="1:5" x14ac:dyDescent="0.25">
      <c r="A417" s="15">
        <v>93121</v>
      </c>
      <c r="B417" s="13" t="s">
        <v>1469</v>
      </c>
      <c r="C417" s="22">
        <v>6444875</v>
      </c>
      <c r="D417" s="14">
        <v>83.883899999999997</v>
      </c>
      <c r="E417" s="16">
        <f t="shared" si="6"/>
        <v>76830.893651821156</v>
      </c>
    </row>
    <row r="418" spans="1:5" x14ac:dyDescent="0.25">
      <c r="A418" s="15">
        <v>93123</v>
      </c>
      <c r="B418" s="13" t="s">
        <v>1470</v>
      </c>
      <c r="C418" s="22">
        <v>29057902</v>
      </c>
      <c r="D418" s="14">
        <v>397.08929999999998</v>
      </c>
      <c r="E418" s="16">
        <f t="shared" si="6"/>
        <v>73177.24753600765</v>
      </c>
    </row>
    <row r="419" spans="1:5" x14ac:dyDescent="0.25">
      <c r="A419" s="15">
        <v>93124</v>
      </c>
      <c r="B419" s="13" t="s">
        <v>1471</v>
      </c>
      <c r="C419" s="22">
        <v>28780892</v>
      </c>
      <c r="D419" s="14">
        <v>442.7919</v>
      </c>
      <c r="E419" s="16">
        <f t="shared" si="6"/>
        <v>64998.686742011312</v>
      </c>
    </row>
    <row r="420" spans="1:5" x14ac:dyDescent="0.25">
      <c r="A420" s="15">
        <v>94076</v>
      </c>
      <c r="B420" s="13" t="s">
        <v>1472</v>
      </c>
      <c r="C420" s="22">
        <v>24990395</v>
      </c>
      <c r="D420" s="14">
        <v>521.10550000000001</v>
      </c>
      <c r="E420" s="16">
        <f t="shared" si="6"/>
        <v>47956.49825227329</v>
      </c>
    </row>
    <row r="421" spans="1:5" x14ac:dyDescent="0.25">
      <c r="A421" s="15">
        <v>94078</v>
      </c>
      <c r="B421" s="13" t="s">
        <v>1473</v>
      </c>
      <c r="C421" s="22">
        <v>311129755</v>
      </c>
      <c r="D421" s="14">
        <v>3709.8742000000002</v>
      </c>
      <c r="E421" s="16">
        <f t="shared" si="6"/>
        <v>83865.311389803988</v>
      </c>
    </row>
    <row r="422" spans="1:5" x14ac:dyDescent="0.25">
      <c r="A422" s="15">
        <v>94083</v>
      </c>
      <c r="B422" s="13" t="s">
        <v>1474</v>
      </c>
      <c r="C422" s="22">
        <v>159923459</v>
      </c>
      <c r="D422" s="14">
        <v>2903.8829000000001</v>
      </c>
      <c r="E422" s="16">
        <f t="shared" si="6"/>
        <v>55072.282356840216</v>
      </c>
    </row>
    <row r="423" spans="1:5" x14ac:dyDescent="0.25">
      <c r="A423" s="15">
        <v>94086</v>
      </c>
      <c r="B423" s="13" t="s">
        <v>1475</v>
      </c>
      <c r="C423" s="22">
        <v>92594082</v>
      </c>
      <c r="D423" s="14">
        <v>1905.6371999999999</v>
      </c>
      <c r="E423" s="16">
        <f t="shared" si="6"/>
        <v>48589.564687339232</v>
      </c>
    </row>
    <row r="424" spans="1:5" x14ac:dyDescent="0.25">
      <c r="A424" s="15">
        <v>94087</v>
      </c>
      <c r="B424" s="13" t="s">
        <v>1476</v>
      </c>
      <c r="C424" s="22">
        <v>43326158</v>
      </c>
      <c r="D424" s="14">
        <v>1009.3964</v>
      </c>
      <c r="E424" s="16">
        <f t="shared" si="6"/>
        <v>42922.83784645953</v>
      </c>
    </row>
    <row r="425" spans="1:5" x14ac:dyDescent="0.25">
      <c r="A425" s="15">
        <v>95059</v>
      </c>
      <c r="B425" s="13" t="s">
        <v>1477</v>
      </c>
      <c r="C425" s="22">
        <v>319354379</v>
      </c>
      <c r="D425" s="14">
        <v>1770.6216999999999</v>
      </c>
      <c r="E425" s="16">
        <f t="shared" si="6"/>
        <v>180362.85164696671</v>
      </c>
    </row>
    <row r="426" spans="1:5" x14ac:dyDescent="0.25">
      <c r="A426" s="15">
        <v>96088</v>
      </c>
      <c r="B426" s="13" t="s">
        <v>1478</v>
      </c>
      <c r="C426" s="22">
        <v>1647068080</v>
      </c>
      <c r="D426" s="14">
        <v>16859.105500000001</v>
      </c>
      <c r="E426" s="16">
        <f t="shared" si="6"/>
        <v>97696.053921721992</v>
      </c>
    </row>
    <row r="427" spans="1:5" x14ac:dyDescent="0.25">
      <c r="A427" s="15">
        <v>96089</v>
      </c>
      <c r="B427" s="13" t="s">
        <v>1479</v>
      </c>
      <c r="C427" s="22">
        <v>958832800</v>
      </c>
      <c r="D427" s="14">
        <v>10490.021699999999</v>
      </c>
      <c r="E427" s="16">
        <f t="shared" si="6"/>
        <v>91404.27230956062</v>
      </c>
    </row>
    <row r="428" spans="1:5" x14ac:dyDescent="0.25">
      <c r="A428" s="15">
        <v>96090</v>
      </c>
      <c r="B428" s="13" t="s">
        <v>1480</v>
      </c>
      <c r="C428" s="22">
        <v>1261979430</v>
      </c>
      <c r="D428" s="14">
        <v>5215.4566999999997</v>
      </c>
      <c r="E428" s="16">
        <f t="shared" si="6"/>
        <v>241969.11269534653</v>
      </c>
    </row>
    <row r="429" spans="1:5" x14ac:dyDescent="0.25">
      <c r="A429" s="15">
        <v>96091</v>
      </c>
      <c r="B429" s="13" t="s">
        <v>1481</v>
      </c>
      <c r="C429" s="22">
        <v>3247737055</v>
      </c>
      <c r="D429" s="14">
        <v>20558.4764</v>
      </c>
      <c r="E429" s="16">
        <f t="shared" si="6"/>
        <v>157975.57133173547</v>
      </c>
    </row>
    <row r="430" spans="1:5" x14ac:dyDescent="0.25">
      <c r="A430" s="15">
        <v>96092</v>
      </c>
      <c r="B430" s="13" t="s">
        <v>1482</v>
      </c>
      <c r="C430" s="22">
        <v>1183277730</v>
      </c>
      <c r="D430" s="14">
        <v>4679.3846999999996</v>
      </c>
      <c r="E430" s="16">
        <f t="shared" si="6"/>
        <v>252870.36776437724</v>
      </c>
    </row>
    <row r="431" spans="1:5" x14ac:dyDescent="0.25">
      <c r="A431" s="15">
        <v>96093</v>
      </c>
      <c r="B431" s="13" t="s">
        <v>1483</v>
      </c>
      <c r="C431" s="22">
        <v>1169428300</v>
      </c>
      <c r="D431" s="14">
        <v>5318.4862000000003</v>
      </c>
      <c r="E431" s="16">
        <f t="shared" si="6"/>
        <v>219879.91620623175</v>
      </c>
    </row>
    <row r="432" spans="1:5" x14ac:dyDescent="0.25">
      <c r="A432" s="15">
        <v>96094</v>
      </c>
      <c r="B432" s="13" t="s">
        <v>1484</v>
      </c>
      <c r="C432" s="22">
        <v>1693089260</v>
      </c>
      <c r="D432" s="14">
        <v>9644.3410000000003</v>
      </c>
      <c r="E432" s="16">
        <f t="shared" si="6"/>
        <v>175552.61266684782</v>
      </c>
    </row>
    <row r="433" spans="1:5" x14ac:dyDescent="0.25">
      <c r="A433" s="15">
        <v>96095</v>
      </c>
      <c r="B433" s="13" t="s">
        <v>1485</v>
      </c>
      <c r="C433" s="22">
        <v>4240881690</v>
      </c>
      <c r="D433" s="14">
        <v>16708.7137</v>
      </c>
      <c r="E433" s="16">
        <f t="shared" si="6"/>
        <v>253812.57744574317</v>
      </c>
    </row>
    <row r="434" spans="1:5" x14ac:dyDescent="0.25">
      <c r="A434" s="15">
        <v>96098</v>
      </c>
      <c r="B434" s="13" t="s">
        <v>1486</v>
      </c>
      <c r="C434" s="22">
        <v>380216170</v>
      </c>
      <c r="D434" s="14">
        <v>2250.2258999999999</v>
      </c>
      <c r="E434" s="16">
        <f t="shared" si="6"/>
        <v>168968.00005723871</v>
      </c>
    </row>
    <row r="435" spans="1:5" x14ac:dyDescent="0.25">
      <c r="A435" s="15">
        <v>96099</v>
      </c>
      <c r="B435" s="13" t="s">
        <v>1487</v>
      </c>
      <c r="C435" s="22">
        <v>144754900</v>
      </c>
      <c r="D435" s="14">
        <v>1442.8422</v>
      </c>
      <c r="E435" s="16">
        <f t="shared" si="6"/>
        <v>100326.21723983399</v>
      </c>
    </row>
    <row r="436" spans="1:5" x14ac:dyDescent="0.25">
      <c r="A436" s="15">
        <v>96101</v>
      </c>
      <c r="B436" s="13" t="s">
        <v>1488</v>
      </c>
      <c r="C436" s="22">
        <v>280354610</v>
      </c>
      <c r="D436" s="14">
        <v>736.62710000000004</v>
      </c>
      <c r="E436" s="16">
        <f t="shared" si="6"/>
        <v>380592.31054627232</v>
      </c>
    </row>
    <row r="437" spans="1:5" x14ac:dyDescent="0.25">
      <c r="A437" s="15">
        <v>96102</v>
      </c>
      <c r="B437" s="13" t="s">
        <v>1489</v>
      </c>
      <c r="C437" s="22">
        <v>996205550</v>
      </c>
      <c r="D437" s="14">
        <v>2399.4346</v>
      </c>
      <c r="E437" s="16">
        <f t="shared" si="6"/>
        <v>415183.45613587467</v>
      </c>
    </row>
    <row r="438" spans="1:5" x14ac:dyDescent="0.25">
      <c r="A438" s="15">
        <v>96103</v>
      </c>
      <c r="B438" s="13" t="s">
        <v>1490</v>
      </c>
      <c r="C438" s="22">
        <v>154481480</v>
      </c>
      <c r="D438" s="14">
        <v>1439.0796</v>
      </c>
      <c r="E438" s="16">
        <f t="shared" si="6"/>
        <v>107347.41844717971</v>
      </c>
    </row>
    <row r="439" spans="1:5" x14ac:dyDescent="0.25">
      <c r="A439" s="15">
        <v>96104</v>
      </c>
      <c r="B439" s="13" t="s">
        <v>1491</v>
      </c>
      <c r="C439" s="22">
        <v>97335850</v>
      </c>
      <c r="D439" s="14">
        <v>2526.4612999999999</v>
      </c>
      <c r="E439" s="16">
        <f t="shared" si="6"/>
        <v>38526.554909034232</v>
      </c>
    </row>
    <row r="440" spans="1:5" x14ac:dyDescent="0.25">
      <c r="A440" s="15">
        <v>96106</v>
      </c>
      <c r="B440" s="13" t="s">
        <v>1492</v>
      </c>
      <c r="C440" s="22">
        <v>1435996220</v>
      </c>
      <c r="D440" s="14">
        <v>3721.1840000000002</v>
      </c>
      <c r="E440" s="16">
        <f t="shared" si="6"/>
        <v>385897.66590418533</v>
      </c>
    </row>
    <row r="441" spans="1:5" x14ac:dyDescent="0.25">
      <c r="A441" s="15">
        <v>96107</v>
      </c>
      <c r="B441" s="13" t="s">
        <v>1493</v>
      </c>
      <c r="C441" s="22">
        <v>260495980</v>
      </c>
      <c r="D441" s="14">
        <v>1009.8727</v>
      </c>
      <c r="E441" s="16">
        <f t="shared" si="6"/>
        <v>257949.32371179061</v>
      </c>
    </row>
    <row r="442" spans="1:5" x14ac:dyDescent="0.25">
      <c r="A442" s="15">
        <v>96109</v>
      </c>
      <c r="B442" s="13" t="s">
        <v>1494</v>
      </c>
      <c r="C442" s="22">
        <v>258439990</v>
      </c>
      <c r="D442" s="14">
        <v>3890.54</v>
      </c>
      <c r="E442" s="16">
        <f t="shared" si="6"/>
        <v>66427.79408513986</v>
      </c>
    </row>
    <row r="443" spans="1:5" x14ac:dyDescent="0.25">
      <c r="A443" s="15">
        <v>96110</v>
      </c>
      <c r="B443" s="13" t="s">
        <v>1495</v>
      </c>
      <c r="C443" s="22">
        <v>549476690</v>
      </c>
      <c r="D443" s="14">
        <v>5605.9777999999997</v>
      </c>
      <c r="E443" s="16">
        <f t="shared" si="6"/>
        <v>98016.208697793991</v>
      </c>
    </row>
    <row r="444" spans="1:5" x14ac:dyDescent="0.25">
      <c r="A444" s="15">
        <v>96111</v>
      </c>
      <c r="B444" s="13" t="s">
        <v>1496</v>
      </c>
      <c r="C444" s="22">
        <v>234311860</v>
      </c>
      <c r="D444" s="14">
        <v>5365.7204000000002</v>
      </c>
      <c r="E444" s="16">
        <f t="shared" si="6"/>
        <v>43668.294754978284</v>
      </c>
    </row>
    <row r="445" spans="1:5" x14ac:dyDescent="0.25">
      <c r="A445" s="15">
        <v>96112</v>
      </c>
      <c r="B445" s="13" t="s">
        <v>1497</v>
      </c>
      <c r="C445" s="22">
        <v>602256290</v>
      </c>
      <c r="D445" s="14">
        <v>2821.0378000000001</v>
      </c>
      <c r="E445" s="16">
        <f t="shared" si="6"/>
        <v>213487.49385775687</v>
      </c>
    </row>
    <row r="446" spans="1:5" x14ac:dyDescent="0.25">
      <c r="A446" s="15">
        <v>96113</v>
      </c>
      <c r="B446" s="13" t="s">
        <v>1498</v>
      </c>
      <c r="C446" s="22">
        <v>164588760</v>
      </c>
      <c r="D446" s="14">
        <v>954.10209999999995</v>
      </c>
      <c r="E446" s="16">
        <f t="shared" si="6"/>
        <v>172506.44349278763</v>
      </c>
    </row>
    <row r="447" spans="1:5" x14ac:dyDescent="0.25">
      <c r="A447" s="15">
        <v>96114</v>
      </c>
      <c r="B447" s="13" t="s">
        <v>1499</v>
      </c>
      <c r="C447" s="22">
        <v>698584950</v>
      </c>
      <c r="D447" s="14">
        <v>3976.4731000000002</v>
      </c>
      <c r="E447" s="16">
        <f t="shared" si="6"/>
        <v>175679.5362201746</v>
      </c>
    </row>
    <row r="448" spans="1:5" x14ac:dyDescent="0.25">
      <c r="A448" s="15">
        <v>97116</v>
      </c>
      <c r="B448" s="13" t="s">
        <v>1076</v>
      </c>
      <c r="C448" s="22">
        <v>9397858</v>
      </c>
      <c r="D448" s="14">
        <v>58.425800000000002</v>
      </c>
      <c r="E448" s="16">
        <f t="shared" si="6"/>
        <v>160851.16506748731</v>
      </c>
    </row>
    <row r="449" spans="1:5" x14ac:dyDescent="0.25">
      <c r="A449" s="15">
        <v>97118</v>
      </c>
      <c r="B449" s="13" t="s">
        <v>1500</v>
      </c>
      <c r="C449" s="22">
        <v>6126042</v>
      </c>
      <c r="D449" s="14">
        <v>51.301299999999998</v>
      </c>
      <c r="E449" s="16">
        <f t="shared" si="6"/>
        <v>119412.99733145164</v>
      </c>
    </row>
    <row r="450" spans="1:5" x14ac:dyDescent="0.25">
      <c r="A450" s="15">
        <v>97119</v>
      </c>
      <c r="B450" s="13" t="s">
        <v>1501</v>
      </c>
      <c r="C450" s="22">
        <v>10470043</v>
      </c>
      <c r="D450" s="14">
        <v>88.343299999999999</v>
      </c>
      <c r="E450" s="16">
        <f t="shared" si="6"/>
        <v>118515.41656243315</v>
      </c>
    </row>
    <row r="451" spans="1:5" x14ac:dyDescent="0.25">
      <c r="A451" s="15">
        <v>97122</v>
      </c>
      <c r="B451" s="13" t="s">
        <v>1502</v>
      </c>
      <c r="C451" s="22">
        <v>7912309</v>
      </c>
      <c r="D451" s="14">
        <v>62.5062</v>
      </c>
      <c r="E451" s="16">
        <f t="shared" ref="E451:E514" si="7">C451/D451</f>
        <v>126584.38682882658</v>
      </c>
    </row>
    <row r="452" spans="1:5" x14ac:dyDescent="0.25">
      <c r="A452" s="15">
        <v>97127</v>
      </c>
      <c r="B452" s="13" t="s">
        <v>1503</v>
      </c>
      <c r="C452" s="22">
        <v>3062860</v>
      </c>
      <c r="D452" s="14">
        <v>44.9771</v>
      </c>
      <c r="E452" s="16">
        <f t="shared" si="7"/>
        <v>68098.209977966559</v>
      </c>
    </row>
    <row r="453" spans="1:5" x14ac:dyDescent="0.25">
      <c r="A453" s="15">
        <v>97129</v>
      </c>
      <c r="B453" s="13" t="s">
        <v>1504</v>
      </c>
      <c r="C453" s="22">
        <v>154445154</v>
      </c>
      <c r="D453" s="14">
        <v>2243.6788999999999</v>
      </c>
      <c r="E453" s="16">
        <f t="shared" si="7"/>
        <v>68835.676085379237</v>
      </c>
    </row>
    <row r="454" spans="1:5" x14ac:dyDescent="0.25">
      <c r="A454" s="15">
        <v>97130</v>
      </c>
      <c r="B454" s="13" t="s">
        <v>1505</v>
      </c>
      <c r="C454" s="22">
        <v>18034658</v>
      </c>
      <c r="D454" s="14">
        <v>301.81979999999999</v>
      </c>
      <c r="E454" s="16">
        <f t="shared" si="7"/>
        <v>59753.064576942932</v>
      </c>
    </row>
    <row r="455" spans="1:5" x14ac:dyDescent="0.25">
      <c r="A455" s="15">
        <v>97131</v>
      </c>
      <c r="B455" s="13" t="s">
        <v>1506</v>
      </c>
      <c r="C455" s="22">
        <v>29280648</v>
      </c>
      <c r="D455" s="14">
        <v>448.4932</v>
      </c>
      <c r="E455" s="16">
        <f t="shared" si="7"/>
        <v>65286.715606836406</v>
      </c>
    </row>
    <row r="456" spans="1:5" x14ac:dyDescent="0.25">
      <c r="A456" s="15">
        <v>98080</v>
      </c>
      <c r="B456" s="13" t="s">
        <v>1507</v>
      </c>
      <c r="C456" s="22">
        <v>36922150</v>
      </c>
      <c r="D456" s="14">
        <v>620.46280000000002</v>
      </c>
      <c r="E456" s="16">
        <f t="shared" si="7"/>
        <v>59507.435417562505</v>
      </c>
    </row>
    <row r="457" spans="1:5" x14ac:dyDescent="0.25">
      <c r="A457" s="15">
        <v>99078</v>
      </c>
      <c r="B457" s="13" t="s">
        <v>1508</v>
      </c>
      <c r="C457" s="22">
        <v>4233876</v>
      </c>
      <c r="D457" s="14">
        <v>34.597299999999997</v>
      </c>
      <c r="E457" s="16">
        <f t="shared" si="7"/>
        <v>122375.90794657388</v>
      </c>
    </row>
    <row r="458" spans="1:5" x14ac:dyDescent="0.25">
      <c r="A458" s="15">
        <v>99082</v>
      </c>
      <c r="B458" s="13" t="s">
        <v>1509</v>
      </c>
      <c r="C458" s="22">
        <v>50643225</v>
      </c>
      <c r="D458" s="14">
        <v>545.38499999999999</v>
      </c>
      <c r="E458" s="16">
        <f t="shared" si="7"/>
        <v>92857.751863362573</v>
      </c>
    </row>
    <row r="459" spans="1:5" x14ac:dyDescent="0.25">
      <c r="A459" s="15">
        <v>100059</v>
      </c>
      <c r="B459" s="13" t="s">
        <v>1510</v>
      </c>
      <c r="C459" s="22">
        <v>51567030</v>
      </c>
      <c r="D459" s="14">
        <v>797.71680000000003</v>
      </c>
      <c r="E459" s="16">
        <f t="shared" si="7"/>
        <v>64643.279419463142</v>
      </c>
    </row>
    <row r="460" spans="1:5" x14ac:dyDescent="0.25">
      <c r="A460" s="15">
        <v>100060</v>
      </c>
      <c r="B460" s="13" t="s">
        <v>1511</v>
      </c>
      <c r="C460" s="22">
        <v>23064260</v>
      </c>
      <c r="D460" s="14">
        <v>574.65210000000002</v>
      </c>
      <c r="E460" s="16">
        <f t="shared" si="7"/>
        <v>40136.040571330028</v>
      </c>
    </row>
    <row r="461" spans="1:5" x14ac:dyDescent="0.25">
      <c r="A461" s="15">
        <v>100061</v>
      </c>
      <c r="B461" s="13" t="s">
        <v>1512</v>
      </c>
      <c r="C461" s="22">
        <v>54545469</v>
      </c>
      <c r="D461" s="14">
        <v>905.68230000000005</v>
      </c>
      <c r="E461" s="16">
        <f t="shared" si="7"/>
        <v>60225.830845982084</v>
      </c>
    </row>
    <row r="462" spans="1:5" x14ac:dyDescent="0.25">
      <c r="A462" s="15">
        <v>100062</v>
      </c>
      <c r="B462" s="13" t="s">
        <v>1513</v>
      </c>
      <c r="C462" s="22">
        <v>14909420</v>
      </c>
      <c r="D462" s="14">
        <v>328.82780000000002</v>
      </c>
      <c r="E462" s="16">
        <f t="shared" si="7"/>
        <v>45341.117752209509</v>
      </c>
    </row>
    <row r="463" spans="1:5" x14ac:dyDescent="0.25">
      <c r="A463" s="15">
        <v>100063</v>
      </c>
      <c r="B463" s="13" t="s">
        <v>1514</v>
      </c>
      <c r="C463" s="22">
        <v>216765861</v>
      </c>
      <c r="D463" s="14">
        <v>3186.4009000000001</v>
      </c>
      <c r="E463" s="16">
        <f t="shared" si="7"/>
        <v>68028.433270904483</v>
      </c>
    </row>
    <row r="464" spans="1:5" x14ac:dyDescent="0.25">
      <c r="A464" s="15">
        <v>100064</v>
      </c>
      <c r="B464" s="13" t="s">
        <v>1515</v>
      </c>
      <c r="C464" s="22">
        <v>23574270</v>
      </c>
      <c r="D464" s="14">
        <v>132.20150000000001</v>
      </c>
      <c r="E464" s="16">
        <f t="shared" si="7"/>
        <v>178320.74522603751</v>
      </c>
    </row>
    <row r="465" spans="1:5" x14ac:dyDescent="0.25">
      <c r="A465" s="15">
        <v>100065</v>
      </c>
      <c r="B465" s="13" t="s">
        <v>1516</v>
      </c>
      <c r="C465" s="22">
        <v>19365680</v>
      </c>
      <c r="D465" s="14">
        <v>343.41879999999998</v>
      </c>
      <c r="E465" s="16">
        <f t="shared" si="7"/>
        <v>56390.855713199162</v>
      </c>
    </row>
    <row r="466" spans="1:5" x14ac:dyDescent="0.25">
      <c r="A466" s="15">
        <v>101105</v>
      </c>
      <c r="B466" s="13" t="s">
        <v>1517</v>
      </c>
      <c r="C466" s="22">
        <v>15951893</v>
      </c>
      <c r="D466" s="14">
        <v>493.8947</v>
      </c>
      <c r="E466" s="16">
        <f t="shared" si="7"/>
        <v>32298.165985583568</v>
      </c>
    </row>
    <row r="467" spans="1:5" x14ac:dyDescent="0.25">
      <c r="A467" s="15">
        <v>101107</v>
      </c>
      <c r="B467" s="13" t="s">
        <v>1518</v>
      </c>
      <c r="C467" s="22">
        <v>19260943</v>
      </c>
      <c r="D467" s="14">
        <v>273.05090000000001</v>
      </c>
      <c r="E467" s="16">
        <f t="shared" si="7"/>
        <v>70539.752844616145</v>
      </c>
    </row>
    <row r="468" spans="1:5" x14ac:dyDescent="0.25">
      <c r="A468" s="15">
        <v>102081</v>
      </c>
      <c r="B468" s="13" t="s">
        <v>1519</v>
      </c>
      <c r="C468" s="22">
        <v>29695744</v>
      </c>
      <c r="D468" s="14">
        <v>267.59429999999998</v>
      </c>
      <c r="E468" s="16">
        <f t="shared" si="7"/>
        <v>110973.00652517637</v>
      </c>
    </row>
    <row r="469" spans="1:5" x14ac:dyDescent="0.25">
      <c r="A469" s="15">
        <v>102085</v>
      </c>
      <c r="B469" s="13" t="s">
        <v>1520</v>
      </c>
      <c r="C469" s="22">
        <v>58072032</v>
      </c>
      <c r="D469" s="14">
        <v>709.33770000000004</v>
      </c>
      <c r="E469" s="16">
        <f t="shared" si="7"/>
        <v>81867.962185007214</v>
      </c>
    </row>
    <row r="470" spans="1:5" x14ac:dyDescent="0.25">
      <c r="A470" s="15">
        <v>103127</v>
      </c>
      <c r="B470" s="13" t="s">
        <v>1521</v>
      </c>
      <c r="C470" s="22">
        <v>24060723</v>
      </c>
      <c r="D470" s="14">
        <v>248.6318</v>
      </c>
      <c r="E470" s="16">
        <f t="shared" si="7"/>
        <v>96772.508584983894</v>
      </c>
    </row>
    <row r="471" spans="1:5" x14ac:dyDescent="0.25">
      <c r="A471" s="15">
        <v>103128</v>
      </c>
      <c r="B471" s="13" t="s">
        <v>1522</v>
      </c>
      <c r="C471" s="22">
        <v>27184183</v>
      </c>
      <c r="D471" s="14">
        <v>216.78399999999999</v>
      </c>
      <c r="E471" s="16">
        <f t="shared" si="7"/>
        <v>125397.55240239133</v>
      </c>
    </row>
    <row r="472" spans="1:5" x14ac:dyDescent="0.25">
      <c r="A472" s="15">
        <v>103129</v>
      </c>
      <c r="B472" s="13" t="s">
        <v>1523</v>
      </c>
      <c r="C472" s="22">
        <v>29533722</v>
      </c>
      <c r="D472" s="14">
        <v>430.3845</v>
      </c>
      <c r="E472" s="16">
        <f t="shared" si="7"/>
        <v>68621.713839601565</v>
      </c>
    </row>
    <row r="473" spans="1:5" x14ac:dyDescent="0.25">
      <c r="A473" s="15">
        <v>103130</v>
      </c>
      <c r="B473" s="13" t="s">
        <v>1524</v>
      </c>
      <c r="C473" s="22">
        <v>40423553</v>
      </c>
      <c r="D473" s="14">
        <v>818.41859999999997</v>
      </c>
      <c r="E473" s="16">
        <f t="shared" si="7"/>
        <v>49392.270654650325</v>
      </c>
    </row>
    <row r="474" spans="1:5" x14ac:dyDescent="0.25">
      <c r="A474" s="15">
        <v>103131</v>
      </c>
      <c r="B474" s="13" t="s">
        <v>1525</v>
      </c>
      <c r="C474" s="22">
        <v>43284231</v>
      </c>
      <c r="D474" s="14">
        <v>655.39359999999999</v>
      </c>
      <c r="E474" s="16">
        <f t="shared" si="7"/>
        <v>66043.10905690871</v>
      </c>
    </row>
    <row r="475" spans="1:5" x14ac:dyDescent="0.25">
      <c r="A475" s="15">
        <v>103132</v>
      </c>
      <c r="B475" s="13" t="s">
        <v>1526</v>
      </c>
      <c r="C475" s="22">
        <v>171871322</v>
      </c>
      <c r="D475" s="14">
        <v>1988.8378</v>
      </c>
      <c r="E475" s="16">
        <f t="shared" si="7"/>
        <v>86417.968323007532</v>
      </c>
    </row>
    <row r="476" spans="1:5" x14ac:dyDescent="0.25">
      <c r="A476" s="15">
        <v>103135</v>
      </c>
      <c r="B476" s="13" t="s">
        <v>1527</v>
      </c>
      <c r="C476" s="22">
        <v>32249014</v>
      </c>
      <c r="D476" s="14">
        <v>504.50729999999999</v>
      </c>
      <c r="E476" s="16">
        <f t="shared" si="7"/>
        <v>63921.798554748369</v>
      </c>
    </row>
    <row r="477" spans="1:5" x14ac:dyDescent="0.25">
      <c r="A477" s="15">
        <v>104041</v>
      </c>
      <c r="B477" s="13" t="s">
        <v>1528</v>
      </c>
      <c r="C477" s="22">
        <v>10085785</v>
      </c>
      <c r="D477" s="14">
        <v>245.50290000000001</v>
      </c>
      <c r="E477" s="16">
        <f t="shared" si="7"/>
        <v>41082.142003210553</v>
      </c>
    </row>
    <row r="478" spans="1:5" x14ac:dyDescent="0.25">
      <c r="A478" s="15">
        <v>104042</v>
      </c>
      <c r="B478" s="13" t="s">
        <v>1529</v>
      </c>
      <c r="C478" s="22">
        <v>27666218</v>
      </c>
      <c r="D478" s="14">
        <v>473.16379999999998</v>
      </c>
      <c r="E478" s="16">
        <f t="shared" si="7"/>
        <v>58470.698730545322</v>
      </c>
    </row>
    <row r="479" spans="1:5" x14ac:dyDescent="0.25">
      <c r="A479" s="15">
        <v>104043</v>
      </c>
      <c r="B479" s="13" t="s">
        <v>1530</v>
      </c>
      <c r="C479" s="22">
        <v>23782493</v>
      </c>
      <c r="D479" s="14">
        <v>658.74009999999998</v>
      </c>
      <c r="E479" s="16">
        <f t="shared" si="7"/>
        <v>36102.998739563598</v>
      </c>
    </row>
    <row r="480" spans="1:5" x14ac:dyDescent="0.25">
      <c r="A480" s="15">
        <v>104044</v>
      </c>
      <c r="B480" s="13" t="s">
        <v>1531</v>
      </c>
      <c r="C480" s="22">
        <v>326228564</v>
      </c>
      <c r="D480" s="14">
        <v>1895.8664000000001</v>
      </c>
      <c r="E480" s="16">
        <f t="shared" si="7"/>
        <v>172073.60392061379</v>
      </c>
    </row>
    <row r="481" spans="1:5" x14ac:dyDescent="0.25">
      <c r="A481" s="15">
        <v>104045</v>
      </c>
      <c r="B481" s="13" t="s">
        <v>1532</v>
      </c>
      <c r="C481" s="22">
        <v>94054005</v>
      </c>
      <c r="D481" s="14">
        <v>555.50609999999995</v>
      </c>
      <c r="E481" s="16">
        <f t="shared" si="7"/>
        <v>169312.28117927059</v>
      </c>
    </row>
    <row r="482" spans="1:5" x14ac:dyDescent="0.25">
      <c r="A482" s="15">
        <v>105123</v>
      </c>
      <c r="B482" s="13" t="s">
        <v>1533</v>
      </c>
      <c r="C482" s="22">
        <v>22699464</v>
      </c>
      <c r="D482" s="14">
        <v>281.2047</v>
      </c>
      <c r="E482" s="16">
        <f t="shared" si="7"/>
        <v>80722.20699013921</v>
      </c>
    </row>
    <row r="483" spans="1:5" x14ac:dyDescent="0.25">
      <c r="A483" s="15">
        <v>105124</v>
      </c>
      <c r="B483" s="13" t="s">
        <v>1534</v>
      </c>
      <c r="C483" s="22">
        <v>40525337</v>
      </c>
      <c r="D483" s="14">
        <v>655.19659999999999</v>
      </c>
      <c r="E483" s="16">
        <f t="shared" si="7"/>
        <v>61852.178414845257</v>
      </c>
    </row>
    <row r="484" spans="1:5" x14ac:dyDescent="0.25">
      <c r="A484" s="15">
        <v>105125</v>
      </c>
      <c r="B484" s="13" t="s">
        <v>1535</v>
      </c>
      <c r="C484" s="22">
        <v>10883952</v>
      </c>
      <c r="D484" s="14">
        <v>93.676699999999997</v>
      </c>
      <c r="E484" s="16">
        <f t="shared" si="7"/>
        <v>116186.33021872035</v>
      </c>
    </row>
    <row r="485" spans="1:5" x14ac:dyDescent="0.25">
      <c r="A485" s="15">
        <v>106001</v>
      </c>
      <c r="B485" s="13" t="s">
        <v>1536</v>
      </c>
      <c r="C485" s="22">
        <v>8094441</v>
      </c>
      <c r="D485" s="14">
        <v>155.8246</v>
      </c>
      <c r="E485" s="16">
        <f t="shared" si="7"/>
        <v>51945.848088170933</v>
      </c>
    </row>
    <row r="486" spans="1:5" x14ac:dyDescent="0.25">
      <c r="A486" s="15">
        <v>106002</v>
      </c>
      <c r="B486" s="13" t="s">
        <v>1537</v>
      </c>
      <c r="C486" s="22">
        <v>10742701</v>
      </c>
      <c r="D486" s="14">
        <v>264.45030000000003</v>
      </c>
      <c r="E486" s="16">
        <f t="shared" si="7"/>
        <v>40622.75973973181</v>
      </c>
    </row>
    <row r="487" spans="1:5" x14ac:dyDescent="0.25">
      <c r="A487" s="15">
        <v>106003</v>
      </c>
      <c r="B487" s="13" t="s">
        <v>1538</v>
      </c>
      <c r="C487" s="22">
        <v>73258797</v>
      </c>
      <c r="D487" s="14">
        <v>1117.5045</v>
      </c>
      <c r="E487" s="16">
        <f t="shared" si="7"/>
        <v>65555.706487087969</v>
      </c>
    </row>
    <row r="488" spans="1:5" x14ac:dyDescent="0.25">
      <c r="A488" s="15">
        <v>106004</v>
      </c>
      <c r="B488" s="13" t="s">
        <v>1539</v>
      </c>
      <c r="C488" s="22">
        <v>709387501</v>
      </c>
      <c r="D488" s="14">
        <v>4155.7051000000001</v>
      </c>
      <c r="E488" s="16">
        <f t="shared" si="7"/>
        <v>170702.07917303851</v>
      </c>
    </row>
    <row r="489" spans="1:5" x14ac:dyDescent="0.25">
      <c r="A489" s="15">
        <v>106005</v>
      </c>
      <c r="B489" s="13" t="s">
        <v>1540</v>
      </c>
      <c r="C489" s="22">
        <v>175971558</v>
      </c>
      <c r="D489" s="14">
        <v>1287.1175000000001</v>
      </c>
      <c r="E489" s="16">
        <f t="shared" si="7"/>
        <v>136717.55531254917</v>
      </c>
    </row>
    <row r="490" spans="1:5" x14ac:dyDescent="0.25">
      <c r="A490" s="15">
        <v>106006</v>
      </c>
      <c r="B490" s="13" t="s">
        <v>1541</v>
      </c>
      <c r="C490" s="22">
        <v>36275335</v>
      </c>
      <c r="D490" s="14">
        <v>434.93549999999999</v>
      </c>
      <c r="E490" s="16">
        <f t="shared" si="7"/>
        <v>83403.941503970127</v>
      </c>
    </row>
    <row r="491" spans="1:5" x14ac:dyDescent="0.25">
      <c r="A491" s="15">
        <v>106008</v>
      </c>
      <c r="B491" s="13" t="s">
        <v>1542</v>
      </c>
      <c r="C491" s="22">
        <v>6541273</v>
      </c>
      <c r="D491" s="14">
        <v>72.506500000000003</v>
      </c>
      <c r="E491" s="16">
        <f t="shared" si="7"/>
        <v>90216.366808493025</v>
      </c>
    </row>
    <row r="492" spans="1:5" x14ac:dyDescent="0.25">
      <c r="A492" s="15">
        <v>107151</v>
      </c>
      <c r="B492" s="13" t="s">
        <v>1543</v>
      </c>
      <c r="C492" s="22">
        <v>7477845</v>
      </c>
      <c r="D492" s="14">
        <v>94.624300000000005</v>
      </c>
      <c r="E492" s="16">
        <f t="shared" si="7"/>
        <v>79026.687647887476</v>
      </c>
    </row>
    <row r="493" spans="1:5" x14ac:dyDescent="0.25">
      <c r="A493" s="15">
        <v>107152</v>
      </c>
      <c r="B493" s="13" t="s">
        <v>1544</v>
      </c>
      <c r="C493" s="22">
        <v>53290933</v>
      </c>
      <c r="D493" s="14">
        <v>890.56039999999996</v>
      </c>
      <c r="E493" s="16">
        <f t="shared" si="7"/>
        <v>59839.773922128137</v>
      </c>
    </row>
    <row r="494" spans="1:5" x14ac:dyDescent="0.25">
      <c r="A494" s="15">
        <v>107153</v>
      </c>
      <c r="B494" s="13" t="s">
        <v>1545</v>
      </c>
      <c r="C494" s="22">
        <v>24993502</v>
      </c>
      <c r="D494" s="14">
        <v>375.80509999999998</v>
      </c>
      <c r="E494" s="16">
        <f t="shared" si="7"/>
        <v>66506.553530007979</v>
      </c>
    </row>
    <row r="495" spans="1:5" x14ac:dyDescent="0.25">
      <c r="A495" s="15">
        <v>107154</v>
      </c>
      <c r="B495" s="13" t="s">
        <v>1546</v>
      </c>
      <c r="C495" s="22">
        <v>35488642</v>
      </c>
      <c r="D495" s="14">
        <v>743.70370000000003</v>
      </c>
      <c r="E495" s="16">
        <f t="shared" si="7"/>
        <v>47718.791771507924</v>
      </c>
    </row>
    <row r="496" spans="1:5" x14ac:dyDescent="0.25">
      <c r="A496" s="15">
        <v>107155</v>
      </c>
      <c r="B496" s="13" t="s">
        <v>1547</v>
      </c>
      <c r="C496" s="22">
        <v>42893062</v>
      </c>
      <c r="D496" s="14">
        <v>726.19759999999997</v>
      </c>
      <c r="E496" s="16">
        <f t="shared" si="7"/>
        <v>59065.276448173339</v>
      </c>
    </row>
    <row r="497" spans="1:5" x14ac:dyDescent="0.25">
      <c r="A497" s="15">
        <v>107156</v>
      </c>
      <c r="B497" s="13" t="s">
        <v>1548</v>
      </c>
      <c r="C497" s="22">
        <v>28959513</v>
      </c>
      <c r="D497" s="14">
        <v>566.65650000000005</v>
      </c>
      <c r="E497" s="16">
        <f t="shared" si="7"/>
        <v>51105.939841861866</v>
      </c>
    </row>
    <row r="498" spans="1:5" x14ac:dyDescent="0.25">
      <c r="A498" s="15">
        <v>107158</v>
      </c>
      <c r="B498" s="13" t="s">
        <v>1549</v>
      </c>
      <c r="C498" s="22">
        <v>8408598</v>
      </c>
      <c r="D498" s="14">
        <v>171.72829999999999</v>
      </c>
      <c r="E498" s="16">
        <f t="shared" si="7"/>
        <v>48964.544574190746</v>
      </c>
    </row>
    <row r="499" spans="1:5" x14ac:dyDescent="0.25">
      <c r="A499" s="15">
        <v>108142</v>
      </c>
      <c r="B499" s="13" t="s">
        <v>1550</v>
      </c>
      <c r="C499" s="22">
        <v>163203247</v>
      </c>
      <c r="D499" s="14">
        <v>2371.4241999999999</v>
      </c>
      <c r="E499" s="16">
        <f t="shared" si="7"/>
        <v>68820.773187690342</v>
      </c>
    </row>
    <row r="500" spans="1:5" x14ac:dyDescent="0.25">
      <c r="A500" s="15">
        <v>108143</v>
      </c>
      <c r="B500" s="13" t="s">
        <v>1551</v>
      </c>
      <c r="C500" s="22">
        <v>11782018</v>
      </c>
      <c r="D500" s="14">
        <v>214.2774</v>
      </c>
      <c r="E500" s="16">
        <f t="shared" si="7"/>
        <v>54984.88408016898</v>
      </c>
    </row>
    <row r="501" spans="1:5" x14ac:dyDescent="0.25">
      <c r="A501" s="15">
        <v>108144</v>
      </c>
      <c r="B501" s="13" t="s">
        <v>1552</v>
      </c>
      <c r="C501" s="22">
        <v>10284443</v>
      </c>
      <c r="D501" s="14">
        <v>160.18</v>
      </c>
      <c r="E501" s="16">
        <f t="shared" si="7"/>
        <v>64205.537520289668</v>
      </c>
    </row>
    <row r="502" spans="1:5" x14ac:dyDescent="0.25">
      <c r="A502" s="15">
        <v>108147</v>
      </c>
      <c r="B502" s="13" t="s">
        <v>1553</v>
      </c>
      <c r="C502" s="22">
        <v>16531591</v>
      </c>
      <c r="D502" s="14">
        <v>204.76130000000001</v>
      </c>
      <c r="E502" s="16">
        <f t="shared" si="7"/>
        <v>80735.91542933161</v>
      </c>
    </row>
    <row r="503" spans="1:5" x14ac:dyDescent="0.25">
      <c r="A503" s="15">
        <v>109002</v>
      </c>
      <c r="B503" s="13" t="s">
        <v>1554</v>
      </c>
      <c r="C503" s="22">
        <v>172650986</v>
      </c>
      <c r="D503" s="14">
        <v>1451.7704000000001</v>
      </c>
      <c r="E503" s="16">
        <f t="shared" si="7"/>
        <v>118924.44287333588</v>
      </c>
    </row>
    <row r="504" spans="1:5" x14ac:dyDescent="0.25">
      <c r="A504" s="15">
        <v>109003</v>
      </c>
      <c r="B504" s="13" t="s">
        <v>1555</v>
      </c>
      <c r="C504" s="22">
        <v>254167763</v>
      </c>
      <c r="D504" s="14">
        <v>2779.4594000000002</v>
      </c>
      <c r="E504" s="16">
        <f t="shared" si="7"/>
        <v>91445.035318738592</v>
      </c>
    </row>
    <row r="505" spans="1:5" x14ac:dyDescent="0.25">
      <c r="A505" s="15">
        <v>110014</v>
      </c>
      <c r="B505" s="13" t="s">
        <v>1556</v>
      </c>
      <c r="C505" s="22">
        <v>30393923</v>
      </c>
      <c r="D505" s="14">
        <v>723.55229999999995</v>
      </c>
      <c r="E505" s="16">
        <f t="shared" si="7"/>
        <v>42006.532216123152</v>
      </c>
    </row>
    <row r="506" spans="1:5" x14ac:dyDescent="0.25">
      <c r="A506" s="15">
        <v>110029</v>
      </c>
      <c r="B506" s="13" t="s">
        <v>1557</v>
      </c>
      <c r="C506" s="22">
        <v>84442507</v>
      </c>
      <c r="D506" s="14">
        <v>2191.4960999999998</v>
      </c>
      <c r="E506" s="16">
        <f t="shared" si="7"/>
        <v>38531.899281043668</v>
      </c>
    </row>
    <row r="507" spans="1:5" x14ac:dyDescent="0.25">
      <c r="A507" s="15">
        <v>110030</v>
      </c>
      <c r="B507" s="13" t="s">
        <v>1558</v>
      </c>
      <c r="C507" s="22">
        <v>13363587</v>
      </c>
      <c r="D507" s="14">
        <v>208.06389999999999</v>
      </c>
      <c r="E507" s="16">
        <f t="shared" si="7"/>
        <v>64228.282753519474</v>
      </c>
    </row>
    <row r="508" spans="1:5" x14ac:dyDescent="0.25">
      <c r="A508" s="15">
        <v>110031</v>
      </c>
      <c r="B508" s="13" t="s">
        <v>1559</v>
      </c>
      <c r="C508" s="22">
        <v>21591977</v>
      </c>
      <c r="D508" s="14">
        <v>357.94659999999999</v>
      </c>
      <c r="E508" s="16">
        <f t="shared" si="7"/>
        <v>60321.782634616451</v>
      </c>
    </row>
    <row r="509" spans="1:5" x14ac:dyDescent="0.25">
      <c r="A509" s="15">
        <v>111086</v>
      </c>
      <c r="B509" s="13" t="s">
        <v>1560</v>
      </c>
      <c r="C509" s="22">
        <v>39612849</v>
      </c>
      <c r="D509" s="14">
        <v>701.07939999999996</v>
      </c>
      <c r="E509" s="16">
        <f t="shared" si="7"/>
        <v>56502.657188329882</v>
      </c>
    </row>
    <row r="510" spans="1:5" x14ac:dyDescent="0.25">
      <c r="A510" s="15">
        <v>111087</v>
      </c>
      <c r="B510" s="13" t="s">
        <v>1561</v>
      </c>
      <c r="C510" s="22">
        <v>63143153</v>
      </c>
      <c r="D510" s="14">
        <v>969.86940000000004</v>
      </c>
      <c r="E510" s="16">
        <f t="shared" si="7"/>
        <v>65104.799677152405</v>
      </c>
    </row>
    <row r="511" spans="1:5" x14ac:dyDescent="0.25">
      <c r="A511" s="15">
        <v>112099</v>
      </c>
      <c r="B511" s="13" t="s">
        <v>1562</v>
      </c>
      <c r="C511" s="22">
        <v>13506473</v>
      </c>
      <c r="D511" s="14">
        <v>227.15280000000001</v>
      </c>
      <c r="E511" s="16">
        <f t="shared" si="7"/>
        <v>59459.856977329793</v>
      </c>
    </row>
    <row r="512" spans="1:5" x14ac:dyDescent="0.25">
      <c r="A512" s="15">
        <v>112101</v>
      </c>
      <c r="B512" s="13" t="s">
        <v>1563</v>
      </c>
      <c r="C512" s="22">
        <v>29487800</v>
      </c>
      <c r="D512" s="14">
        <v>602.06399999999996</v>
      </c>
      <c r="E512" s="16">
        <f t="shared" si="7"/>
        <v>48977.849530946878</v>
      </c>
    </row>
    <row r="513" spans="1:5" x14ac:dyDescent="0.25">
      <c r="A513" s="15">
        <v>112102</v>
      </c>
      <c r="B513" s="13" t="s">
        <v>1564</v>
      </c>
      <c r="C513" s="22">
        <v>157238332</v>
      </c>
      <c r="D513" s="14">
        <v>2800.6419000000001</v>
      </c>
      <c r="E513" s="16">
        <f t="shared" si="7"/>
        <v>56143.676205087126</v>
      </c>
    </row>
    <row r="514" spans="1:5" x14ac:dyDescent="0.25">
      <c r="A514" s="15">
        <v>112103</v>
      </c>
      <c r="B514" s="13" t="s">
        <v>1565</v>
      </c>
      <c r="C514" s="22">
        <v>41676687</v>
      </c>
      <c r="D514" s="14">
        <v>766.38679999999999</v>
      </c>
      <c r="E514" s="16">
        <f t="shared" si="7"/>
        <v>54380.747424146655</v>
      </c>
    </row>
    <row r="515" spans="1:5" x14ac:dyDescent="0.25">
      <c r="A515" s="15">
        <v>113001</v>
      </c>
      <c r="B515" s="13" t="s">
        <v>1566</v>
      </c>
      <c r="C515" s="22">
        <v>23812650</v>
      </c>
      <c r="D515" s="14">
        <v>325.96260000000001</v>
      </c>
      <c r="E515" s="16">
        <f t="shared" ref="E515:E521" si="8">C515/D515</f>
        <v>73053.319613967979</v>
      </c>
    </row>
    <row r="516" spans="1:5" x14ac:dyDescent="0.25">
      <c r="A516" s="15">
        <v>114112</v>
      </c>
      <c r="B516" s="13" t="s">
        <v>1567</v>
      </c>
      <c r="C516" s="22">
        <v>15215596</v>
      </c>
      <c r="D516" s="14">
        <v>402.57479999999998</v>
      </c>
      <c r="E516" s="16">
        <f t="shared" si="8"/>
        <v>37795.699084989923</v>
      </c>
    </row>
    <row r="517" spans="1:5" x14ac:dyDescent="0.25">
      <c r="A517" s="15">
        <v>114113</v>
      </c>
      <c r="B517" s="13" t="s">
        <v>1568</v>
      </c>
      <c r="C517" s="22">
        <v>33099004</v>
      </c>
      <c r="D517" s="14">
        <v>675.48720000000003</v>
      </c>
      <c r="E517" s="16">
        <f t="shared" si="8"/>
        <v>49000.194230179339</v>
      </c>
    </row>
    <row r="518" spans="1:5" x14ac:dyDescent="0.25">
      <c r="A518" s="15">
        <v>114114</v>
      </c>
      <c r="B518" s="13" t="s">
        <v>1569</v>
      </c>
      <c r="C518" s="22">
        <v>84478614</v>
      </c>
      <c r="D518" s="14">
        <v>1359.9322999999999</v>
      </c>
      <c r="E518" s="16">
        <f t="shared" si="8"/>
        <v>62119.720224308228</v>
      </c>
    </row>
    <row r="519" spans="1:5" x14ac:dyDescent="0.25">
      <c r="A519" s="15">
        <v>114115</v>
      </c>
      <c r="B519" s="13" t="s">
        <v>1570</v>
      </c>
      <c r="C519" s="22">
        <v>33144747</v>
      </c>
      <c r="D519" s="14">
        <v>715.28620000000001</v>
      </c>
      <c r="E519" s="16">
        <f t="shared" si="8"/>
        <v>46337.741452302587</v>
      </c>
    </row>
    <row r="520" spans="1:5" x14ac:dyDescent="0.25">
      <c r="A520" s="15">
        <v>114116</v>
      </c>
      <c r="B520" s="13" t="s">
        <v>1571</v>
      </c>
      <c r="C520" s="22">
        <v>4580673</v>
      </c>
      <c r="D520" s="14">
        <v>81.540999999999997</v>
      </c>
      <c r="E520" s="16">
        <f t="shared" si="8"/>
        <v>56176.31620902368</v>
      </c>
    </row>
    <row r="521" spans="1:5" x14ac:dyDescent="0.25">
      <c r="A521" s="15">
        <v>115115</v>
      </c>
      <c r="B521" s="13" t="s">
        <v>1572</v>
      </c>
      <c r="C521" s="22">
        <v>4144977723</v>
      </c>
      <c r="D521" s="14">
        <v>20491.4352</v>
      </c>
      <c r="E521" s="16">
        <f t="shared" si="8"/>
        <v>202278.54625819475</v>
      </c>
    </row>
    <row r="523" spans="1:5" ht="15.75" thickBot="1" x14ac:dyDescent="0.3">
      <c r="A523" s="26" t="s">
        <v>1052</v>
      </c>
      <c r="B523" s="24"/>
      <c r="C523" s="28">
        <f>SUM(C1:C522)</f>
        <v>89193985296</v>
      </c>
      <c r="D523" s="29">
        <f>SUM(D1:D522)</f>
        <v>816378.56909999985</v>
      </c>
    </row>
    <row r="524" spans="1:5" ht="15.75" thickTop="1" x14ac:dyDescent="0.25"/>
    <row r="525" spans="1:5" ht="15.75" thickBot="1" x14ac:dyDescent="0.3">
      <c r="A525" s="26" t="s">
        <v>1048</v>
      </c>
      <c r="B525" s="24"/>
      <c r="C525" s="27"/>
      <c r="D525" s="18"/>
      <c r="E525" s="5">
        <f>C523/D523</f>
        <v>109255.6672504646</v>
      </c>
    </row>
    <row r="526" spans="1:5" ht="15.75" thickTop="1" x14ac:dyDescent="0.25">
      <c r="A526" s="11" t="s">
        <v>3</v>
      </c>
    </row>
    <row r="527" spans="1:5" x14ac:dyDescent="0.25">
      <c r="A527" s="11"/>
    </row>
    <row r="528" spans="1:5" x14ac:dyDescent="0.25">
      <c r="A528" s="11" t="s">
        <v>4</v>
      </c>
    </row>
    <row r="529" spans="1:1" x14ac:dyDescent="0.25">
      <c r="A529" s="11" t="s">
        <v>5</v>
      </c>
    </row>
    <row r="530" spans="1:1" x14ac:dyDescent="0.25">
      <c r="A530" s="11"/>
    </row>
    <row r="531" spans="1:1" x14ac:dyDescent="0.25">
      <c r="A531" s="11" t="s">
        <v>6</v>
      </c>
    </row>
    <row r="532" spans="1:1" x14ac:dyDescent="0.25">
      <c r="A532" s="11" t="s">
        <v>7</v>
      </c>
    </row>
    <row r="533" spans="1:1" x14ac:dyDescent="0.25">
      <c r="A533" s="11"/>
    </row>
    <row r="534" spans="1:1" x14ac:dyDescent="0.25">
      <c r="A534" s="11" t="s">
        <v>1046</v>
      </c>
    </row>
    <row r="535" spans="1:1" x14ac:dyDescent="0.25">
      <c r="A535" s="11" t="s">
        <v>1047</v>
      </c>
    </row>
  </sheetData>
  <pageMargins left="0.7" right="0.7" top="0.95" bottom="0.75" header="0.3" footer="0.3"/>
  <pageSetup orientation="portrait" horizontalDpi="4294967295" verticalDpi="4294967295" r:id="rId1"/>
  <headerFooter>
    <oddHeader xml:space="preserve">&amp;C&amp;"-,Bold"Missouri Department of Elementary and Secondary Education
School Finance 
Assessed Valuation per ADA for 2011-2012&amp;"-,Regular"
</oddHeader>
    <oddFooter>&amp;R&amp;P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5"/>
  <sheetViews>
    <sheetView view="pageLayout" zoomScaleNormal="100" workbookViewId="0">
      <selection activeCell="D9" sqref="D9"/>
    </sheetView>
  </sheetViews>
  <sheetFormatPr defaultColWidth="8.85546875" defaultRowHeight="15" x14ac:dyDescent="0.25"/>
  <cols>
    <col min="1" max="1" width="9.140625" style="15" customWidth="1"/>
    <col min="2" max="2" width="28.85546875" style="13" bestFit="1" customWidth="1"/>
    <col min="3" max="3" width="13.85546875" style="17" bestFit="1" customWidth="1"/>
    <col min="4" max="4" width="12.140625" style="14" bestFit="1" customWidth="1"/>
    <col min="5" max="5" width="15.42578125" style="16" customWidth="1"/>
    <col min="6" max="16384" width="8.85546875" style="13"/>
  </cols>
  <sheetData>
    <row r="1" spans="1:5" s="1" customFormat="1" ht="45.75" thickBot="1" x14ac:dyDescent="0.3">
      <c r="A1" s="6" t="s">
        <v>0</v>
      </c>
      <c r="B1" s="7" t="s">
        <v>1</v>
      </c>
      <c r="C1" s="8" t="s">
        <v>1573</v>
      </c>
      <c r="D1" s="9" t="s">
        <v>1043</v>
      </c>
      <c r="E1" s="10" t="s">
        <v>2</v>
      </c>
    </row>
    <row r="2" spans="1:5" x14ac:dyDescent="0.25">
      <c r="A2" s="15">
        <v>1090</v>
      </c>
      <c r="B2" s="13" t="s">
        <v>1054</v>
      </c>
      <c r="C2" s="22">
        <v>13574320</v>
      </c>
      <c r="D2" s="14">
        <v>244.56530000000004</v>
      </c>
      <c r="E2" s="16">
        <f>C2/D2</f>
        <v>55503.8674742492</v>
      </c>
    </row>
    <row r="3" spans="1:5" x14ac:dyDescent="0.25">
      <c r="A3" s="15">
        <v>1091</v>
      </c>
      <c r="B3" s="13" t="s">
        <v>1055</v>
      </c>
      <c r="C3" s="22">
        <v>196075900</v>
      </c>
      <c r="D3" s="14">
        <v>2412.1079</v>
      </c>
      <c r="E3" s="16">
        <f t="shared" ref="E3:E66" si="0">C3/D3</f>
        <v>81288.196104328497</v>
      </c>
    </row>
    <row r="4" spans="1:5" x14ac:dyDescent="0.25">
      <c r="A4" s="15">
        <v>1092</v>
      </c>
      <c r="B4" s="13" t="s">
        <v>1056</v>
      </c>
      <c r="C4" s="22">
        <v>11805825</v>
      </c>
      <c r="D4" s="14">
        <v>212.84630000000001</v>
      </c>
      <c r="E4" s="16">
        <f t="shared" si="0"/>
        <v>55466.432820302725</v>
      </c>
    </row>
    <row r="5" spans="1:5" x14ac:dyDescent="0.25">
      <c r="A5" s="15">
        <v>2089</v>
      </c>
      <c r="B5" s="13" t="s">
        <v>1057</v>
      </c>
      <c r="C5" s="22">
        <v>18129570</v>
      </c>
      <c r="D5" s="14">
        <v>355.73629999999997</v>
      </c>
      <c r="E5" s="16">
        <f t="shared" si="0"/>
        <v>50963.508643902802</v>
      </c>
    </row>
    <row r="6" spans="1:5" x14ac:dyDescent="0.25">
      <c r="A6" s="15">
        <v>2090</v>
      </c>
      <c r="B6" s="13" t="s">
        <v>1058</v>
      </c>
      <c r="C6" s="22">
        <v>16789080</v>
      </c>
      <c r="D6" s="14">
        <v>188.0367</v>
      </c>
      <c r="E6" s="16">
        <f t="shared" si="0"/>
        <v>89286.187217708037</v>
      </c>
    </row>
    <row r="7" spans="1:5" x14ac:dyDescent="0.25">
      <c r="A7" s="15">
        <v>2097</v>
      </c>
      <c r="B7" s="13" t="s">
        <v>1059</v>
      </c>
      <c r="C7" s="22">
        <v>145534670</v>
      </c>
      <c r="D7" s="14">
        <v>2271.3542000000002</v>
      </c>
      <c r="E7" s="16">
        <f t="shared" si="0"/>
        <v>64073.965214232099</v>
      </c>
    </row>
    <row r="8" spans="1:5" x14ac:dyDescent="0.25">
      <c r="A8" s="15">
        <v>3031</v>
      </c>
      <c r="B8" s="13" t="s">
        <v>1060</v>
      </c>
      <c r="C8" s="22">
        <v>41277777</v>
      </c>
      <c r="D8" s="14">
        <v>304.78919999999999</v>
      </c>
      <c r="E8" s="16">
        <f t="shared" si="0"/>
        <v>135430.57628026191</v>
      </c>
    </row>
    <row r="9" spans="1:5" x14ac:dyDescent="0.25">
      <c r="A9" s="15">
        <v>3032</v>
      </c>
      <c r="B9" s="13" t="s">
        <v>1061</v>
      </c>
      <c r="C9" s="22">
        <v>42419302</v>
      </c>
      <c r="D9" s="14">
        <v>344.7946</v>
      </c>
      <c r="E9" s="16">
        <f t="shared" si="0"/>
        <v>123027.74463405169</v>
      </c>
    </row>
    <row r="10" spans="1:5" x14ac:dyDescent="0.25">
      <c r="A10" s="15">
        <v>3033</v>
      </c>
      <c r="B10" s="13" t="s">
        <v>1062</v>
      </c>
      <c r="C10" s="22">
        <v>16317350</v>
      </c>
      <c r="D10" s="14">
        <v>142.72399999999999</v>
      </c>
      <c r="E10" s="16">
        <f t="shared" si="0"/>
        <v>114328.00369944789</v>
      </c>
    </row>
    <row r="11" spans="1:5" x14ac:dyDescent="0.25">
      <c r="A11" s="15">
        <v>4106</v>
      </c>
      <c r="B11" s="13" t="s">
        <v>1063</v>
      </c>
      <c r="C11" s="22">
        <v>34418917</v>
      </c>
      <c r="D11" s="14">
        <v>283.94650000000007</v>
      </c>
      <c r="E11" s="16">
        <f t="shared" si="0"/>
        <v>121216.20446105162</v>
      </c>
    </row>
    <row r="12" spans="1:5" x14ac:dyDescent="0.25">
      <c r="A12" s="15">
        <v>4109</v>
      </c>
      <c r="B12" s="13" t="s">
        <v>1064</v>
      </c>
      <c r="C12" s="22">
        <v>39215424</v>
      </c>
      <c r="D12" s="14">
        <v>594.9267000000001</v>
      </c>
      <c r="E12" s="16">
        <f t="shared" si="0"/>
        <v>65916.396087114583</v>
      </c>
    </row>
    <row r="13" spans="1:5" x14ac:dyDescent="0.25">
      <c r="A13" s="15">
        <v>4110</v>
      </c>
      <c r="B13" s="13" t="s">
        <v>1065</v>
      </c>
      <c r="C13" s="22">
        <v>186590769</v>
      </c>
      <c r="D13" s="14">
        <v>2244.3594000000003</v>
      </c>
      <c r="E13" s="16">
        <f t="shared" si="0"/>
        <v>83137.651215754478</v>
      </c>
    </row>
    <row r="14" spans="1:5" x14ac:dyDescent="0.25">
      <c r="A14" s="15">
        <v>5120</v>
      </c>
      <c r="B14" s="13" t="s">
        <v>1066</v>
      </c>
      <c r="C14" s="22">
        <v>17431016</v>
      </c>
      <c r="D14" s="14">
        <v>419.15859999999998</v>
      </c>
      <c r="E14" s="16">
        <f t="shared" si="0"/>
        <v>41585.729124966063</v>
      </c>
    </row>
    <row r="15" spans="1:5" x14ac:dyDescent="0.25">
      <c r="A15" s="15">
        <v>5121</v>
      </c>
      <c r="B15" s="13" t="s">
        <v>1067</v>
      </c>
      <c r="C15" s="22">
        <v>32792094</v>
      </c>
      <c r="D15" s="14">
        <v>756.88919999999996</v>
      </c>
      <c r="E15" s="16">
        <f t="shared" si="0"/>
        <v>43324.827464838978</v>
      </c>
    </row>
    <row r="16" spans="1:5" x14ac:dyDescent="0.25">
      <c r="A16" s="15">
        <v>5122</v>
      </c>
      <c r="B16" s="13" t="s">
        <v>1068</v>
      </c>
      <c r="C16" s="22">
        <v>12517918</v>
      </c>
      <c r="D16" s="14">
        <v>344.55989999999997</v>
      </c>
      <c r="E16" s="16">
        <f t="shared" si="0"/>
        <v>36330.164943744181</v>
      </c>
    </row>
    <row r="17" spans="1:5" x14ac:dyDescent="0.25">
      <c r="A17" s="15">
        <v>5123</v>
      </c>
      <c r="B17" s="13" t="s">
        <v>1069</v>
      </c>
      <c r="C17" s="22">
        <v>153376774</v>
      </c>
      <c r="D17" s="14">
        <v>1706.3278000000003</v>
      </c>
      <c r="E17" s="16">
        <f t="shared" si="0"/>
        <v>89887.051010948766</v>
      </c>
    </row>
    <row r="18" spans="1:5" x14ac:dyDescent="0.25">
      <c r="A18" s="15">
        <v>5124</v>
      </c>
      <c r="B18" s="13" t="s">
        <v>1070</v>
      </c>
      <c r="C18" s="22">
        <v>25034436</v>
      </c>
      <c r="D18" s="14">
        <v>671.73469999999998</v>
      </c>
      <c r="E18" s="16">
        <f t="shared" si="0"/>
        <v>37268.338229363471</v>
      </c>
    </row>
    <row r="19" spans="1:5" x14ac:dyDescent="0.25">
      <c r="A19" s="15">
        <v>5127</v>
      </c>
      <c r="B19" s="13" t="s">
        <v>1071</v>
      </c>
      <c r="C19" s="22">
        <v>56861295</v>
      </c>
      <c r="D19" s="14">
        <v>196.88</v>
      </c>
      <c r="E19" s="16">
        <f t="shared" si="0"/>
        <v>288811.94128403091</v>
      </c>
    </row>
    <row r="20" spans="1:5" x14ac:dyDescent="0.25">
      <c r="A20" s="15">
        <v>5128</v>
      </c>
      <c r="B20" s="13" t="s">
        <v>1072</v>
      </c>
      <c r="C20" s="22">
        <v>158387308</v>
      </c>
      <c r="D20" s="14">
        <v>2162.2143999999998</v>
      </c>
      <c r="E20" s="16">
        <f t="shared" si="0"/>
        <v>73252.360172978224</v>
      </c>
    </row>
    <row r="21" spans="1:5" x14ac:dyDescent="0.25">
      <c r="A21" s="15">
        <v>6101</v>
      </c>
      <c r="B21" s="13" t="s">
        <v>1073</v>
      </c>
      <c r="C21" s="22">
        <v>27971358</v>
      </c>
      <c r="D21" s="14">
        <v>441.45310000000006</v>
      </c>
      <c r="E21" s="16">
        <f t="shared" si="0"/>
        <v>63362.015126861712</v>
      </c>
    </row>
    <row r="22" spans="1:5" x14ac:dyDescent="0.25">
      <c r="A22" s="15">
        <v>6103</v>
      </c>
      <c r="B22" s="13" t="s">
        <v>1074</v>
      </c>
      <c r="C22" s="22">
        <v>16362686</v>
      </c>
      <c r="D22" s="14">
        <v>249.41340000000002</v>
      </c>
      <c r="E22" s="16">
        <f t="shared" si="0"/>
        <v>65604.678818379442</v>
      </c>
    </row>
    <row r="23" spans="1:5" x14ac:dyDescent="0.25">
      <c r="A23" s="15">
        <v>6104</v>
      </c>
      <c r="B23" s="13" t="s">
        <v>1075</v>
      </c>
      <c r="C23" s="22">
        <v>111244831</v>
      </c>
      <c r="D23" s="14">
        <v>1226.8385000000001</v>
      </c>
      <c r="E23" s="16">
        <f t="shared" si="0"/>
        <v>90676.01888920179</v>
      </c>
    </row>
    <row r="24" spans="1:5" x14ac:dyDescent="0.25">
      <c r="A24" s="15">
        <v>7121</v>
      </c>
      <c r="B24" s="13" t="s">
        <v>1076</v>
      </c>
      <c r="C24" s="22">
        <v>13294385</v>
      </c>
      <c r="D24" s="14">
        <v>188.93439999999998</v>
      </c>
      <c r="E24" s="16">
        <f t="shared" si="0"/>
        <v>70365.084389078969</v>
      </c>
    </row>
    <row r="25" spans="1:5" x14ac:dyDescent="0.25">
      <c r="A25" s="15">
        <v>7122</v>
      </c>
      <c r="B25" s="13" t="s">
        <v>1077</v>
      </c>
      <c r="C25" s="22">
        <v>9043850</v>
      </c>
      <c r="D25" s="14">
        <v>142.71420000000001</v>
      </c>
      <c r="E25" s="16">
        <f t="shared" si="0"/>
        <v>63370.358380595622</v>
      </c>
    </row>
    <row r="26" spans="1:5" x14ac:dyDescent="0.25">
      <c r="A26" s="15">
        <v>7123</v>
      </c>
      <c r="B26" s="13" t="s">
        <v>1078</v>
      </c>
      <c r="C26" s="22">
        <v>36671577</v>
      </c>
      <c r="D26" s="14">
        <v>727.31009999999992</v>
      </c>
      <c r="E26" s="16">
        <f t="shared" si="0"/>
        <v>50420.827374733286</v>
      </c>
    </row>
    <row r="27" spans="1:5" x14ac:dyDescent="0.25">
      <c r="A27" s="15">
        <v>7124</v>
      </c>
      <c r="B27" s="13" t="s">
        <v>1079</v>
      </c>
      <c r="C27" s="22">
        <v>20628856</v>
      </c>
      <c r="D27" s="14">
        <v>398.39729999999997</v>
      </c>
      <c r="E27" s="16">
        <f t="shared" si="0"/>
        <v>51779.607944130148</v>
      </c>
    </row>
    <row r="28" spans="1:5" x14ac:dyDescent="0.25">
      <c r="A28" s="15">
        <v>7125</v>
      </c>
      <c r="B28" s="13" t="s">
        <v>1080</v>
      </c>
      <c r="C28" s="22">
        <v>7377115</v>
      </c>
      <c r="D28" s="14">
        <v>133.15500000000003</v>
      </c>
      <c r="E28" s="16">
        <f t="shared" si="0"/>
        <v>55402.463294656591</v>
      </c>
    </row>
    <row r="29" spans="1:5" x14ac:dyDescent="0.25">
      <c r="A29" s="15">
        <v>7126</v>
      </c>
      <c r="B29" s="13" t="s">
        <v>1081</v>
      </c>
      <c r="C29" s="22">
        <v>6351485</v>
      </c>
      <c r="D29" s="14">
        <v>71.136100000000013</v>
      </c>
      <c r="E29" s="16">
        <f t="shared" si="0"/>
        <v>89286.382019818338</v>
      </c>
    </row>
    <row r="30" spans="1:5" x14ac:dyDescent="0.25">
      <c r="A30" s="15">
        <v>7129</v>
      </c>
      <c r="B30" s="13" t="s">
        <v>1082</v>
      </c>
      <c r="C30" s="22">
        <v>68039798</v>
      </c>
      <c r="D30" s="14">
        <v>947.48850000000016</v>
      </c>
      <c r="E30" s="16">
        <f t="shared" si="0"/>
        <v>71810.684773482732</v>
      </c>
    </row>
    <row r="31" spans="1:5" x14ac:dyDescent="0.25">
      <c r="A31" s="15">
        <v>8106</v>
      </c>
      <c r="B31" s="13" t="s">
        <v>1083</v>
      </c>
      <c r="C31" s="22">
        <v>38768009</v>
      </c>
      <c r="D31" s="14">
        <v>484.20300000000003</v>
      </c>
      <c r="E31" s="16">
        <f t="shared" si="0"/>
        <v>80065.610911126118</v>
      </c>
    </row>
    <row r="32" spans="1:5" x14ac:dyDescent="0.25">
      <c r="A32" s="15">
        <v>8107</v>
      </c>
      <c r="B32" s="13" t="s">
        <v>1084</v>
      </c>
      <c r="C32" s="22">
        <v>137664346</v>
      </c>
      <c r="D32" s="14">
        <v>1209.7831000000001</v>
      </c>
      <c r="E32" s="16">
        <f t="shared" si="0"/>
        <v>113792.58480301137</v>
      </c>
    </row>
    <row r="33" spans="1:5" x14ac:dyDescent="0.25">
      <c r="A33" s="15">
        <v>8111</v>
      </c>
      <c r="B33" s="13" t="s">
        <v>1085</v>
      </c>
      <c r="C33" s="22">
        <v>48990778</v>
      </c>
      <c r="D33" s="14">
        <v>715.82299999999998</v>
      </c>
      <c r="E33" s="16">
        <f t="shared" si="0"/>
        <v>68439.793077338953</v>
      </c>
    </row>
    <row r="34" spans="1:5" x14ac:dyDescent="0.25">
      <c r="A34" s="15">
        <v>9077</v>
      </c>
      <c r="B34" s="13" t="s">
        <v>1086</v>
      </c>
      <c r="C34" s="22">
        <v>30460653</v>
      </c>
      <c r="D34" s="14">
        <v>510.75509999999997</v>
      </c>
      <c r="E34" s="16">
        <f t="shared" si="0"/>
        <v>59638.470570337922</v>
      </c>
    </row>
    <row r="35" spans="1:5" x14ac:dyDescent="0.25">
      <c r="A35" s="15">
        <v>9078</v>
      </c>
      <c r="B35" s="13" t="s">
        <v>1087</v>
      </c>
      <c r="C35" s="22">
        <v>7590780</v>
      </c>
      <c r="D35" s="14">
        <v>185.33770000000001</v>
      </c>
      <c r="E35" s="16">
        <f t="shared" si="0"/>
        <v>40956.481061327511</v>
      </c>
    </row>
    <row r="36" spans="1:5" x14ac:dyDescent="0.25">
      <c r="A36" s="15">
        <v>9079</v>
      </c>
      <c r="B36" s="13" t="s">
        <v>1088</v>
      </c>
      <c r="C36" s="22">
        <v>11114380</v>
      </c>
      <c r="D36" s="14">
        <v>228.26939999999999</v>
      </c>
      <c r="E36" s="16">
        <f t="shared" si="0"/>
        <v>48689.749918298294</v>
      </c>
    </row>
    <row r="37" spans="1:5" x14ac:dyDescent="0.25">
      <c r="A37" s="15">
        <v>9080</v>
      </c>
      <c r="B37" s="13" t="s">
        <v>1089</v>
      </c>
      <c r="C37" s="22">
        <v>46744196</v>
      </c>
      <c r="D37" s="14">
        <v>851.16820000000007</v>
      </c>
      <c r="E37" s="16">
        <f t="shared" si="0"/>
        <v>54917.695468416227</v>
      </c>
    </row>
    <row r="38" spans="1:5" x14ac:dyDescent="0.25">
      <c r="A38" s="15">
        <v>10087</v>
      </c>
      <c r="B38" s="13" t="s">
        <v>1090</v>
      </c>
      <c r="C38" s="22">
        <v>102551549</v>
      </c>
      <c r="D38" s="14">
        <v>1415.6252000000002</v>
      </c>
      <c r="E38" s="16">
        <f t="shared" si="0"/>
        <v>72442.585085374289</v>
      </c>
    </row>
    <row r="39" spans="1:5" x14ac:dyDescent="0.25">
      <c r="A39" s="15">
        <v>10089</v>
      </c>
      <c r="B39" s="13" t="s">
        <v>1091</v>
      </c>
      <c r="C39" s="22">
        <v>68056246</v>
      </c>
      <c r="D39" s="14">
        <v>1232.2882999999999</v>
      </c>
      <c r="E39" s="16">
        <f t="shared" si="0"/>
        <v>55227.535634315449</v>
      </c>
    </row>
    <row r="40" spans="1:5" x14ac:dyDescent="0.25">
      <c r="A40" s="15">
        <v>10090</v>
      </c>
      <c r="B40" s="13" t="s">
        <v>1092</v>
      </c>
      <c r="C40" s="22">
        <v>35767840</v>
      </c>
      <c r="D40" s="14">
        <v>430.23980000000006</v>
      </c>
      <c r="E40" s="16">
        <f t="shared" si="0"/>
        <v>83134.661181973395</v>
      </c>
    </row>
    <row r="41" spans="1:5" x14ac:dyDescent="0.25">
      <c r="A41" s="15">
        <v>10091</v>
      </c>
      <c r="B41" s="13" t="s">
        <v>1093</v>
      </c>
      <c r="C41" s="22">
        <v>93054717</v>
      </c>
      <c r="D41" s="14">
        <v>1273.2944000000002</v>
      </c>
      <c r="E41" s="16">
        <f t="shared" si="0"/>
        <v>73081.855225311592</v>
      </c>
    </row>
    <row r="42" spans="1:5" x14ac:dyDescent="0.25">
      <c r="A42" s="15">
        <v>10092</v>
      </c>
      <c r="B42" s="13" t="s">
        <v>1094</v>
      </c>
      <c r="C42" s="22">
        <v>33184516</v>
      </c>
      <c r="D42" s="14">
        <v>516.36030000000005</v>
      </c>
      <c r="E42" s="16">
        <f t="shared" si="0"/>
        <v>64266.20326930633</v>
      </c>
    </row>
    <row r="43" spans="1:5" x14ac:dyDescent="0.25">
      <c r="A43" s="15">
        <v>10093</v>
      </c>
      <c r="B43" s="13" t="s">
        <v>1095</v>
      </c>
      <c r="C43" s="22">
        <v>2008104257</v>
      </c>
      <c r="D43" s="14">
        <v>16262.81390000001</v>
      </c>
      <c r="E43" s="16">
        <f t="shared" si="0"/>
        <v>123478.27807339041</v>
      </c>
    </row>
    <row r="44" spans="1:5" x14ac:dyDescent="0.25">
      <c r="A44" s="15">
        <v>11076</v>
      </c>
      <c r="B44" s="13" t="s">
        <v>1096</v>
      </c>
      <c r="C44" s="22">
        <v>56504493</v>
      </c>
      <c r="D44" s="14">
        <v>712.06899999999996</v>
      </c>
      <c r="E44" s="16">
        <f t="shared" si="0"/>
        <v>79352.552912709303</v>
      </c>
    </row>
    <row r="45" spans="1:5" x14ac:dyDescent="0.25">
      <c r="A45" s="15">
        <v>11078</v>
      </c>
      <c r="B45" s="13" t="s">
        <v>1097</v>
      </c>
      <c r="C45" s="22">
        <v>58360119</v>
      </c>
      <c r="D45" s="14">
        <v>641.93200000000013</v>
      </c>
      <c r="E45" s="16">
        <f t="shared" si="0"/>
        <v>90913.24158945182</v>
      </c>
    </row>
    <row r="46" spans="1:5" x14ac:dyDescent="0.25">
      <c r="A46" s="15">
        <v>11079</v>
      </c>
      <c r="B46" s="13" t="s">
        <v>1098</v>
      </c>
      <c r="C46" s="22">
        <v>19286674</v>
      </c>
      <c r="D46" s="14">
        <v>307.06370000000004</v>
      </c>
      <c r="E46" s="16">
        <f t="shared" si="0"/>
        <v>62810.009779729735</v>
      </c>
    </row>
    <row r="47" spans="1:5" x14ac:dyDescent="0.25">
      <c r="A47" s="15">
        <v>11082</v>
      </c>
      <c r="B47" s="13" t="s">
        <v>1099</v>
      </c>
      <c r="C47" s="22">
        <v>993504568</v>
      </c>
      <c r="D47" s="14">
        <v>11012.743200000004</v>
      </c>
      <c r="E47" s="16">
        <f t="shared" si="0"/>
        <v>90214.086532045854</v>
      </c>
    </row>
    <row r="48" spans="1:5" x14ac:dyDescent="0.25">
      <c r="A48" s="15">
        <v>12108</v>
      </c>
      <c r="B48" s="13" t="s">
        <v>1100</v>
      </c>
      <c r="C48" s="22">
        <v>31225834</v>
      </c>
      <c r="D48" s="14">
        <v>568.15960000000007</v>
      </c>
      <c r="E48" s="16">
        <f t="shared" si="0"/>
        <v>54959.616980862411</v>
      </c>
    </row>
    <row r="49" spans="1:5" x14ac:dyDescent="0.25">
      <c r="A49" s="15">
        <v>12109</v>
      </c>
      <c r="B49" s="13" t="s">
        <v>1101</v>
      </c>
      <c r="C49" s="22">
        <v>384948973</v>
      </c>
      <c r="D49" s="14">
        <v>4619.0092999999997</v>
      </c>
      <c r="E49" s="16">
        <f t="shared" si="0"/>
        <v>83340.159761098563</v>
      </c>
    </row>
    <row r="50" spans="1:5" x14ac:dyDescent="0.25">
      <c r="A50" s="15">
        <v>12110</v>
      </c>
      <c r="B50" s="13" t="s">
        <v>1102</v>
      </c>
      <c r="C50" s="22">
        <v>55244361</v>
      </c>
      <c r="D50" s="14">
        <v>913.80709999999988</v>
      </c>
      <c r="E50" s="16">
        <f t="shared" si="0"/>
        <v>60455.167179156306</v>
      </c>
    </row>
    <row r="51" spans="1:5" x14ac:dyDescent="0.25">
      <c r="A51" s="15">
        <v>13054</v>
      </c>
      <c r="B51" s="13" t="s">
        <v>1103</v>
      </c>
      <c r="C51" s="22">
        <v>6206466</v>
      </c>
      <c r="D51" s="14">
        <v>82.710099999999997</v>
      </c>
      <c r="E51" s="16">
        <f t="shared" si="0"/>
        <v>75038.79211849581</v>
      </c>
    </row>
    <row r="52" spans="1:5" x14ac:dyDescent="0.25">
      <c r="A52" s="15">
        <v>13055</v>
      </c>
      <c r="B52" s="13" t="s">
        <v>1104</v>
      </c>
      <c r="C52" s="22">
        <v>33543246</v>
      </c>
      <c r="D52" s="14">
        <v>675.35720000000003</v>
      </c>
      <c r="E52" s="16">
        <f t="shared" si="0"/>
        <v>49667.414517828489</v>
      </c>
    </row>
    <row r="53" spans="1:5" x14ac:dyDescent="0.25">
      <c r="A53" s="15">
        <v>13057</v>
      </c>
      <c r="B53" s="13" t="s">
        <v>1105</v>
      </c>
      <c r="C53" s="22">
        <v>3542110</v>
      </c>
      <c r="D53" s="14">
        <v>49.637900000000002</v>
      </c>
      <c r="E53" s="16">
        <f t="shared" si="0"/>
        <v>71358.981745803103</v>
      </c>
    </row>
    <row r="54" spans="1:5" x14ac:dyDescent="0.25">
      <c r="A54" s="15">
        <v>13058</v>
      </c>
      <c r="B54" s="13" t="s">
        <v>1106</v>
      </c>
      <c r="C54" s="22">
        <v>7469439</v>
      </c>
      <c r="D54" s="14">
        <v>48.369700000000002</v>
      </c>
      <c r="E54" s="16">
        <f t="shared" si="0"/>
        <v>154423.92654905861</v>
      </c>
    </row>
    <row r="55" spans="1:5" x14ac:dyDescent="0.25">
      <c r="A55" s="15">
        <v>13059</v>
      </c>
      <c r="B55" s="13" t="s">
        <v>1107</v>
      </c>
      <c r="C55" s="22">
        <v>25495068</v>
      </c>
      <c r="D55" s="14">
        <v>368.49930000000001</v>
      </c>
      <c r="E55" s="16">
        <f t="shared" si="0"/>
        <v>69186.204695639855</v>
      </c>
    </row>
    <row r="56" spans="1:5" x14ac:dyDescent="0.25">
      <c r="A56" s="15">
        <v>13060</v>
      </c>
      <c r="B56" s="13" t="s">
        <v>1108</v>
      </c>
      <c r="C56" s="22">
        <v>7750523</v>
      </c>
      <c r="D56" s="14">
        <v>63.961600000000004</v>
      </c>
      <c r="E56" s="16">
        <f t="shared" si="0"/>
        <v>121174.62665099058</v>
      </c>
    </row>
    <row r="57" spans="1:5" x14ac:dyDescent="0.25">
      <c r="A57" s="15">
        <v>13061</v>
      </c>
      <c r="B57" s="13" t="s">
        <v>1109</v>
      </c>
      <c r="C57" s="22">
        <v>23230065</v>
      </c>
      <c r="D57" s="14">
        <v>278.66320000000002</v>
      </c>
      <c r="E57" s="16">
        <f t="shared" si="0"/>
        <v>83362.514318359943</v>
      </c>
    </row>
    <row r="58" spans="1:5" x14ac:dyDescent="0.25">
      <c r="A58" s="15">
        <v>13062</v>
      </c>
      <c r="B58" s="13" t="s">
        <v>1110</v>
      </c>
      <c r="C58" s="22">
        <v>3633210</v>
      </c>
      <c r="D58" s="14">
        <v>47.467899999999993</v>
      </c>
      <c r="E58" s="16">
        <f t="shared" si="0"/>
        <v>76540.356746348596</v>
      </c>
    </row>
    <row r="59" spans="1:5" x14ac:dyDescent="0.25">
      <c r="A59" s="15">
        <v>14126</v>
      </c>
      <c r="B59" s="13" t="s">
        <v>1111</v>
      </c>
      <c r="C59" s="22">
        <v>82585379</v>
      </c>
      <c r="D59" s="14">
        <v>1150.5103999999999</v>
      </c>
      <c r="E59" s="16">
        <f t="shared" si="0"/>
        <v>71781.514534766495</v>
      </c>
    </row>
    <row r="60" spans="1:5" x14ac:dyDescent="0.25">
      <c r="A60" s="15">
        <v>14127</v>
      </c>
      <c r="B60" s="13" t="s">
        <v>1112</v>
      </c>
      <c r="C60" s="22">
        <v>41958688</v>
      </c>
      <c r="D60" s="14">
        <v>669.79059999999993</v>
      </c>
      <c r="E60" s="16">
        <f t="shared" si="0"/>
        <v>62644.48620210556</v>
      </c>
    </row>
    <row r="61" spans="1:5" x14ac:dyDescent="0.25">
      <c r="A61" s="15">
        <v>14129</v>
      </c>
      <c r="B61" s="13" t="s">
        <v>1113</v>
      </c>
      <c r="C61" s="22">
        <v>164540449</v>
      </c>
      <c r="D61" s="14">
        <v>2000.2326</v>
      </c>
      <c r="E61" s="16">
        <f t="shared" si="0"/>
        <v>82260.6575855228</v>
      </c>
    </row>
    <row r="62" spans="1:5" x14ac:dyDescent="0.25">
      <c r="A62" s="15">
        <v>14130</v>
      </c>
      <c r="B62" s="13" t="s">
        <v>1114</v>
      </c>
      <c r="C62" s="22">
        <v>282451751</v>
      </c>
      <c r="D62" s="14">
        <v>784.24159999999983</v>
      </c>
      <c r="E62" s="16">
        <f t="shared" si="0"/>
        <v>360159.10275608953</v>
      </c>
    </row>
    <row r="63" spans="1:5" x14ac:dyDescent="0.25">
      <c r="A63" s="15">
        <v>15001</v>
      </c>
      <c r="B63" s="13" t="s">
        <v>1115</v>
      </c>
      <c r="C63" s="22">
        <v>22515832</v>
      </c>
      <c r="D63" s="14">
        <v>441.60909999999996</v>
      </c>
      <c r="E63" s="16">
        <f t="shared" si="0"/>
        <v>50985.887745519743</v>
      </c>
    </row>
    <row r="64" spans="1:5" x14ac:dyDescent="0.25">
      <c r="A64" s="15">
        <v>15002</v>
      </c>
      <c r="B64" s="13" t="s">
        <v>1116</v>
      </c>
      <c r="C64" s="22">
        <v>1058159546</v>
      </c>
      <c r="D64" s="14">
        <v>3906.4105</v>
      </c>
      <c r="E64" s="16">
        <f t="shared" si="0"/>
        <v>270877.71395248914</v>
      </c>
    </row>
    <row r="65" spans="1:5" x14ac:dyDescent="0.25">
      <c r="A65" s="15">
        <v>15003</v>
      </c>
      <c r="B65" s="13" t="s">
        <v>1117</v>
      </c>
      <c r="C65" s="22">
        <v>84051776</v>
      </c>
      <c r="D65" s="14">
        <v>192.32710000000003</v>
      </c>
      <c r="E65" s="16">
        <f t="shared" si="0"/>
        <v>437025.13062381739</v>
      </c>
    </row>
    <row r="66" spans="1:5" x14ac:dyDescent="0.25">
      <c r="A66" s="15">
        <v>15004</v>
      </c>
      <c r="B66" s="13" t="s">
        <v>1118</v>
      </c>
      <c r="C66" s="22">
        <v>29549844</v>
      </c>
      <c r="D66" s="14">
        <v>307.9029000000001</v>
      </c>
      <c r="E66" s="16">
        <f t="shared" si="0"/>
        <v>95971.307837633198</v>
      </c>
    </row>
    <row r="67" spans="1:5" x14ac:dyDescent="0.25">
      <c r="A67" s="15">
        <v>16090</v>
      </c>
      <c r="B67" s="13" t="s">
        <v>1119</v>
      </c>
      <c r="C67" s="22">
        <v>385812928</v>
      </c>
      <c r="D67" s="14">
        <v>4306.656500000001</v>
      </c>
      <c r="E67" s="16">
        <f t="shared" ref="E67:E130" si="1">C67/D67</f>
        <v>89585.256683461965</v>
      </c>
    </row>
    <row r="68" spans="1:5" x14ac:dyDescent="0.25">
      <c r="A68" s="15">
        <v>16092</v>
      </c>
      <c r="B68" s="13" t="s">
        <v>1120</v>
      </c>
      <c r="C68" s="22">
        <v>19832744</v>
      </c>
      <c r="D68" s="14">
        <v>301.57549999999998</v>
      </c>
      <c r="E68" s="16">
        <f t="shared" si="1"/>
        <v>65763.777229914238</v>
      </c>
    </row>
    <row r="69" spans="1:5" x14ac:dyDescent="0.25">
      <c r="A69" s="15">
        <v>16094</v>
      </c>
      <c r="B69" s="13" t="s">
        <v>1121</v>
      </c>
      <c r="C69" s="22">
        <v>22266380</v>
      </c>
      <c r="D69" s="14">
        <v>317.31260000000003</v>
      </c>
      <c r="E69" s="16">
        <f t="shared" si="1"/>
        <v>70171.748616348661</v>
      </c>
    </row>
    <row r="70" spans="1:5" x14ac:dyDescent="0.25">
      <c r="A70" s="15">
        <v>16096</v>
      </c>
      <c r="B70" s="13" t="s">
        <v>1122</v>
      </c>
      <c r="C70" s="22">
        <v>561628656</v>
      </c>
      <c r="D70" s="14">
        <v>3711.8344999999995</v>
      </c>
      <c r="E70" s="16">
        <f t="shared" si="1"/>
        <v>151307.56934340691</v>
      </c>
    </row>
    <row r="71" spans="1:5" x14ac:dyDescent="0.25">
      <c r="A71" s="15">
        <v>16097</v>
      </c>
      <c r="B71" s="13" t="s">
        <v>1123</v>
      </c>
      <c r="C71" s="22">
        <v>49900350</v>
      </c>
      <c r="D71" s="14">
        <v>395.03620000000001</v>
      </c>
      <c r="E71" s="16">
        <f t="shared" si="1"/>
        <v>126318.42347612699</v>
      </c>
    </row>
    <row r="72" spans="1:5" x14ac:dyDescent="0.25">
      <c r="A72" s="15">
        <v>17121</v>
      </c>
      <c r="B72" s="13" t="s">
        <v>1124</v>
      </c>
      <c r="C72" s="22">
        <v>7870670</v>
      </c>
      <c r="D72" s="14">
        <v>140.34710000000001</v>
      </c>
      <c r="E72" s="16">
        <f t="shared" si="1"/>
        <v>56080.033003888209</v>
      </c>
    </row>
    <row r="73" spans="1:5" x14ac:dyDescent="0.25">
      <c r="A73" s="15">
        <v>17122</v>
      </c>
      <c r="B73" s="13" t="s">
        <v>1125</v>
      </c>
      <c r="C73" s="22">
        <v>16625126</v>
      </c>
      <c r="D73" s="14">
        <v>168.90050000000002</v>
      </c>
      <c r="E73" s="16">
        <f t="shared" si="1"/>
        <v>98431.47888845799</v>
      </c>
    </row>
    <row r="74" spans="1:5" x14ac:dyDescent="0.25">
      <c r="A74" s="15">
        <v>17124</v>
      </c>
      <c r="B74" s="13" t="s">
        <v>1126</v>
      </c>
      <c r="C74" s="22">
        <v>11826798</v>
      </c>
      <c r="D74" s="14">
        <v>98.389800000000037</v>
      </c>
      <c r="E74" s="16">
        <f t="shared" si="1"/>
        <v>120203.49670392658</v>
      </c>
    </row>
    <row r="75" spans="1:5" x14ac:dyDescent="0.25">
      <c r="A75" s="15">
        <v>17125</v>
      </c>
      <c r="B75" s="13" t="s">
        <v>1127</v>
      </c>
      <c r="C75" s="22">
        <v>62842052</v>
      </c>
      <c r="D75" s="14">
        <v>896.56560000000002</v>
      </c>
      <c r="E75" s="16">
        <f t="shared" si="1"/>
        <v>70091.973191922603</v>
      </c>
    </row>
    <row r="76" spans="1:5" x14ac:dyDescent="0.25">
      <c r="A76" s="15">
        <v>17126</v>
      </c>
      <c r="B76" s="13" t="s">
        <v>1128</v>
      </c>
      <c r="C76" s="22">
        <v>13488870</v>
      </c>
      <c r="D76" s="14">
        <v>194.86120000000003</v>
      </c>
      <c r="E76" s="16">
        <f t="shared" si="1"/>
        <v>69222.964859089436</v>
      </c>
    </row>
    <row r="77" spans="1:5" x14ac:dyDescent="0.25">
      <c r="A77" s="15">
        <v>18047</v>
      </c>
      <c r="B77" s="13" t="s">
        <v>1129</v>
      </c>
      <c r="C77" s="22">
        <v>28500073</v>
      </c>
      <c r="D77" s="14">
        <v>718.84349999999995</v>
      </c>
      <c r="E77" s="16">
        <f t="shared" si="1"/>
        <v>39647.117905357707</v>
      </c>
    </row>
    <row r="78" spans="1:5" x14ac:dyDescent="0.25">
      <c r="A78" s="15">
        <v>18050</v>
      </c>
      <c r="B78" s="13" t="s">
        <v>1130</v>
      </c>
      <c r="C78" s="22">
        <v>27787901</v>
      </c>
      <c r="D78" s="14">
        <v>490.4067</v>
      </c>
      <c r="E78" s="16">
        <f t="shared" si="1"/>
        <v>56662.971774243706</v>
      </c>
    </row>
    <row r="79" spans="1:5" x14ac:dyDescent="0.25">
      <c r="A79" s="15">
        <v>19139</v>
      </c>
      <c r="B79" s="13" t="s">
        <v>1131</v>
      </c>
      <c r="C79" s="22">
        <v>30642438</v>
      </c>
      <c r="D79" s="14">
        <v>551.28089999999997</v>
      </c>
      <c r="E79" s="16">
        <f t="shared" si="1"/>
        <v>55584.073382553252</v>
      </c>
    </row>
    <row r="80" spans="1:5" x14ac:dyDescent="0.25">
      <c r="A80" s="15">
        <v>19140</v>
      </c>
      <c r="B80" s="13" t="s">
        <v>1132</v>
      </c>
      <c r="C80" s="22">
        <v>11187993</v>
      </c>
      <c r="D80" s="14">
        <v>143.18749999999997</v>
      </c>
      <c r="E80" s="16">
        <f t="shared" si="1"/>
        <v>78135.263203841139</v>
      </c>
    </row>
    <row r="81" spans="1:5" x14ac:dyDescent="0.25">
      <c r="A81" s="15">
        <v>19142</v>
      </c>
      <c r="B81" s="13" t="s">
        <v>1133</v>
      </c>
      <c r="C81" s="22">
        <v>456591377</v>
      </c>
      <c r="D81" s="14">
        <v>5641.3521999999994</v>
      </c>
      <c r="E81" s="16">
        <f t="shared" si="1"/>
        <v>80936.513235248814</v>
      </c>
    </row>
    <row r="82" spans="1:5" x14ac:dyDescent="0.25">
      <c r="A82" s="15">
        <v>19144</v>
      </c>
      <c r="B82" s="13" t="s">
        <v>1134</v>
      </c>
      <c r="C82" s="22">
        <v>48342685</v>
      </c>
      <c r="D82" s="14">
        <v>853.66490000000022</v>
      </c>
      <c r="E82" s="16">
        <f t="shared" si="1"/>
        <v>56629.580295500011</v>
      </c>
    </row>
    <row r="83" spans="1:5" x14ac:dyDescent="0.25">
      <c r="A83" s="15">
        <v>19147</v>
      </c>
      <c r="B83" s="13" t="s">
        <v>1135</v>
      </c>
      <c r="C83" s="22">
        <v>14787191</v>
      </c>
      <c r="D83" s="14">
        <v>224.7809</v>
      </c>
      <c r="E83" s="16">
        <f t="shared" si="1"/>
        <v>65784.908771163391</v>
      </c>
    </row>
    <row r="84" spans="1:5" x14ac:dyDescent="0.25">
      <c r="A84" s="15">
        <v>19148</v>
      </c>
      <c r="B84" s="13" t="s">
        <v>1136</v>
      </c>
      <c r="C84" s="22">
        <v>138459810</v>
      </c>
      <c r="D84" s="14">
        <v>2033.0432000000001</v>
      </c>
      <c r="E84" s="16">
        <f t="shared" si="1"/>
        <v>68104.70628464756</v>
      </c>
    </row>
    <row r="85" spans="1:5" x14ac:dyDescent="0.25">
      <c r="A85" s="15">
        <v>19149</v>
      </c>
      <c r="B85" s="13" t="s">
        <v>1137</v>
      </c>
      <c r="C85" s="22">
        <v>182892914</v>
      </c>
      <c r="D85" s="14">
        <v>2339.0293999999999</v>
      </c>
      <c r="E85" s="16">
        <f t="shared" si="1"/>
        <v>78191.797845721827</v>
      </c>
    </row>
    <row r="86" spans="1:5" x14ac:dyDescent="0.25">
      <c r="A86" s="15">
        <v>19150</v>
      </c>
      <c r="B86" s="13" t="s">
        <v>1138</v>
      </c>
      <c r="C86" s="22">
        <v>17613580</v>
      </c>
      <c r="D86" s="14">
        <v>289.0908</v>
      </c>
      <c r="E86" s="16">
        <f t="shared" si="1"/>
        <v>60927.500978931188</v>
      </c>
    </row>
    <row r="87" spans="1:5" x14ac:dyDescent="0.25">
      <c r="A87" s="15">
        <v>19151</v>
      </c>
      <c r="B87" s="13" t="s">
        <v>1139</v>
      </c>
      <c r="C87" s="22">
        <v>40696006</v>
      </c>
      <c r="D87" s="14">
        <v>485.33550000000002</v>
      </c>
      <c r="E87" s="16">
        <f t="shared" si="1"/>
        <v>83851.286378185803</v>
      </c>
    </row>
    <row r="88" spans="1:5" x14ac:dyDescent="0.25">
      <c r="A88" s="15">
        <v>19152</v>
      </c>
      <c r="B88" s="13" t="s">
        <v>1140</v>
      </c>
      <c r="C88" s="22">
        <v>300360313</v>
      </c>
      <c r="D88" s="14">
        <v>4546.2777000000006</v>
      </c>
      <c r="E88" s="16">
        <f t="shared" si="1"/>
        <v>66067.30446756474</v>
      </c>
    </row>
    <row r="89" spans="1:5" x14ac:dyDescent="0.25">
      <c r="A89" s="15">
        <v>20001</v>
      </c>
      <c r="B89" s="13" t="s">
        <v>1141</v>
      </c>
      <c r="C89" s="22">
        <v>82576631</v>
      </c>
      <c r="D89" s="14">
        <v>1028.0455999999999</v>
      </c>
      <c r="E89" s="16">
        <f t="shared" si="1"/>
        <v>80323.899056617724</v>
      </c>
    </row>
    <row r="90" spans="1:5" x14ac:dyDescent="0.25">
      <c r="A90" s="15">
        <v>20002</v>
      </c>
      <c r="B90" s="13" t="s">
        <v>1142</v>
      </c>
      <c r="C90" s="22">
        <v>79164920</v>
      </c>
      <c r="D90" s="14">
        <v>1126.2015000000001</v>
      </c>
      <c r="E90" s="16">
        <f t="shared" si="1"/>
        <v>70293.744059122633</v>
      </c>
    </row>
    <row r="91" spans="1:5" x14ac:dyDescent="0.25">
      <c r="A91" s="15">
        <v>21148</v>
      </c>
      <c r="B91" s="13" t="s">
        <v>1143</v>
      </c>
      <c r="C91" s="22">
        <v>16978906</v>
      </c>
      <c r="D91" s="14">
        <v>157.2765</v>
      </c>
      <c r="E91" s="16">
        <f t="shared" si="1"/>
        <v>107955.77215922278</v>
      </c>
    </row>
    <row r="92" spans="1:5" x14ac:dyDescent="0.25">
      <c r="A92" s="15">
        <v>21149</v>
      </c>
      <c r="B92" s="13" t="s">
        <v>1144</v>
      </c>
      <c r="C92" s="22">
        <v>22494184</v>
      </c>
      <c r="D92" s="14">
        <v>247.17899999999997</v>
      </c>
      <c r="E92" s="16">
        <f t="shared" si="1"/>
        <v>91003.620857758957</v>
      </c>
    </row>
    <row r="93" spans="1:5" x14ac:dyDescent="0.25">
      <c r="A93" s="15">
        <v>21150</v>
      </c>
      <c r="B93" s="13" t="s">
        <v>1145</v>
      </c>
      <c r="C93" s="22">
        <v>18787929</v>
      </c>
      <c r="D93" s="14">
        <v>135.7867</v>
      </c>
      <c r="E93" s="16">
        <f t="shared" si="1"/>
        <v>138363.54370494312</v>
      </c>
    </row>
    <row r="94" spans="1:5" x14ac:dyDescent="0.25">
      <c r="A94" s="15">
        <v>21151</v>
      </c>
      <c r="B94" s="13" t="s">
        <v>1146</v>
      </c>
      <c r="C94" s="22">
        <v>53885855</v>
      </c>
      <c r="D94" s="14">
        <v>416.88300000000004</v>
      </c>
      <c r="E94" s="16">
        <f t="shared" si="1"/>
        <v>129258.94075795845</v>
      </c>
    </row>
    <row r="95" spans="1:5" x14ac:dyDescent="0.25">
      <c r="A95" s="15">
        <v>22088</v>
      </c>
      <c r="B95" s="13" t="s">
        <v>1147</v>
      </c>
      <c r="C95" s="22">
        <v>10466483</v>
      </c>
      <c r="D95" s="14">
        <v>217.45069999999998</v>
      </c>
      <c r="E95" s="16">
        <f t="shared" si="1"/>
        <v>48132.670991631669</v>
      </c>
    </row>
    <row r="96" spans="1:5" x14ac:dyDescent="0.25">
      <c r="A96" s="15">
        <v>22089</v>
      </c>
      <c r="B96" s="13" t="s">
        <v>1148</v>
      </c>
      <c r="C96" s="22">
        <v>378598681</v>
      </c>
      <c r="D96" s="14">
        <v>5325.6265000000021</v>
      </c>
      <c r="E96" s="16">
        <f t="shared" si="1"/>
        <v>71089.979930060785</v>
      </c>
    </row>
    <row r="97" spans="1:5" x14ac:dyDescent="0.25">
      <c r="A97" s="15">
        <v>22090</v>
      </c>
      <c r="B97" s="13" t="s">
        <v>1149</v>
      </c>
      <c r="C97" s="22">
        <v>34261075</v>
      </c>
      <c r="D97" s="14">
        <v>727.99649999999997</v>
      </c>
      <c r="E97" s="16">
        <f t="shared" si="1"/>
        <v>47062.142469091545</v>
      </c>
    </row>
    <row r="98" spans="1:5" x14ac:dyDescent="0.25">
      <c r="A98" s="15">
        <v>22091</v>
      </c>
      <c r="B98" s="13" t="s">
        <v>1150</v>
      </c>
      <c r="C98" s="22">
        <v>29319831</v>
      </c>
      <c r="D98" s="14">
        <v>431.57399999999996</v>
      </c>
      <c r="E98" s="16">
        <f t="shared" si="1"/>
        <v>67936.97257017337</v>
      </c>
    </row>
    <row r="99" spans="1:5" x14ac:dyDescent="0.25">
      <c r="A99" s="15">
        <v>22092</v>
      </c>
      <c r="B99" s="13" t="s">
        <v>1151</v>
      </c>
      <c r="C99" s="22">
        <v>57102739</v>
      </c>
      <c r="D99" s="14">
        <v>971.53729999999996</v>
      </c>
      <c r="E99" s="16">
        <f t="shared" si="1"/>
        <v>58775.652772158108</v>
      </c>
    </row>
    <row r="100" spans="1:5" x14ac:dyDescent="0.25">
      <c r="A100" s="15">
        <v>22093</v>
      </c>
      <c r="B100" s="13" t="s">
        <v>1152</v>
      </c>
      <c r="C100" s="22">
        <v>374435447</v>
      </c>
      <c r="D100" s="14">
        <v>5144.4889000000003</v>
      </c>
      <c r="E100" s="16">
        <f t="shared" si="1"/>
        <v>72783.799183627358</v>
      </c>
    </row>
    <row r="101" spans="1:5" x14ac:dyDescent="0.25">
      <c r="A101" s="15">
        <v>22094</v>
      </c>
      <c r="B101" s="13" t="s">
        <v>1153</v>
      </c>
      <c r="C101" s="22">
        <v>56086309</v>
      </c>
      <c r="D101" s="14">
        <v>767.2919999999998</v>
      </c>
      <c r="E101" s="16">
        <f t="shared" si="1"/>
        <v>73096.433952132968</v>
      </c>
    </row>
    <row r="102" spans="1:5" x14ac:dyDescent="0.25">
      <c r="A102" s="15">
        <v>23096</v>
      </c>
      <c r="B102" s="13" t="s">
        <v>1154</v>
      </c>
      <c r="C102" s="22">
        <v>7137793</v>
      </c>
      <c r="D102" s="14">
        <v>44.438500000000005</v>
      </c>
      <c r="E102" s="16">
        <f t="shared" si="1"/>
        <v>160621.82566918325</v>
      </c>
    </row>
    <row r="103" spans="1:5" x14ac:dyDescent="0.25">
      <c r="A103" s="15">
        <v>23099</v>
      </c>
      <c r="B103" s="13" t="s">
        <v>1155</v>
      </c>
      <c r="C103" s="22">
        <v>4332643</v>
      </c>
      <c r="D103" s="14">
        <v>59.715200000000003</v>
      </c>
      <c r="E103" s="16">
        <f t="shared" si="1"/>
        <v>72555.111596377465</v>
      </c>
    </row>
    <row r="104" spans="1:5" x14ac:dyDescent="0.25">
      <c r="A104" s="15">
        <v>23101</v>
      </c>
      <c r="B104" s="13" t="s">
        <v>1156</v>
      </c>
      <c r="C104" s="22">
        <v>65325023</v>
      </c>
      <c r="D104" s="14">
        <v>912.79049999999984</v>
      </c>
      <c r="E104" s="16">
        <f t="shared" si="1"/>
        <v>71566.282734099455</v>
      </c>
    </row>
    <row r="105" spans="1:5" x14ac:dyDescent="0.25">
      <c r="A105" s="15">
        <v>24086</v>
      </c>
      <c r="B105" s="13" t="s">
        <v>1157</v>
      </c>
      <c r="C105" s="22">
        <v>297945671</v>
      </c>
      <c r="D105" s="14">
        <v>3453.5448999999999</v>
      </c>
      <c r="E105" s="16">
        <f t="shared" si="1"/>
        <v>86272.41852277641</v>
      </c>
    </row>
    <row r="106" spans="1:5" x14ac:dyDescent="0.25">
      <c r="A106" s="15">
        <v>24087</v>
      </c>
      <c r="B106" s="13" t="s">
        <v>1158</v>
      </c>
      <c r="C106" s="22">
        <v>199154724</v>
      </c>
      <c r="D106" s="14">
        <v>2334.7044000000001</v>
      </c>
      <c r="E106" s="16">
        <f t="shared" si="1"/>
        <v>85301.901174298546</v>
      </c>
    </row>
    <row r="107" spans="1:5" x14ac:dyDescent="0.25">
      <c r="A107" s="15">
        <v>24089</v>
      </c>
      <c r="B107" s="13" t="s">
        <v>1159</v>
      </c>
      <c r="C107" s="22">
        <v>199443271</v>
      </c>
      <c r="D107" s="14">
        <v>2908.4833999999996</v>
      </c>
      <c r="E107" s="16">
        <f t="shared" si="1"/>
        <v>68572.944579982825</v>
      </c>
    </row>
    <row r="108" spans="1:5" x14ac:dyDescent="0.25">
      <c r="A108" s="15">
        <v>24090</v>
      </c>
      <c r="B108" s="13" t="s">
        <v>1160</v>
      </c>
      <c r="C108" s="22">
        <v>761296334</v>
      </c>
      <c r="D108" s="14">
        <v>10455.486100000002</v>
      </c>
      <c r="E108" s="16">
        <f t="shared" si="1"/>
        <v>72813.097996467128</v>
      </c>
    </row>
    <row r="109" spans="1:5" x14ac:dyDescent="0.25">
      <c r="A109" s="15">
        <v>24091</v>
      </c>
      <c r="B109" s="13" t="s">
        <v>1161</v>
      </c>
      <c r="C109" s="22">
        <v>6017980</v>
      </c>
      <c r="D109" s="14">
        <v>38.603899999999996</v>
      </c>
      <c r="E109" s="16">
        <f t="shared" si="1"/>
        <v>155890.46702535238</v>
      </c>
    </row>
    <row r="110" spans="1:5" x14ac:dyDescent="0.25">
      <c r="A110" s="15">
        <v>24093</v>
      </c>
      <c r="B110" s="13" t="s">
        <v>1162</v>
      </c>
      <c r="C110" s="22">
        <v>1934246117</v>
      </c>
      <c r="D110" s="14">
        <v>17639.060000000001</v>
      </c>
      <c r="E110" s="16">
        <f t="shared" si="1"/>
        <v>109656.98381886563</v>
      </c>
    </row>
    <row r="111" spans="1:5" x14ac:dyDescent="0.25">
      <c r="A111" s="15">
        <v>25001</v>
      </c>
      <c r="B111" s="13" t="s">
        <v>1163</v>
      </c>
      <c r="C111" s="22">
        <v>111212399</v>
      </c>
      <c r="D111" s="14">
        <v>1708.2515999999998</v>
      </c>
      <c r="E111" s="16">
        <f t="shared" si="1"/>
        <v>65103.055662292376</v>
      </c>
    </row>
    <row r="112" spans="1:5" x14ac:dyDescent="0.25">
      <c r="A112" s="15">
        <v>25002</v>
      </c>
      <c r="B112" s="13" t="s">
        <v>1164</v>
      </c>
      <c r="C112" s="22">
        <v>62297503</v>
      </c>
      <c r="D112" s="14">
        <v>835.47499999999991</v>
      </c>
      <c r="E112" s="16">
        <f t="shared" si="1"/>
        <v>74565.370597564266</v>
      </c>
    </row>
    <row r="113" spans="1:5" x14ac:dyDescent="0.25">
      <c r="A113" s="15">
        <v>25003</v>
      </c>
      <c r="B113" s="13" t="s">
        <v>1165</v>
      </c>
      <c r="C113" s="22">
        <v>76927395</v>
      </c>
      <c r="D113" s="14">
        <v>703.81029999999998</v>
      </c>
      <c r="E113" s="16">
        <f t="shared" si="1"/>
        <v>109301.32025632475</v>
      </c>
    </row>
    <row r="114" spans="1:5" x14ac:dyDescent="0.25">
      <c r="A114" s="15">
        <v>26001</v>
      </c>
      <c r="B114" s="13" t="s">
        <v>1166</v>
      </c>
      <c r="C114" s="22">
        <v>49080598</v>
      </c>
      <c r="D114" s="14">
        <v>613.41280000000006</v>
      </c>
      <c r="E114" s="16">
        <f t="shared" si="1"/>
        <v>80012.34731326114</v>
      </c>
    </row>
    <row r="115" spans="1:5" x14ac:dyDescent="0.25">
      <c r="A115" s="15">
        <v>26002</v>
      </c>
      <c r="B115" s="13" t="s">
        <v>1167</v>
      </c>
      <c r="C115" s="22">
        <v>86920309</v>
      </c>
      <c r="D115" s="14">
        <v>1078.6001000000001</v>
      </c>
      <c r="E115" s="16">
        <f t="shared" si="1"/>
        <v>80586.223754290389</v>
      </c>
    </row>
    <row r="116" spans="1:5" x14ac:dyDescent="0.25">
      <c r="A116" s="15">
        <v>26005</v>
      </c>
      <c r="B116" s="13" t="s">
        <v>1168</v>
      </c>
      <c r="C116" s="22">
        <v>59469759</v>
      </c>
      <c r="D116" s="14">
        <v>629.15030000000002</v>
      </c>
      <c r="E116" s="16">
        <f t="shared" si="1"/>
        <v>94523.930132434165</v>
      </c>
    </row>
    <row r="117" spans="1:5" x14ac:dyDescent="0.25">
      <c r="A117" s="15">
        <v>26006</v>
      </c>
      <c r="B117" s="13" t="s">
        <v>1169</v>
      </c>
      <c r="C117" s="22">
        <v>1189393854</v>
      </c>
      <c r="D117" s="14">
        <v>8066.6312999999973</v>
      </c>
      <c r="E117" s="16">
        <f t="shared" si="1"/>
        <v>147446.16553876715</v>
      </c>
    </row>
    <row r="118" spans="1:5" x14ac:dyDescent="0.25">
      <c r="A118" s="15">
        <v>27055</v>
      </c>
      <c r="B118" s="13" t="s">
        <v>1170</v>
      </c>
      <c r="C118" s="22">
        <v>7734554</v>
      </c>
      <c r="D118" s="14">
        <v>142.25830000000002</v>
      </c>
      <c r="E118" s="16">
        <f t="shared" si="1"/>
        <v>54369.790725743238</v>
      </c>
    </row>
    <row r="119" spans="1:5" x14ac:dyDescent="0.25">
      <c r="A119" s="15">
        <v>27056</v>
      </c>
      <c r="B119" s="13" t="s">
        <v>1171</v>
      </c>
      <c r="C119" s="22">
        <v>8254493</v>
      </c>
      <c r="D119" s="14">
        <v>125.12900000000002</v>
      </c>
      <c r="E119" s="16">
        <f t="shared" si="1"/>
        <v>65967.865163151611</v>
      </c>
    </row>
    <row r="120" spans="1:5" x14ac:dyDescent="0.25">
      <c r="A120" s="15">
        <v>27057</v>
      </c>
      <c r="B120" s="13" t="s">
        <v>1172</v>
      </c>
      <c r="C120" s="22">
        <v>11815463</v>
      </c>
      <c r="D120" s="14">
        <v>147.24180000000001</v>
      </c>
      <c r="E120" s="16">
        <f t="shared" si="1"/>
        <v>80245.303982972226</v>
      </c>
    </row>
    <row r="121" spans="1:5" x14ac:dyDescent="0.25">
      <c r="A121" s="15">
        <v>27058</v>
      </c>
      <c r="B121" s="13" t="s">
        <v>1173</v>
      </c>
      <c r="C121" s="22">
        <v>12899503</v>
      </c>
      <c r="D121" s="14">
        <v>255.68900000000002</v>
      </c>
      <c r="E121" s="16">
        <f t="shared" si="1"/>
        <v>50449.972427441142</v>
      </c>
    </row>
    <row r="122" spans="1:5" x14ac:dyDescent="0.25">
      <c r="A122" s="15">
        <v>27059</v>
      </c>
      <c r="B122" s="13" t="s">
        <v>1174</v>
      </c>
      <c r="C122" s="22">
        <v>16484146</v>
      </c>
      <c r="D122" s="14">
        <v>263.3347</v>
      </c>
      <c r="E122" s="16">
        <f t="shared" si="1"/>
        <v>62597.697910681731</v>
      </c>
    </row>
    <row r="123" spans="1:5" x14ac:dyDescent="0.25">
      <c r="A123" s="15">
        <v>27061</v>
      </c>
      <c r="B123" s="13" t="s">
        <v>1175</v>
      </c>
      <c r="C123" s="22">
        <v>130673700</v>
      </c>
      <c r="D123" s="14">
        <v>1402.5366000000001</v>
      </c>
      <c r="E123" s="16">
        <f t="shared" si="1"/>
        <v>93169.547233205885</v>
      </c>
    </row>
    <row r="124" spans="1:5" x14ac:dyDescent="0.25">
      <c r="A124" s="15">
        <v>28101</v>
      </c>
      <c r="B124" s="13" t="s">
        <v>1176</v>
      </c>
      <c r="C124" s="22">
        <v>58461041</v>
      </c>
      <c r="D124" s="14">
        <v>902.67949999999996</v>
      </c>
      <c r="E124" s="16">
        <f t="shared" si="1"/>
        <v>64763.895712708669</v>
      </c>
    </row>
    <row r="125" spans="1:5" x14ac:dyDescent="0.25">
      <c r="A125" s="15">
        <v>28102</v>
      </c>
      <c r="B125" s="13" t="s">
        <v>1177</v>
      </c>
      <c r="C125" s="22">
        <v>104981194</v>
      </c>
      <c r="D125" s="14">
        <v>1407.7655</v>
      </c>
      <c r="E125" s="16">
        <f t="shared" si="1"/>
        <v>74572.927096167652</v>
      </c>
    </row>
    <row r="126" spans="1:5" x14ac:dyDescent="0.25">
      <c r="A126" s="15">
        <v>28103</v>
      </c>
      <c r="B126" s="13" t="s">
        <v>1178</v>
      </c>
      <c r="C126" s="22">
        <v>52227401</v>
      </c>
      <c r="D126" s="14">
        <v>851.70350000000008</v>
      </c>
      <c r="E126" s="16">
        <f t="shared" si="1"/>
        <v>61321.106464867167</v>
      </c>
    </row>
    <row r="127" spans="1:5" x14ac:dyDescent="0.25">
      <c r="A127" s="15">
        <v>29001</v>
      </c>
      <c r="B127" s="13" t="s">
        <v>1179</v>
      </c>
      <c r="C127" s="22">
        <v>26813248</v>
      </c>
      <c r="D127" s="14">
        <v>351.92220000000003</v>
      </c>
      <c r="E127" s="16">
        <f t="shared" si="1"/>
        <v>76190.839907229485</v>
      </c>
    </row>
    <row r="128" spans="1:5" x14ac:dyDescent="0.25">
      <c r="A128" s="15">
        <v>29002</v>
      </c>
      <c r="B128" s="13" t="s">
        <v>1180</v>
      </c>
      <c r="C128" s="22">
        <v>9685292</v>
      </c>
      <c r="D128" s="14">
        <v>136.72970000000001</v>
      </c>
      <c r="E128" s="16">
        <f t="shared" si="1"/>
        <v>70835.31961234464</v>
      </c>
    </row>
    <row r="129" spans="1:5" x14ac:dyDescent="0.25">
      <c r="A129" s="15">
        <v>29003</v>
      </c>
      <c r="B129" s="13" t="s">
        <v>1181</v>
      </c>
      <c r="C129" s="22">
        <v>9791685</v>
      </c>
      <c r="D129" s="14">
        <v>157.36720000000003</v>
      </c>
      <c r="E129" s="16">
        <f t="shared" si="1"/>
        <v>62221.892490938379</v>
      </c>
    </row>
    <row r="130" spans="1:5" x14ac:dyDescent="0.25">
      <c r="A130" s="15">
        <v>29004</v>
      </c>
      <c r="B130" s="13" t="s">
        <v>1182</v>
      </c>
      <c r="C130" s="22">
        <v>34065178</v>
      </c>
      <c r="D130" s="14">
        <v>423.03500000000003</v>
      </c>
      <c r="E130" s="16">
        <f t="shared" si="1"/>
        <v>80525.672816670005</v>
      </c>
    </row>
    <row r="131" spans="1:5" x14ac:dyDescent="0.25">
      <c r="A131" s="15">
        <v>30093</v>
      </c>
      <c r="B131" s="13" t="s">
        <v>1183</v>
      </c>
      <c r="C131" s="22">
        <v>107395526</v>
      </c>
      <c r="D131" s="14">
        <v>1670.6967000000004</v>
      </c>
      <c r="E131" s="16">
        <f t="shared" ref="E131:E194" si="2">C131/D131</f>
        <v>64281.880726765048</v>
      </c>
    </row>
    <row r="132" spans="1:5" x14ac:dyDescent="0.25">
      <c r="A132" s="15">
        <v>31116</v>
      </c>
      <c r="B132" s="13" t="s">
        <v>1184</v>
      </c>
      <c r="C132" s="22">
        <v>12209070</v>
      </c>
      <c r="D132" s="14">
        <v>157.3623</v>
      </c>
      <c r="E132" s="16">
        <f t="shared" si="2"/>
        <v>77585.736863276659</v>
      </c>
    </row>
    <row r="133" spans="1:5" x14ac:dyDescent="0.25">
      <c r="A133" s="15">
        <v>31117</v>
      </c>
      <c r="B133" s="13" t="s">
        <v>1185</v>
      </c>
      <c r="C133" s="22">
        <v>20320180</v>
      </c>
      <c r="D133" s="14">
        <v>162.24520000000001</v>
      </c>
      <c r="E133" s="16">
        <f t="shared" si="2"/>
        <v>125243.64357158176</v>
      </c>
    </row>
    <row r="134" spans="1:5" x14ac:dyDescent="0.25">
      <c r="A134" s="15">
        <v>31118</v>
      </c>
      <c r="B134" s="13" t="s">
        <v>1186</v>
      </c>
      <c r="C134" s="22">
        <v>8983760</v>
      </c>
      <c r="D134" s="14">
        <v>78.025800000000004</v>
      </c>
      <c r="E134" s="16">
        <f t="shared" si="2"/>
        <v>115138.32604087365</v>
      </c>
    </row>
    <row r="135" spans="1:5" x14ac:dyDescent="0.25">
      <c r="A135" s="15">
        <v>31121</v>
      </c>
      <c r="B135" s="13" t="s">
        <v>1187</v>
      </c>
      <c r="C135" s="22">
        <v>36709921</v>
      </c>
      <c r="D135" s="14">
        <v>581.35640000000001</v>
      </c>
      <c r="E135" s="16">
        <f t="shared" si="2"/>
        <v>63145.294349559066</v>
      </c>
    </row>
    <row r="136" spans="1:5" x14ac:dyDescent="0.25">
      <c r="A136" s="15">
        <v>31122</v>
      </c>
      <c r="B136" s="13" t="s">
        <v>1188</v>
      </c>
      <c r="C136" s="22">
        <v>14735462</v>
      </c>
      <c r="D136" s="14">
        <v>149.56130000000002</v>
      </c>
      <c r="E136" s="16">
        <f t="shared" si="2"/>
        <v>98524.564843980348</v>
      </c>
    </row>
    <row r="137" spans="1:5" x14ac:dyDescent="0.25">
      <c r="A137" s="15">
        <v>32054</v>
      </c>
      <c r="B137" s="13" t="s">
        <v>1189</v>
      </c>
      <c r="C137" s="22">
        <v>8929524</v>
      </c>
      <c r="D137" s="14">
        <v>120.11080000000001</v>
      </c>
      <c r="E137" s="16">
        <f t="shared" si="2"/>
        <v>74344.05565527828</v>
      </c>
    </row>
    <row r="138" spans="1:5" x14ac:dyDescent="0.25">
      <c r="A138" s="15">
        <v>32055</v>
      </c>
      <c r="B138" s="13" t="s">
        <v>1190</v>
      </c>
      <c r="C138" s="22">
        <v>40808063</v>
      </c>
      <c r="D138" s="14">
        <v>588.03719999999998</v>
      </c>
      <c r="E138" s="16">
        <f t="shared" si="2"/>
        <v>69397.077259737998</v>
      </c>
    </row>
    <row r="139" spans="1:5" x14ac:dyDescent="0.25">
      <c r="A139" s="15">
        <v>32056</v>
      </c>
      <c r="B139" s="13" t="s">
        <v>1191</v>
      </c>
      <c r="C139" s="22">
        <v>9616666</v>
      </c>
      <c r="D139" s="14">
        <v>133.90830000000003</v>
      </c>
      <c r="E139" s="16">
        <f t="shared" si="2"/>
        <v>71815.309431902264</v>
      </c>
    </row>
    <row r="140" spans="1:5" x14ac:dyDescent="0.25">
      <c r="A140" s="15">
        <v>32058</v>
      </c>
      <c r="B140" s="13" t="s">
        <v>1192</v>
      </c>
      <c r="C140" s="22">
        <v>13418252</v>
      </c>
      <c r="D140" s="14">
        <v>200.02420000000001</v>
      </c>
      <c r="E140" s="16">
        <f t="shared" si="2"/>
        <v>67083.142939704296</v>
      </c>
    </row>
    <row r="141" spans="1:5" x14ac:dyDescent="0.25">
      <c r="A141" s="15">
        <v>33090</v>
      </c>
      <c r="B141" s="13" t="s">
        <v>1193</v>
      </c>
      <c r="C141" s="22">
        <v>63818946</v>
      </c>
      <c r="D141" s="14">
        <v>1056.0193000000002</v>
      </c>
      <c r="E141" s="16">
        <f t="shared" si="2"/>
        <v>60433.503440704153</v>
      </c>
    </row>
    <row r="142" spans="1:5" x14ac:dyDescent="0.25">
      <c r="A142" s="15">
        <v>33091</v>
      </c>
      <c r="B142" s="13" t="s">
        <v>1194</v>
      </c>
      <c r="C142" s="22">
        <v>12981190</v>
      </c>
      <c r="D142" s="14">
        <v>139.60050000000001</v>
      </c>
      <c r="E142" s="16">
        <f t="shared" si="2"/>
        <v>92988.133996654738</v>
      </c>
    </row>
    <row r="143" spans="1:5" x14ac:dyDescent="0.25">
      <c r="A143" s="15">
        <v>33092</v>
      </c>
      <c r="B143" s="13" t="s">
        <v>1195</v>
      </c>
      <c r="C143" s="22">
        <v>17147510</v>
      </c>
      <c r="D143" s="14">
        <v>243.89449999999999</v>
      </c>
      <c r="E143" s="16">
        <f t="shared" si="2"/>
        <v>70307.079495437574</v>
      </c>
    </row>
    <row r="144" spans="1:5" x14ac:dyDescent="0.25">
      <c r="A144" s="15">
        <v>33093</v>
      </c>
      <c r="B144" s="13" t="s">
        <v>1196</v>
      </c>
      <c r="C144" s="22">
        <v>28230177</v>
      </c>
      <c r="D144" s="14">
        <v>350.78170000000006</v>
      </c>
      <c r="E144" s="16">
        <f t="shared" si="2"/>
        <v>80477.906914756371</v>
      </c>
    </row>
    <row r="145" spans="1:5" x14ac:dyDescent="0.25">
      <c r="A145" s="15">
        <v>33094</v>
      </c>
      <c r="B145" s="13" t="s">
        <v>1197</v>
      </c>
      <c r="C145" s="22">
        <v>17673337</v>
      </c>
      <c r="D145" s="14">
        <v>267.43739999999997</v>
      </c>
      <c r="E145" s="16">
        <f t="shared" si="2"/>
        <v>66084.014427301503</v>
      </c>
    </row>
    <row r="146" spans="1:5" x14ac:dyDescent="0.25">
      <c r="A146" s="15">
        <v>34121</v>
      </c>
      <c r="B146" s="13" t="s">
        <v>1198</v>
      </c>
      <c r="C146" s="22">
        <v>8539521</v>
      </c>
      <c r="D146" s="14">
        <v>107.60610000000001</v>
      </c>
      <c r="E146" s="16">
        <f t="shared" si="2"/>
        <v>79359.079085665202</v>
      </c>
    </row>
    <row r="147" spans="1:5" x14ac:dyDescent="0.25">
      <c r="A147" s="15">
        <v>34122</v>
      </c>
      <c r="B147" s="13" t="s">
        <v>1199</v>
      </c>
      <c r="C147" s="22">
        <v>5670483</v>
      </c>
      <c r="D147" s="14">
        <v>138.91200000000001</v>
      </c>
      <c r="E147" s="16">
        <f t="shared" si="2"/>
        <v>40820.685038009673</v>
      </c>
    </row>
    <row r="148" spans="1:5" x14ac:dyDescent="0.25">
      <c r="A148" s="15">
        <v>34124</v>
      </c>
      <c r="B148" s="13" t="s">
        <v>1200</v>
      </c>
      <c r="C148" s="22">
        <v>88885425</v>
      </c>
      <c r="D148" s="14">
        <v>1285.5505000000001</v>
      </c>
      <c r="E148" s="16">
        <f t="shared" si="2"/>
        <v>69141.916245219458</v>
      </c>
    </row>
    <row r="149" spans="1:5" x14ac:dyDescent="0.25">
      <c r="A149" s="15">
        <v>35092</v>
      </c>
      <c r="B149" s="13" t="s">
        <v>1201</v>
      </c>
      <c r="C149" s="22">
        <v>43406282</v>
      </c>
      <c r="D149" s="14">
        <v>1021.6783</v>
      </c>
      <c r="E149" s="16">
        <f t="shared" si="2"/>
        <v>42485.273495580754</v>
      </c>
    </row>
    <row r="150" spans="1:5" x14ac:dyDescent="0.25">
      <c r="A150" s="15">
        <v>35093</v>
      </c>
      <c r="B150" s="13" t="s">
        <v>1202</v>
      </c>
      <c r="C150" s="22">
        <v>50522426</v>
      </c>
      <c r="D150" s="14">
        <v>534.66159999999991</v>
      </c>
      <c r="E150" s="16">
        <f t="shared" si="2"/>
        <v>94494.210917709468</v>
      </c>
    </row>
    <row r="151" spans="1:5" x14ac:dyDescent="0.25">
      <c r="A151" s="15">
        <v>35094</v>
      </c>
      <c r="B151" s="13" t="s">
        <v>1203</v>
      </c>
      <c r="C151" s="22">
        <v>20778296</v>
      </c>
      <c r="D151" s="14">
        <v>528.47030000000007</v>
      </c>
      <c r="E151" s="16">
        <f t="shared" si="2"/>
        <v>39317.812183579656</v>
      </c>
    </row>
    <row r="152" spans="1:5" x14ac:dyDescent="0.25">
      <c r="A152" s="15">
        <v>35097</v>
      </c>
      <c r="B152" s="13" t="s">
        <v>1204</v>
      </c>
      <c r="C152" s="22">
        <v>11766106</v>
      </c>
      <c r="D152" s="14">
        <v>306.25759999999997</v>
      </c>
      <c r="E152" s="16">
        <f t="shared" si="2"/>
        <v>38418.984541118334</v>
      </c>
    </row>
    <row r="153" spans="1:5" x14ac:dyDescent="0.25">
      <c r="A153" s="15">
        <v>35098</v>
      </c>
      <c r="B153" s="13" t="s">
        <v>1205</v>
      </c>
      <c r="C153" s="22">
        <v>44803562</v>
      </c>
      <c r="D153" s="14">
        <v>766.9303000000001</v>
      </c>
      <c r="E153" s="16">
        <f t="shared" si="2"/>
        <v>58419.340062584561</v>
      </c>
    </row>
    <row r="154" spans="1:5" x14ac:dyDescent="0.25">
      <c r="A154" s="15">
        <v>35099</v>
      </c>
      <c r="B154" s="13" t="s">
        <v>1206</v>
      </c>
      <c r="C154" s="22">
        <v>15586320</v>
      </c>
      <c r="D154" s="14">
        <v>310.5797</v>
      </c>
      <c r="E154" s="16">
        <f t="shared" si="2"/>
        <v>50184.606398937212</v>
      </c>
    </row>
    <row r="155" spans="1:5" x14ac:dyDescent="0.25">
      <c r="A155" s="15">
        <v>35102</v>
      </c>
      <c r="B155" s="13" t="s">
        <v>1207</v>
      </c>
      <c r="C155" s="22">
        <v>89237053</v>
      </c>
      <c r="D155" s="14">
        <v>1769.0923</v>
      </c>
      <c r="E155" s="16">
        <f t="shared" si="2"/>
        <v>50442.282180528397</v>
      </c>
    </row>
    <row r="156" spans="1:5" x14ac:dyDescent="0.25">
      <c r="A156" s="15">
        <v>36123</v>
      </c>
      <c r="B156" s="13" t="s">
        <v>1208</v>
      </c>
      <c r="C156" s="22">
        <v>26094059</v>
      </c>
      <c r="D156" s="14">
        <v>206.74590000000003</v>
      </c>
      <c r="E156" s="16">
        <f t="shared" si="2"/>
        <v>126213.18729899841</v>
      </c>
    </row>
    <row r="157" spans="1:5" x14ac:dyDescent="0.25">
      <c r="A157" s="15">
        <v>36126</v>
      </c>
      <c r="B157" s="13" t="s">
        <v>1209</v>
      </c>
      <c r="C157" s="22">
        <v>330567225</v>
      </c>
      <c r="D157" s="14">
        <v>3008.3</v>
      </c>
      <c r="E157" s="16">
        <f t="shared" si="2"/>
        <v>109885.05966825117</v>
      </c>
    </row>
    <row r="158" spans="1:5" x14ac:dyDescent="0.25">
      <c r="A158" s="15">
        <v>36131</v>
      </c>
      <c r="B158" s="13" t="s">
        <v>1210</v>
      </c>
      <c r="C158" s="22">
        <v>299980965</v>
      </c>
      <c r="D158" s="14">
        <v>2828.7493000000004</v>
      </c>
      <c r="E158" s="16">
        <f t="shared" si="2"/>
        <v>106047.2078596714</v>
      </c>
    </row>
    <row r="159" spans="1:5" x14ac:dyDescent="0.25">
      <c r="A159" s="15">
        <v>36133</v>
      </c>
      <c r="B159" s="13" t="s">
        <v>1211</v>
      </c>
      <c r="C159" s="22">
        <v>38972942</v>
      </c>
      <c r="D159" s="14">
        <v>461.48239999999998</v>
      </c>
      <c r="E159" s="16">
        <f t="shared" si="2"/>
        <v>84451.632391614505</v>
      </c>
    </row>
    <row r="160" spans="1:5" x14ac:dyDescent="0.25">
      <c r="A160" s="15">
        <v>36134</v>
      </c>
      <c r="B160" s="13" t="s">
        <v>1212</v>
      </c>
      <c r="C160" s="22">
        <v>24250405</v>
      </c>
      <c r="D160" s="14">
        <v>365.02850000000001</v>
      </c>
      <c r="E160" s="16">
        <f t="shared" si="2"/>
        <v>66434.278419356298</v>
      </c>
    </row>
    <row r="161" spans="1:5" x14ac:dyDescent="0.25">
      <c r="A161" s="15">
        <v>36135</v>
      </c>
      <c r="B161" s="13" t="s">
        <v>1213</v>
      </c>
      <c r="C161" s="22">
        <v>11135049</v>
      </c>
      <c r="D161" s="14">
        <v>106.0697</v>
      </c>
      <c r="E161" s="16">
        <f t="shared" si="2"/>
        <v>104978.60369172346</v>
      </c>
    </row>
    <row r="162" spans="1:5" x14ac:dyDescent="0.25">
      <c r="A162" s="15">
        <v>36136</v>
      </c>
      <c r="B162" s="13" t="s">
        <v>1214</v>
      </c>
      <c r="C162" s="22">
        <v>148375218</v>
      </c>
      <c r="D162" s="14">
        <v>2103.5064000000002</v>
      </c>
      <c r="E162" s="16">
        <f t="shared" si="2"/>
        <v>70537.088929227873</v>
      </c>
    </row>
    <row r="163" spans="1:5" x14ac:dyDescent="0.25">
      <c r="A163" s="15">
        <v>36137</v>
      </c>
      <c r="B163" s="13" t="s">
        <v>1215</v>
      </c>
      <c r="C163" s="22">
        <v>159852904</v>
      </c>
      <c r="D163" s="14">
        <v>1941.5328999999997</v>
      </c>
      <c r="E163" s="16">
        <f t="shared" si="2"/>
        <v>82333.348046793355</v>
      </c>
    </row>
    <row r="164" spans="1:5" x14ac:dyDescent="0.25">
      <c r="A164" s="15">
        <v>36138</v>
      </c>
      <c r="B164" s="13" t="s">
        <v>1216</v>
      </c>
      <c r="C164" s="22">
        <v>35552415</v>
      </c>
      <c r="D164" s="14">
        <v>433.92710000000005</v>
      </c>
      <c r="E164" s="16">
        <f t="shared" si="2"/>
        <v>81931.769184270801</v>
      </c>
    </row>
    <row r="165" spans="1:5" x14ac:dyDescent="0.25">
      <c r="A165" s="15">
        <v>36139</v>
      </c>
      <c r="B165" s="13" t="s">
        <v>1217</v>
      </c>
      <c r="C165" s="22">
        <v>743594360</v>
      </c>
      <c r="D165" s="14">
        <v>3796.4685000000009</v>
      </c>
      <c r="E165" s="16">
        <f t="shared" si="2"/>
        <v>195864.75167645927</v>
      </c>
    </row>
    <row r="166" spans="1:5" x14ac:dyDescent="0.25">
      <c r="A166" s="15">
        <v>37037</v>
      </c>
      <c r="B166" s="13" t="s">
        <v>1218</v>
      </c>
      <c r="C166" s="22">
        <v>149426588</v>
      </c>
      <c r="D166" s="14">
        <v>1715.7963999999999</v>
      </c>
      <c r="E166" s="16">
        <f t="shared" si="2"/>
        <v>87088.764144743516</v>
      </c>
    </row>
    <row r="167" spans="1:5" x14ac:dyDescent="0.25">
      <c r="A167" s="15">
        <v>37039</v>
      </c>
      <c r="B167" s="13" t="s">
        <v>1219</v>
      </c>
      <c r="C167" s="22">
        <v>107588147</v>
      </c>
      <c r="D167" s="14">
        <v>934.50800000000004</v>
      </c>
      <c r="E167" s="16">
        <f t="shared" si="2"/>
        <v>115128.11768331571</v>
      </c>
    </row>
    <row r="168" spans="1:5" x14ac:dyDescent="0.25">
      <c r="A168" s="15">
        <v>38044</v>
      </c>
      <c r="B168" s="13" t="s">
        <v>1220</v>
      </c>
      <c r="C168" s="22">
        <v>30043410</v>
      </c>
      <c r="D168" s="14">
        <v>319.84340000000003</v>
      </c>
      <c r="E168" s="16">
        <f t="shared" si="2"/>
        <v>93931.624038513837</v>
      </c>
    </row>
    <row r="169" spans="1:5" x14ac:dyDescent="0.25">
      <c r="A169" s="15">
        <v>38045</v>
      </c>
      <c r="B169" s="13" t="s">
        <v>1221</v>
      </c>
      <c r="C169" s="22">
        <v>21193495</v>
      </c>
      <c r="D169" s="14">
        <v>320.30299999999994</v>
      </c>
      <c r="E169" s="16">
        <f t="shared" si="2"/>
        <v>66167.019977958378</v>
      </c>
    </row>
    <row r="170" spans="1:5" x14ac:dyDescent="0.25">
      <c r="A170" s="15">
        <v>38046</v>
      </c>
      <c r="B170" s="13" t="s">
        <v>1222</v>
      </c>
      <c r="C170" s="22">
        <v>33001176</v>
      </c>
      <c r="D170" s="14">
        <v>208.90490000000003</v>
      </c>
      <c r="E170" s="16">
        <f t="shared" si="2"/>
        <v>157972.24478698199</v>
      </c>
    </row>
    <row r="171" spans="1:5" x14ac:dyDescent="0.25">
      <c r="A171" s="15">
        <v>39133</v>
      </c>
      <c r="B171" s="13" t="s">
        <v>1223</v>
      </c>
      <c r="C171" s="22">
        <v>329851190</v>
      </c>
      <c r="D171" s="14">
        <v>4085.6708999999992</v>
      </c>
      <c r="E171" s="16">
        <f t="shared" si="2"/>
        <v>80733.666042460754</v>
      </c>
    </row>
    <row r="172" spans="1:5" x14ac:dyDescent="0.25">
      <c r="A172" s="15">
        <v>39134</v>
      </c>
      <c r="B172" s="13" t="s">
        <v>1224</v>
      </c>
      <c r="C172" s="22">
        <v>291969256</v>
      </c>
      <c r="D172" s="14">
        <v>4309.6747999999989</v>
      </c>
      <c r="E172" s="16">
        <f t="shared" si="2"/>
        <v>67747.398481203287</v>
      </c>
    </row>
    <row r="173" spans="1:5" x14ac:dyDescent="0.25">
      <c r="A173" s="15">
        <v>39135</v>
      </c>
      <c r="B173" s="13" t="s">
        <v>1225</v>
      </c>
      <c r="C173" s="22">
        <v>52936954</v>
      </c>
      <c r="D173" s="14">
        <v>780.98929999999996</v>
      </c>
      <c r="E173" s="16">
        <f t="shared" si="2"/>
        <v>67781.919675468031</v>
      </c>
    </row>
    <row r="174" spans="1:5" x14ac:dyDescent="0.25">
      <c r="A174" s="15">
        <v>39136</v>
      </c>
      <c r="B174" s="13" t="s">
        <v>1226</v>
      </c>
      <c r="C174" s="22">
        <v>18058870</v>
      </c>
      <c r="D174" s="14">
        <v>256.58069999999998</v>
      </c>
      <c r="E174" s="16">
        <f t="shared" si="2"/>
        <v>70382.807436412797</v>
      </c>
    </row>
    <row r="175" spans="1:5" x14ac:dyDescent="0.25">
      <c r="A175" s="15">
        <v>39137</v>
      </c>
      <c r="B175" s="13" t="s">
        <v>1227</v>
      </c>
      <c r="C175" s="22">
        <v>165169174</v>
      </c>
      <c r="D175" s="14">
        <v>1169.3593999999998</v>
      </c>
      <c r="E175" s="16">
        <f t="shared" si="2"/>
        <v>141247.57025085704</v>
      </c>
    </row>
    <row r="176" spans="1:5" x14ac:dyDescent="0.25">
      <c r="A176" s="15">
        <v>39139</v>
      </c>
      <c r="B176" s="13" t="s">
        <v>1228</v>
      </c>
      <c r="C176" s="22">
        <v>209965402</v>
      </c>
      <c r="D176" s="14">
        <v>2072.1183000000001</v>
      </c>
      <c r="E176" s="16">
        <f t="shared" si="2"/>
        <v>101328.86814425605</v>
      </c>
    </row>
    <row r="177" spans="1:5" x14ac:dyDescent="0.25">
      <c r="A177" s="15">
        <v>39141</v>
      </c>
      <c r="B177" s="13" t="s">
        <v>1229</v>
      </c>
      <c r="C177" s="22">
        <v>3172447440</v>
      </c>
      <c r="D177" s="14">
        <v>22246.129399999998</v>
      </c>
      <c r="E177" s="16">
        <f t="shared" si="2"/>
        <v>142606.7152158164</v>
      </c>
    </row>
    <row r="178" spans="1:5" x14ac:dyDescent="0.25">
      <c r="A178" s="15">
        <v>39142</v>
      </c>
      <c r="B178" s="13" t="s">
        <v>1230</v>
      </c>
      <c r="C178" s="22">
        <v>62360264</v>
      </c>
      <c r="D178" s="14">
        <v>1036.5161000000001</v>
      </c>
      <c r="E178" s="16">
        <f t="shared" si="2"/>
        <v>60163.333690619947</v>
      </c>
    </row>
    <row r="179" spans="1:5" x14ac:dyDescent="0.25">
      <c r="A179" s="15">
        <v>40100</v>
      </c>
      <c r="B179" s="13" t="s">
        <v>1231</v>
      </c>
      <c r="C179" s="22">
        <v>11214507</v>
      </c>
      <c r="D179" s="14">
        <v>155.51409999999998</v>
      </c>
      <c r="E179" s="16">
        <f t="shared" si="2"/>
        <v>72112.477260904328</v>
      </c>
    </row>
    <row r="180" spans="1:5" x14ac:dyDescent="0.25">
      <c r="A180" s="15">
        <v>40101</v>
      </c>
      <c r="B180" s="13" t="s">
        <v>1232</v>
      </c>
      <c r="C180" s="22">
        <v>3677920</v>
      </c>
      <c r="D180" s="14">
        <v>49.960300000000004</v>
      </c>
      <c r="E180" s="16">
        <f t="shared" si="2"/>
        <v>73616.851780313562</v>
      </c>
    </row>
    <row r="181" spans="1:5" x14ac:dyDescent="0.25">
      <c r="A181" s="15">
        <v>40103</v>
      </c>
      <c r="B181" s="13" t="s">
        <v>1233</v>
      </c>
      <c r="C181" s="22">
        <v>6429018</v>
      </c>
      <c r="D181" s="14">
        <v>73.01230000000001</v>
      </c>
      <c r="E181" s="16">
        <f t="shared" si="2"/>
        <v>88053.90324643928</v>
      </c>
    </row>
    <row r="182" spans="1:5" x14ac:dyDescent="0.25">
      <c r="A182" s="15">
        <v>40104</v>
      </c>
      <c r="B182" s="13" t="s">
        <v>1234</v>
      </c>
      <c r="C182" s="22">
        <v>4946910</v>
      </c>
      <c r="D182" s="14">
        <v>66.299399999999991</v>
      </c>
      <c r="E182" s="16">
        <f t="shared" si="2"/>
        <v>74614.702395496803</v>
      </c>
    </row>
    <row r="183" spans="1:5" x14ac:dyDescent="0.25">
      <c r="A183" s="15">
        <v>40107</v>
      </c>
      <c r="B183" s="13" t="s">
        <v>1235</v>
      </c>
      <c r="C183" s="22">
        <v>70920984</v>
      </c>
      <c r="D183" s="14">
        <v>1160.9476000000002</v>
      </c>
      <c r="E183" s="16">
        <f t="shared" si="2"/>
        <v>61088.876018176867</v>
      </c>
    </row>
    <row r="184" spans="1:5" x14ac:dyDescent="0.25">
      <c r="A184" s="15">
        <v>41001</v>
      </c>
      <c r="B184" s="13" t="s">
        <v>1236</v>
      </c>
      <c r="C184" s="22">
        <v>5084294</v>
      </c>
      <c r="D184" s="14">
        <v>81.183700000000002</v>
      </c>
      <c r="E184" s="16">
        <f t="shared" si="2"/>
        <v>62627.029810171254</v>
      </c>
    </row>
    <row r="185" spans="1:5" x14ac:dyDescent="0.25">
      <c r="A185" s="15">
        <v>41002</v>
      </c>
      <c r="B185" s="13" t="s">
        <v>1237</v>
      </c>
      <c r="C185" s="22">
        <v>58075194</v>
      </c>
      <c r="D185" s="14">
        <v>805.82330000000002</v>
      </c>
      <c r="E185" s="16">
        <f t="shared" si="2"/>
        <v>72069.390398614676</v>
      </c>
    </row>
    <row r="186" spans="1:5" x14ac:dyDescent="0.25">
      <c r="A186" s="15">
        <v>41003</v>
      </c>
      <c r="B186" s="13" t="s">
        <v>1238</v>
      </c>
      <c r="C186" s="22">
        <v>15411465</v>
      </c>
      <c r="D186" s="14">
        <v>212.37360000000004</v>
      </c>
      <c r="E186" s="16">
        <f t="shared" si="2"/>
        <v>72567.706155567343</v>
      </c>
    </row>
    <row r="187" spans="1:5" x14ac:dyDescent="0.25">
      <c r="A187" s="15">
        <v>41004</v>
      </c>
      <c r="B187" s="13" t="s">
        <v>1239</v>
      </c>
      <c r="C187" s="22">
        <v>9399981</v>
      </c>
      <c r="D187" s="14">
        <v>113.63420000000001</v>
      </c>
      <c r="E187" s="16">
        <f t="shared" si="2"/>
        <v>82721.407815604805</v>
      </c>
    </row>
    <row r="188" spans="1:5" x14ac:dyDescent="0.25">
      <c r="A188" s="15">
        <v>41005</v>
      </c>
      <c r="B188" s="13" t="s">
        <v>1240</v>
      </c>
      <c r="C188" s="22">
        <v>6793240</v>
      </c>
      <c r="D188" s="14">
        <v>81.320000000000022</v>
      </c>
      <c r="E188" s="16">
        <f t="shared" si="2"/>
        <v>83537.137235612376</v>
      </c>
    </row>
    <row r="189" spans="1:5" x14ac:dyDescent="0.25">
      <c r="A189" s="15">
        <v>42111</v>
      </c>
      <c r="B189" s="13" t="s">
        <v>1241</v>
      </c>
      <c r="C189" s="22">
        <v>40160991</v>
      </c>
      <c r="D189" s="14">
        <v>634.56960000000004</v>
      </c>
      <c r="E189" s="16">
        <f t="shared" si="2"/>
        <v>63288.551799518915</v>
      </c>
    </row>
    <row r="190" spans="1:5" x14ac:dyDescent="0.25">
      <c r="A190" s="15">
        <v>42113</v>
      </c>
      <c r="B190" s="13" t="s">
        <v>1242</v>
      </c>
      <c r="C190" s="22">
        <v>8573109</v>
      </c>
      <c r="D190" s="14">
        <v>84.497299999999996</v>
      </c>
      <c r="E190" s="16">
        <f t="shared" si="2"/>
        <v>101460.15316465734</v>
      </c>
    </row>
    <row r="191" spans="1:5" x14ac:dyDescent="0.25">
      <c r="A191" s="15">
        <v>42117</v>
      </c>
      <c r="B191" s="13" t="s">
        <v>1243</v>
      </c>
      <c r="C191" s="22">
        <v>8954826</v>
      </c>
      <c r="D191" s="14">
        <v>144.43649999999997</v>
      </c>
      <c r="E191" s="16">
        <f t="shared" si="2"/>
        <v>61998.35914052197</v>
      </c>
    </row>
    <row r="192" spans="1:5" x14ac:dyDescent="0.25">
      <c r="A192" s="15">
        <v>42118</v>
      </c>
      <c r="B192" s="13" t="s">
        <v>1244</v>
      </c>
      <c r="C192" s="22">
        <v>14384633</v>
      </c>
      <c r="D192" s="14">
        <v>114.07899999999999</v>
      </c>
      <c r="E192" s="16">
        <f t="shared" si="2"/>
        <v>126093.61056811508</v>
      </c>
    </row>
    <row r="193" spans="1:5" x14ac:dyDescent="0.25">
      <c r="A193" s="15">
        <v>42119</v>
      </c>
      <c r="B193" s="13" t="s">
        <v>1245</v>
      </c>
      <c r="C193" s="22">
        <v>16295826</v>
      </c>
      <c r="D193" s="14">
        <v>44.998100000000001</v>
      </c>
      <c r="E193" s="16">
        <f t="shared" si="2"/>
        <v>362144.75722308276</v>
      </c>
    </row>
    <row r="194" spans="1:5" x14ac:dyDescent="0.25">
      <c r="A194" s="15">
        <v>42121</v>
      </c>
      <c r="B194" s="13" t="s">
        <v>1246</v>
      </c>
      <c r="C194" s="22">
        <v>9489564</v>
      </c>
      <c r="D194" s="14">
        <v>89.724500000000006</v>
      </c>
      <c r="E194" s="16">
        <f t="shared" si="2"/>
        <v>105763.35337616815</v>
      </c>
    </row>
    <row r="195" spans="1:5" x14ac:dyDescent="0.25">
      <c r="A195" s="15">
        <v>42124</v>
      </c>
      <c r="B195" s="13" t="s">
        <v>1247</v>
      </c>
      <c r="C195" s="22">
        <v>152085844</v>
      </c>
      <c r="D195" s="14">
        <v>1567.3549000000003</v>
      </c>
      <c r="E195" s="16">
        <f t="shared" ref="E195:E258" si="3">C195/D195</f>
        <v>97033.444052779611</v>
      </c>
    </row>
    <row r="196" spans="1:5" x14ac:dyDescent="0.25">
      <c r="A196" s="15">
        <v>43001</v>
      </c>
      <c r="B196" s="13" t="s">
        <v>1248</v>
      </c>
      <c r="C196" s="22">
        <v>38409834</v>
      </c>
      <c r="D196" s="14">
        <v>705.68209999999988</v>
      </c>
      <c r="E196" s="16">
        <f t="shared" si="3"/>
        <v>54429.372659445391</v>
      </c>
    </row>
    <row r="197" spans="1:5" x14ac:dyDescent="0.25">
      <c r="A197" s="15">
        <v>43002</v>
      </c>
      <c r="B197" s="13" t="s">
        <v>1249</v>
      </c>
      <c r="C197" s="22">
        <v>32243430</v>
      </c>
      <c r="D197" s="14">
        <v>282.55630000000002</v>
      </c>
      <c r="E197" s="16">
        <f t="shared" si="3"/>
        <v>114113.29352769695</v>
      </c>
    </row>
    <row r="198" spans="1:5" x14ac:dyDescent="0.25">
      <c r="A198" s="15">
        <v>43003</v>
      </c>
      <c r="B198" s="13" t="s">
        <v>1250</v>
      </c>
      <c r="C198" s="22">
        <v>20843333</v>
      </c>
      <c r="D198" s="14">
        <v>324.78230000000002</v>
      </c>
      <c r="E198" s="16">
        <f t="shared" si="3"/>
        <v>64176.320569193573</v>
      </c>
    </row>
    <row r="199" spans="1:5" x14ac:dyDescent="0.25">
      <c r="A199" s="15">
        <v>43004</v>
      </c>
      <c r="B199" s="13" t="s">
        <v>1251</v>
      </c>
      <c r="C199" s="22">
        <v>38183232</v>
      </c>
      <c r="D199" s="14">
        <v>277.5942</v>
      </c>
      <c r="E199" s="16">
        <f t="shared" si="3"/>
        <v>137550.53960061126</v>
      </c>
    </row>
    <row r="200" spans="1:5" x14ac:dyDescent="0.25">
      <c r="A200" s="15">
        <v>44078</v>
      </c>
      <c r="B200" s="13" t="s">
        <v>1252</v>
      </c>
      <c r="C200" s="22">
        <v>18641679</v>
      </c>
      <c r="D200" s="14">
        <v>80.495399999999989</v>
      </c>
      <c r="E200" s="16">
        <f t="shared" si="3"/>
        <v>231586.88571023938</v>
      </c>
    </row>
    <row r="201" spans="1:5" x14ac:dyDescent="0.25">
      <c r="A201" s="15">
        <v>44083</v>
      </c>
      <c r="B201" s="13" t="s">
        <v>1253</v>
      </c>
      <c r="C201" s="22">
        <v>25560994</v>
      </c>
      <c r="D201" s="14">
        <v>250.79679999999999</v>
      </c>
      <c r="E201" s="16">
        <f t="shared" si="3"/>
        <v>101919.13931916197</v>
      </c>
    </row>
    <row r="202" spans="1:5" x14ac:dyDescent="0.25">
      <c r="A202" s="15">
        <v>44084</v>
      </c>
      <c r="B202" s="13" t="s">
        <v>1254</v>
      </c>
      <c r="C202" s="22">
        <v>27118516</v>
      </c>
      <c r="D202" s="14">
        <v>236.6011</v>
      </c>
      <c r="E202" s="16">
        <f t="shared" si="3"/>
        <v>114617.03263425233</v>
      </c>
    </row>
    <row r="203" spans="1:5" x14ac:dyDescent="0.25">
      <c r="A203" s="15">
        <v>45076</v>
      </c>
      <c r="B203" s="13" t="s">
        <v>1255</v>
      </c>
      <c r="C203" s="22">
        <v>24706688</v>
      </c>
      <c r="D203" s="14">
        <v>430.00150000000008</v>
      </c>
      <c r="E203" s="16">
        <f t="shared" si="3"/>
        <v>57457.213521348174</v>
      </c>
    </row>
    <row r="204" spans="1:5" x14ac:dyDescent="0.25">
      <c r="A204" s="15">
        <v>45077</v>
      </c>
      <c r="B204" s="13" t="s">
        <v>1256</v>
      </c>
      <c r="C204" s="22">
        <v>45929347</v>
      </c>
      <c r="D204" s="14">
        <v>612.64030000000002</v>
      </c>
      <c r="E204" s="16">
        <f t="shared" si="3"/>
        <v>74969.516370372628</v>
      </c>
    </row>
    <row r="205" spans="1:5" x14ac:dyDescent="0.25">
      <c r="A205" s="15">
        <v>45078</v>
      </c>
      <c r="B205" s="13" t="s">
        <v>1257</v>
      </c>
      <c r="C205" s="22">
        <v>22759635</v>
      </c>
      <c r="D205" s="14">
        <v>238.59050000000002</v>
      </c>
      <c r="E205" s="16">
        <f t="shared" si="3"/>
        <v>95392.042013407903</v>
      </c>
    </row>
    <row r="206" spans="1:5" x14ac:dyDescent="0.25">
      <c r="A206" s="15">
        <v>46128</v>
      </c>
      <c r="B206" s="13" t="s">
        <v>1258</v>
      </c>
      <c r="C206" s="22">
        <v>21239540</v>
      </c>
      <c r="D206" s="14">
        <v>283.53340000000003</v>
      </c>
      <c r="E206" s="16">
        <f t="shared" si="3"/>
        <v>74910.186947992712</v>
      </c>
    </row>
    <row r="207" spans="1:5" x14ac:dyDescent="0.25">
      <c r="A207" s="15">
        <v>46130</v>
      </c>
      <c r="B207" s="13" t="s">
        <v>1259</v>
      </c>
      <c r="C207" s="22">
        <v>61115860</v>
      </c>
      <c r="D207" s="14">
        <v>1191.1373999999998</v>
      </c>
      <c r="E207" s="16">
        <f t="shared" si="3"/>
        <v>51308.824657843848</v>
      </c>
    </row>
    <row r="208" spans="1:5" x14ac:dyDescent="0.25">
      <c r="A208" s="15">
        <v>46131</v>
      </c>
      <c r="B208" s="13" t="s">
        <v>1260</v>
      </c>
      <c r="C208" s="22">
        <v>61419524</v>
      </c>
      <c r="D208" s="14">
        <v>1211.6875000000002</v>
      </c>
      <c r="E208" s="16">
        <f t="shared" si="3"/>
        <v>50689.244545313857</v>
      </c>
    </row>
    <row r="209" spans="1:5" x14ac:dyDescent="0.25">
      <c r="A209" s="15">
        <v>46132</v>
      </c>
      <c r="B209" s="13" t="s">
        <v>1261</v>
      </c>
      <c r="C209" s="22">
        <v>35739150</v>
      </c>
      <c r="D209" s="14">
        <v>550.03319999999997</v>
      </c>
      <c r="E209" s="16">
        <f t="shared" si="3"/>
        <v>64976.350518477797</v>
      </c>
    </row>
    <row r="210" spans="1:5" x14ac:dyDescent="0.25">
      <c r="A210" s="15">
        <v>46134</v>
      </c>
      <c r="B210" s="13" t="s">
        <v>1262</v>
      </c>
      <c r="C210" s="22">
        <v>132761740</v>
      </c>
      <c r="D210" s="14">
        <v>1891.2808999999997</v>
      </c>
      <c r="E210" s="16">
        <f t="shared" si="3"/>
        <v>70196.732806850647</v>
      </c>
    </row>
    <row r="211" spans="1:5" x14ac:dyDescent="0.25">
      <c r="A211" s="15">
        <v>46135</v>
      </c>
      <c r="B211" s="13" t="s">
        <v>1263</v>
      </c>
      <c r="C211" s="22">
        <v>23660880</v>
      </c>
      <c r="D211" s="14">
        <v>358.37129999999996</v>
      </c>
      <c r="E211" s="16">
        <f t="shared" si="3"/>
        <v>66023.367384609213</v>
      </c>
    </row>
    <row r="212" spans="1:5" x14ac:dyDescent="0.25">
      <c r="A212" s="15">
        <v>46137</v>
      </c>
      <c r="B212" s="13" t="s">
        <v>1264</v>
      </c>
      <c r="C212" s="22">
        <v>16118120</v>
      </c>
      <c r="D212" s="14">
        <v>283.58319999999998</v>
      </c>
      <c r="E212" s="16">
        <f t="shared" si="3"/>
        <v>56837.358489501501</v>
      </c>
    </row>
    <row r="213" spans="1:5" x14ac:dyDescent="0.25">
      <c r="A213" s="15">
        <v>46140</v>
      </c>
      <c r="B213" s="13" t="s">
        <v>1265</v>
      </c>
      <c r="C213" s="22">
        <v>40860090</v>
      </c>
      <c r="D213" s="14">
        <v>680.4905</v>
      </c>
      <c r="E213" s="16">
        <f t="shared" si="3"/>
        <v>60045.055735531947</v>
      </c>
    </row>
    <row r="214" spans="1:5" x14ac:dyDescent="0.25">
      <c r="A214" s="15">
        <v>47060</v>
      </c>
      <c r="B214" s="13" t="s">
        <v>1266</v>
      </c>
      <c r="C214" s="22">
        <v>27784875</v>
      </c>
      <c r="D214" s="14">
        <v>338.72049999999996</v>
      </c>
      <c r="E214" s="16">
        <f t="shared" si="3"/>
        <v>82028.914695154279</v>
      </c>
    </row>
    <row r="215" spans="1:5" x14ac:dyDescent="0.25">
      <c r="A215" s="15">
        <v>47062</v>
      </c>
      <c r="B215" s="13" t="s">
        <v>1267</v>
      </c>
      <c r="C215" s="22">
        <v>43428257</v>
      </c>
      <c r="D215" s="14">
        <v>962.28559999999982</v>
      </c>
      <c r="E215" s="16">
        <f t="shared" si="3"/>
        <v>45130.319938280285</v>
      </c>
    </row>
    <row r="216" spans="1:5" x14ac:dyDescent="0.25">
      <c r="A216" s="15">
        <v>47064</v>
      </c>
      <c r="B216" s="13" t="s">
        <v>1268</v>
      </c>
      <c r="C216" s="22">
        <v>8835620</v>
      </c>
      <c r="D216" s="14">
        <v>148.3946</v>
      </c>
      <c r="E216" s="16">
        <f t="shared" si="3"/>
        <v>59541.384929101194</v>
      </c>
    </row>
    <row r="217" spans="1:5" x14ac:dyDescent="0.25">
      <c r="A217" s="15">
        <v>47065</v>
      </c>
      <c r="B217" s="13" t="s">
        <v>1269</v>
      </c>
      <c r="C217" s="22">
        <v>79439279</v>
      </c>
      <c r="D217" s="14">
        <v>390.97030000000001</v>
      </c>
      <c r="E217" s="16">
        <f t="shared" si="3"/>
        <v>203184.94525031696</v>
      </c>
    </row>
    <row r="218" spans="1:5" x14ac:dyDescent="0.25">
      <c r="A218" s="15">
        <v>48066</v>
      </c>
      <c r="B218" s="13" t="s">
        <v>1270</v>
      </c>
      <c r="C218" s="22">
        <v>262507251</v>
      </c>
      <c r="D218" s="14">
        <v>4607.1265000000003</v>
      </c>
      <c r="E218" s="16">
        <f t="shared" si="3"/>
        <v>56978.520342343538</v>
      </c>
    </row>
    <row r="219" spans="1:5" x14ac:dyDescent="0.25">
      <c r="A219" s="15">
        <v>48068</v>
      </c>
      <c r="B219" s="13" t="s">
        <v>1271</v>
      </c>
      <c r="C219" s="22">
        <v>1232829298</v>
      </c>
      <c r="D219" s="14">
        <v>13443.802499999998</v>
      </c>
      <c r="E219" s="16">
        <f t="shared" si="3"/>
        <v>91702.425560030373</v>
      </c>
    </row>
    <row r="220" spans="1:5" x14ac:dyDescent="0.25">
      <c r="A220" s="15">
        <v>48069</v>
      </c>
      <c r="B220" s="13" t="s">
        <v>1272</v>
      </c>
      <c r="C220" s="22">
        <v>247083355</v>
      </c>
      <c r="D220" s="14">
        <v>3448.9476000000009</v>
      </c>
      <c r="E220" s="16">
        <f t="shared" si="3"/>
        <v>71640.217149138465</v>
      </c>
    </row>
    <row r="221" spans="1:5" x14ac:dyDescent="0.25">
      <c r="A221" s="15">
        <v>48070</v>
      </c>
      <c r="B221" s="13" t="s">
        <v>1273</v>
      </c>
      <c r="C221" s="22">
        <v>124114710</v>
      </c>
      <c r="D221" s="14">
        <v>1989.8641000000002</v>
      </c>
      <c r="E221" s="16">
        <f t="shared" si="3"/>
        <v>62373.460579544095</v>
      </c>
    </row>
    <row r="222" spans="1:5" x14ac:dyDescent="0.25">
      <c r="A222" s="15">
        <v>48071</v>
      </c>
      <c r="B222" s="13" t="s">
        <v>1274</v>
      </c>
      <c r="C222" s="22">
        <v>1659341019</v>
      </c>
      <c r="D222" s="14">
        <v>16697.914600000004</v>
      </c>
      <c r="E222" s="16">
        <f t="shared" si="3"/>
        <v>99374.146936887541</v>
      </c>
    </row>
    <row r="223" spans="1:5" x14ac:dyDescent="0.25">
      <c r="A223" s="15">
        <v>48072</v>
      </c>
      <c r="B223" s="13" t="s">
        <v>1275</v>
      </c>
      <c r="C223" s="22">
        <v>377631752</v>
      </c>
      <c r="D223" s="14">
        <v>5636.3506000000007</v>
      </c>
      <c r="E223" s="16">
        <f t="shared" si="3"/>
        <v>66999.33676943375</v>
      </c>
    </row>
    <row r="224" spans="1:5" x14ac:dyDescent="0.25">
      <c r="A224" s="15">
        <v>48073</v>
      </c>
      <c r="B224" s="13" t="s">
        <v>1276</v>
      </c>
      <c r="C224" s="22">
        <v>605778080</v>
      </c>
      <c r="D224" s="14">
        <v>8212.9351000000006</v>
      </c>
      <c r="E224" s="16">
        <f t="shared" si="3"/>
        <v>73759.024346850128</v>
      </c>
    </row>
    <row r="225" spans="1:5" x14ac:dyDescent="0.25">
      <c r="A225" s="15">
        <v>48074</v>
      </c>
      <c r="B225" s="13" t="s">
        <v>1277</v>
      </c>
      <c r="C225" s="22">
        <v>432544063</v>
      </c>
      <c r="D225" s="14">
        <v>3529.707800000001</v>
      </c>
      <c r="E225" s="16">
        <f t="shared" si="3"/>
        <v>122543.87261177819</v>
      </c>
    </row>
    <row r="226" spans="1:5" x14ac:dyDescent="0.25">
      <c r="A226" s="15">
        <v>48075</v>
      </c>
      <c r="B226" s="13" t="s">
        <v>1278</v>
      </c>
      <c r="C226" s="22">
        <v>48470877</v>
      </c>
      <c r="D226" s="14">
        <v>536.55450000000008</v>
      </c>
      <c r="E226" s="16">
        <f t="shared" si="3"/>
        <v>90337.285401576155</v>
      </c>
    </row>
    <row r="227" spans="1:5" x14ac:dyDescent="0.25">
      <c r="A227" s="15">
        <v>48077</v>
      </c>
      <c r="B227" s="13" t="s">
        <v>1279</v>
      </c>
      <c r="C227" s="22">
        <v>938221089</v>
      </c>
      <c r="D227" s="14">
        <v>13607.717300000008</v>
      </c>
      <c r="E227" s="16">
        <f t="shared" si="3"/>
        <v>68947.720496809517</v>
      </c>
    </row>
    <row r="228" spans="1:5" x14ac:dyDescent="0.25">
      <c r="A228" s="15">
        <v>48078</v>
      </c>
      <c r="B228" s="13" t="s">
        <v>1280</v>
      </c>
      <c r="C228" s="22">
        <v>2785114682</v>
      </c>
      <c r="D228" s="14">
        <v>14051.979499999999</v>
      </c>
      <c r="E228" s="16">
        <f t="shared" si="3"/>
        <v>198200.87853102831</v>
      </c>
    </row>
    <row r="229" spans="1:5" x14ac:dyDescent="0.25">
      <c r="A229" s="15">
        <v>48080</v>
      </c>
      <c r="B229" s="13" t="s">
        <v>1281</v>
      </c>
      <c r="C229" s="22">
        <v>394480140</v>
      </c>
      <c r="D229" s="14">
        <v>2147.7235000000001</v>
      </c>
      <c r="E229" s="16">
        <f t="shared" si="3"/>
        <v>183673.61534201214</v>
      </c>
    </row>
    <row r="230" spans="1:5" x14ac:dyDescent="0.25">
      <c r="A230" s="15">
        <v>49132</v>
      </c>
      <c r="B230" s="13" t="s">
        <v>1282</v>
      </c>
      <c r="C230" s="22">
        <v>210635400</v>
      </c>
      <c r="D230" s="14">
        <v>3058.4801000000007</v>
      </c>
      <c r="E230" s="16">
        <f t="shared" si="3"/>
        <v>68869.305378184392</v>
      </c>
    </row>
    <row r="231" spans="1:5" x14ac:dyDescent="0.25">
      <c r="A231" s="15">
        <v>49135</v>
      </c>
      <c r="B231" s="13" t="s">
        <v>1283</v>
      </c>
      <c r="C231" s="22">
        <v>18149550</v>
      </c>
      <c r="D231" s="14">
        <v>205.14620000000002</v>
      </c>
      <c r="E231" s="16">
        <f t="shared" si="3"/>
        <v>88471.295105636847</v>
      </c>
    </row>
    <row r="232" spans="1:5" x14ac:dyDescent="0.25">
      <c r="A232" s="15">
        <v>49137</v>
      </c>
      <c r="B232" s="13" t="s">
        <v>1284</v>
      </c>
      <c r="C232" s="22">
        <v>33643023</v>
      </c>
      <c r="D232" s="14">
        <v>435.08670000000001</v>
      </c>
      <c r="E232" s="16">
        <f t="shared" si="3"/>
        <v>77324.871111895627</v>
      </c>
    </row>
    <row r="233" spans="1:5" x14ac:dyDescent="0.25">
      <c r="A233" s="15">
        <v>49140</v>
      </c>
      <c r="B233" s="13" t="s">
        <v>1285</v>
      </c>
      <c r="C233" s="22">
        <v>33362950</v>
      </c>
      <c r="D233" s="14">
        <v>783.23490000000004</v>
      </c>
      <c r="E233" s="16">
        <f t="shared" si="3"/>
        <v>42596.352639546574</v>
      </c>
    </row>
    <row r="234" spans="1:5" x14ac:dyDescent="0.25">
      <c r="A234" s="15">
        <v>49142</v>
      </c>
      <c r="B234" s="13" t="s">
        <v>1286</v>
      </c>
      <c r="C234" s="22">
        <v>288374600</v>
      </c>
      <c r="D234" s="14">
        <v>4048.7815999999993</v>
      </c>
      <c r="E234" s="16">
        <f t="shared" si="3"/>
        <v>71225.032241798384</v>
      </c>
    </row>
    <row r="235" spans="1:5" x14ac:dyDescent="0.25">
      <c r="A235" s="15">
        <v>49144</v>
      </c>
      <c r="B235" s="13" t="s">
        <v>1287</v>
      </c>
      <c r="C235" s="22">
        <v>207752180</v>
      </c>
      <c r="D235" s="14">
        <v>3958.9402999999998</v>
      </c>
      <c r="E235" s="16">
        <f t="shared" si="3"/>
        <v>52476.714538989138</v>
      </c>
    </row>
    <row r="236" spans="1:5" x14ac:dyDescent="0.25">
      <c r="A236" s="15">
        <v>49148</v>
      </c>
      <c r="B236" s="13" t="s">
        <v>1288</v>
      </c>
      <c r="C236" s="22">
        <v>861646535</v>
      </c>
      <c r="D236" s="14">
        <v>7425.6014999999989</v>
      </c>
      <c r="E236" s="16">
        <f t="shared" si="3"/>
        <v>116037.2711894114</v>
      </c>
    </row>
    <row r="237" spans="1:5" x14ac:dyDescent="0.25">
      <c r="A237" s="15">
        <v>50001</v>
      </c>
      <c r="B237" s="13" t="s">
        <v>1289</v>
      </c>
      <c r="C237" s="22">
        <v>535984892</v>
      </c>
      <c r="D237" s="14">
        <v>6571.208700000002</v>
      </c>
      <c r="E237" s="16">
        <f t="shared" si="3"/>
        <v>81565.647427999022</v>
      </c>
    </row>
    <row r="238" spans="1:5" x14ac:dyDescent="0.25">
      <c r="A238" s="15">
        <v>50002</v>
      </c>
      <c r="B238" s="13" t="s">
        <v>1290</v>
      </c>
      <c r="C238" s="22">
        <v>49032633</v>
      </c>
      <c r="D238" s="14">
        <v>725.65060000000017</v>
      </c>
      <c r="E238" s="16">
        <f t="shared" si="3"/>
        <v>67570.581489218079</v>
      </c>
    </row>
    <row r="239" spans="1:5" x14ac:dyDescent="0.25">
      <c r="A239" s="15">
        <v>50003</v>
      </c>
      <c r="B239" s="13" t="s">
        <v>1291</v>
      </c>
      <c r="C239" s="22">
        <v>236760012</v>
      </c>
      <c r="D239" s="14">
        <v>3432.4094000000005</v>
      </c>
      <c r="E239" s="16">
        <f t="shared" si="3"/>
        <v>68977.789187968068</v>
      </c>
    </row>
    <row r="240" spans="1:5" x14ac:dyDescent="0.25">
      <c r="A240" s="15">
        <v>50005</v>
      </c>
      <c r="B240" s="13" t="s">
        <v>1292</v>
      </c>
      <c r="C240" s="22">
        <v>163880719</v>
      </c>
      <c r="D240" s="14">
        <v>1316.6373000000001</v>
      </c>
      <c r="E240" s="16">
        <f t="shared" si="3"/>
        <v>124469.14499536052</v>
      </c>
    </row>
    <row r="241" spans="1:5" x14ac:dyDescent="0.25">
      <c r="A241" s="15">
        <v>50006</v>
      </c>
      <c r="B241" s="13" t="s">
        <v>1293</v>
      </c>
      <c r="C241" s="22">
        <v>236522729</v>
      </c>
      <c r="D241" s="14">
        <v>2942.5524999999998</v>
      </c>
      <c r="E241" s="16">
        <f t="shared" si="3"/>
        <v>80380.122019912989</v>
      </c>
    </row>
    <row r="242" spans="1:5" x14ac:dyDescent="0.25">
      <c r="A242" s="15">
        <v>50007</v>
      </c>
      <c r="B242" s="13" t="s">
        <v>1294</v>
      </c>
      <c r="C242" s="22">
        <v>200250678</v>
      </c>
      <c r="D242" s="14">
        <v>936.68320000000006</v>
      </c>
      <c r="E242" s="16">
        <f t="shared" si="3"/>
        <v>213786.98582402244</v>
      </c>
    </row>
    <row r="243" spans="1:5" x14ac:dyDescent="0.25">
      <c r="A243" s="15">
        <v>50009</v>
      </c>
      <c r="B243" s="13" t="s">
        <v>1295</v>
      </c>
      <c r="C243" s="22">
        <v>32770181</v>
      </c>
      <c r="D243" s="14">
        <v>442.16610000000003</v>
      </c>
      <c r="E243" s="16">
        <f t="shared" si="3"/>
        <v>74112.829997595923</v>
      </c>
    </row>
    <row r="244" spans="1:5" x14ac:dyDescent="0.25">
      <c r="A244" s="15">
        <v>50010</v>
      </c>
      <c r="B244" s="13" t="s">
        <v>1296</v>
      </c>
      <c r="C244" s="22">
        <v>201378052</v>
      </c>
      <c r="D244" s="14">
        <v>2867.3561000000004</v>
      </c>
      <c r="E244" s="16">
        <f t="shared" si="3"/>
        <v>70231.26705469194</v>
      </c>
    </row>
    <row r="245" spans="1:5" x14ac:dyDescent="0.25">
      <c r="A245" s="15">
        <v>50012</v>
      </c>
      <c r="B245" s="13" t="s">
        <v>1297</v>
      </c>
      <c r="C245" s="22">
        <v>837499206</v>
      </c>
      <c r="D245" s="14">
        <v>11291.223399999999</v>
      </c>
      <c r="E245" s="16">
        <f t="shared" si="3"/>
        <v>74172.583105564991</v>
      </c>
    </row>
    <row r="246" spans="1:5" x14ac:dyDescent="0.25">
      <c r="A246" s="15">
        <v>50013</v>
      </c>
      <c r="B246" s="13" t="s">
        <v>1298</v>
      </c>
      <c r="C246" s="22">
        <v>58340189</v>
      </c>
      <c r="D246" s="14">
        <v>654.10530000000006</v>
      </c>
      <c r="E246" s="16">
        <f t="shared" si="3"/>
        <v>89190.821416674036</v>
      </c>
    </row>
    <row r="247" spans="1:5" x14ac:dyDescent="0.25">
      <c r="A247" s="15">
        <v>50014</v>
      </c>
      <c r="B247" s="13" t="s">
        <v>1299</v>
      </c>
      <c r="C247" s="22">
        <v>180170463</v>
      </c>
      <c r="D247" s="14">
        <v>2767.8320000000008</v>
      </c>
      <c r="E247" s="16">
        <f t="shared" si="3"/>
        <v>65094.436006231575</v>
      </c>
    </row>
    <row r="248" spans="1:5" x14ac:dyDescent="0.25">
      <c r="A248" s="15">
        <v>51150</v>
      </c>
      <c r="B248" s="13" t="s">
        <v>1300</v>
      </c>
      <c r="C248" s="22">
        <v>21571891</v>
      </c>
      <c r="D248" s="14">
        <v>260.29259999999999</v>
      </c>
      <c r="E248" s="16">
        <f t="shared" si="3"/>
        <v>82875.544675492129</v>
      </c>
    </row>
    <row r="249" spans="1:5" x14ac:dyDescent="0.25">
      <c r="A249" s="15">
        <v>51152</v>
      </c>
      <c r="B249" s="13" t="s">
        <v>1301</v>
      </c>
      <c r="C249" s="22">
        <v>88310634</v>
      </c>
      <c r="D249" s="14">
        <v>1303.2671000000003</v>
      </c>
      <c r="E249" s="16">
        <f t="shared" si="3"/>
        <v>67760.963197797275</v>
      </c>
    </row>
    <row r="250" spans="1:5" x14ac:dyDescent="0.25">
      <c r="A250" s="15">
        <v>51153</v>
      </c>
      <c r="B250" s="13" t="s">
        <v>1302</v>
      </c>
      <c r="C250" s="22">
        <v>8846868</v>
      </c>
      <c r="D250" s="14">
        <v>172.42930000000001</v>
      </c>
      <c r="E250" s="16">
        <f t="shared" si="3"/>
        <v>51307.219828648609</v>
      </c>
    </row>
    <row r="251" spans="1:5" x14ac:dyDescent="0.25">
      <c r="A251" s="15">
        <v>51154</v>
      </c>
      <c r="B251" s="13" t="s">
        <v>1303</v>
      </c>
      <c r="C251" s="22">
        <v>34554793</v>
      </c>
      <c r="D251" s="14">
        <v>579.35160000000008</v>
      </c>
      <c r="E251" s="16">
        <f t="shared" si="3"/>
        <v>59643.907085093051</v>
      </c>
    </row>
    <row r="252" spans="1:5" x14ac:dyDescent="0.25">
      <c r="A252" s="15">
        <v>51155</v>
      </c>
      <c r="B252" s="13" t="s">
        <v>1304</v>
      </c>
      <c r="C252" s="22">
        <v>55830532</v>
      </c>
      <c r="D252" s="14">
        <v>929.94260000000008</v>
      </c>
      <c r="E252" s="16">
        <f t="shared" si="3"/>
        <v>60036.535588325554</v>
      </c>
    </row>
    <row r="253" spans="1:5" x14ac:dyDescent="0.25">
      <c r="A253" s="15">
        <v>51156</v>
      </c>
      <c r="B253" s="13" t="s">
        <v>1305</v>
      </c>
      <c r="C253" s="22">
        <v>16032362</v>
      </c>
      <c r="D253" s="14">
        <v>301.08099999999996</v>
      </c>
      <c r="E253" s="16">
        <f t="shared" si="3"/>
        <v>53249.33157522395</v>
      </c>
    </row>
    <row r="254" spans="1:5" x14ac:dyDescent="0.25">
      <c r="A254" s="15">
        <v>51159</v>
      </c>
      <c r="B254" s="13" t="s">
        <v>1306</v>
      </c>
      <c r="C254" s="22">
        <v>250287903</v>
      </c>
      <c r="D254" s="14">
        <v>3092.3513999999996</v>
      </c>
      <c r="E254" s="16">
        <f t="shared" si="3"/>
        <v>80937.730104023765</v>
      </c>
    </row>
    <row r="255" spans="1:5" x14ac:dyDescent="0.25">
      <c r="A255" s="15">
        <v>52096</v>
      </c>
      <c r="B255" s="13" t="s">
        <v>1307</v>
      </c>
      <c r="C255" s="22">
        <v>56959188</v>
      </c>
      <c r="D255" s="14">
        <v>488.21719999999999</v>
      </c>
      <c r="E255" s="16">
        <f t="shared" si="3"/>
        <v>116667.72084228086</v>
      </c>
    </row>
    <row r="256" spans="1:5" x14ac:dyDescent="0.25">
      <c r="A256" s="15">
        <v>53111</v>
      </c>
      <c r="B256" s="13" t="s">
        <v>1308</v>
      </c>
      <c r="C256" s="22">
        <v>32726371</v>
      </c>
      <c r="D256" s="14">
        <v>812.00340000000028</v>
      </c>
      <c r="E256" s="16">
        <f t="shared" si="3"/>
        <v>40303.243804151542</v>
      </c>
    </row>
    <row r="257" spans="1:5" x14ac:dyDescent="0.25">
      <c r="A257" s="15">
        <v>53112</v>
      </c>
      <c r="B257" s="13" t="s">
        <v>1309</v>
      </c>
      <c r="C257" s="22">
        <v>7985804</v>
      </c>
      <c r="D257" s="14">
        <v>105.31560000000002</v>
      </c>
      <c r="E257" s="16">
        <f t="shared" si="3"/>
        <v>75827.360808845027</v>
      </c>
    </row>
    <row r="258" spans="1:5" x14ac:dyDescent="0.25">
      <c r="A258" s="15">
        <v>53113</v>
      </c>
      <c r="B258" s="13" t="s">
        <v>1310</v>
      </c>
      <c r="C258" s="22">
        <v>285011940</v>
      </c>
      <c r="D258" s="14">
        <v>3989.5877999999998</v>
      </c>
      <c r="E258" s="16">
        <f t="shared" si="3"/>
        <v>71438.944143552886</v>
      </c>
    </row>
    <row r="259" spans="1:5" x14ac:dyDescent="0.25">
      <c r="A259" s="15">
        <v>53114</v>
      </c>
      <c r="B259" s="13" t="s">
        <v>1311</v>
      </c>
      <c r="C259" s="22">
        <v>26549086</v>
      </c>
      <c r="D259" s="14">
        <v>643.57610000000011</v>
      </c>
      <c r="E259" s="16">
        <f t="shared" ref="E259:E322" si="4">C259/D259</f>
        <v>41252.442407354771</v>
      </c>
    </row>
    <row r="260" spans="1:5" x14ac:dyDescent="0.25">
      <c r="A260" s="15">
        <v>54037</v>
      </c>
      <c r="B260" s="13" t="s">
        <v>1312</v>
      </c>
      <c r="C260" s="22">
        <v>46612454</v>
      </c>
      <c r="D260" s="14">
        <v>450.43910000000005</v>
      </c>
      <c r="E260" s="16">
        <f t="shared" si="4"/>
        <v>103482.25542587221</v>
      </c>
    </row>
    <row r="261" spans="1:5" x14ac:dyDescent="0.25">
      <c r="A261" s="15">
        <v>54039</v>
      </c>
      <c r="B261" s="13" t="s">
        <v>1313</v>
      </c>
      <c r="C261" s="22">
        <v>66970274</v>
      </c>
      <c r="D261" s="14">
        <v>957.09</v>
      </c>
      <c r="E261" s="16">
        <f t="shared" si="4"/>
        <v>69972.80715502199</v>
      </c>
    </row>
    <row r="262" spans="1:5" x14ac:dyDescent="0.25">
      <c r="A262" s="15">
        <v>54041</v>
      </c>
      <c r="B262" s="13" t="s">
        <v>1314</v>
      </c>
      <c r="C262" s="22">
        <v>129335122</v>
      </c>
      <c r="D262" s="14">
        <v>1988.3519999999999</v>
      </c>
      <c r="E262" s="16">
        <f t="shared" si="4"/>
        <v>65046.391182245403</v>
      </c>
    </row>
    <row r="263" spans="1:5" x14ac:dyDescent="0.25">
      <c r="A263" s="15">
        <v>54042</v>
      </c>
      <c r="B263" s="13" t="s">
        <v>1315</v>
      </c>
      <c r="C263" s="22">
        <v>28507674</v>
      </c>
      <c r="D263" s="14">
        <v>364.89070000000009</v>
      </c>
      <c r="E263" s="16">
        <f t="shared" si="4"/>
        <v>78126.611612737717</v>
      </c>
    </row>
    <row r="264" spans="1:5" x14ac:dyDescent="0.25">
      <c r="A264" s="15">
        <v>54043</v>
      </c>
      <c r="B264" s="13" t="s">
        <v>1316</v>
      </c>
      <c r="C264" s="22">
        <v>25307165</v>
      </c>
      <c r="D264" s="14">
        <v>372.87599999999998</v>
      </c>
      <c r="E264" s="16">
        <f t="shared" si="4"/>
        <v>67870.190090003118</v>
      </c>
    </row>
    <row r="265" spans="1:5" x14ac:dyDescent="0.25">
      <c r="A265" s="15">
        <v>54045</v>
      </c>
      <c r="B265" s="13" t="s">
        <v>1317</v>
      </c>
      <c r="C265" s="22">
        <v>56249502</v>
      </c>
      <c r="D265" s="14">
        <v>849.46920000000011</v>
      </c>
      <c r="E265" s="16">
        <f t="shared" si="4"/>
        <v>66217.23542183754</v>
      </c>
    </row>
    <row r="266" spans="1:5" x14ac:dyDescent="0.25">
      <c r="A266" s="15">
        <v>55104</v>
      </c>
      <c r="B266" s="13" t="s">
        <v>1318</v>
      </c>
      <c r="C266" s="22">
        <v>42432557</v>
      </c>
      <c r="D266" s="14">
        <v>522.93880000000001</v>
      </c>
      <c r="E266" s="16">
        <f t="shared" si="4"/>
        <v>81142.491243717232</v>
      </c>
    </row>
    <row r="267" spans="1:5" x14ac:dyDescent="0.25">
      <c r="A267" s="15">
        <v>55105</v>
      </c>
      <c r="B267" s="13" t="s">
        <v>1319</v>
      </c>
      <c r="C267" s="22">
        <v>35132839</v>
      </c>
      <c r="D267" s="14">
        <v>656.07640000000004</v>
      </c>
      <c r="E267" s="16">
        <f t="shared" si="4"/>
        <v>53549.920405611294</v>
      </c>
    </row>
    <row r="268" spans="1:5" x14ac:dyDescent="0.25">
      <c r="A268" s="15">
        <v>55106</v>
      </c>
      <c r="B268" s="13" t="s">
        <v>1320</v>
      </c>
      <c r="C268" s="22">
        <v>35948379</v>
      </c>
      <c r="D268" s="14">
        <v>683.77530000000002</v>
      </c>
      <c r="E268" s="16">
        <f t="shared" si="4"/>
        <v>52573.380465775816</v>
      </c>
    </row>
    <row r="269" spans="1:5" x14ac:dyDescent="0.25">
      <c r="A269" s="15">
        <v>55108</v>
      </c>
      <c r="B269" s="13" t="s">
        <v>1321</v>
      </c>
      <c r="C269" s="22">
        <v>102997926</v>
      </c>
      <c r="D269" s="14">
        <v>1436.5964000000001</v>
      </c>
      <c r="E269" s="16">
        <f t="shared" si="4"/>
        <v>71695.798485921303</v>
      </c>
    </row>
    <row r="270" spans="1:5" x14ac:dyDescent="0.25">
      <c r="A270" s="15">
        <v>55110</v>
      </c>
      <c r="B270" s="13" t="s">
        <v>1322</v>
      </c>
      <c r="C270" s="22">
        <v>105121227</v>
      </c>
      <c r="D270" s="14">
        <v>2037.8086000000001</v>
      </c>
      <c r="E270" s="16">
        <f t="shared" si="4"/>
        <v>51585.427110279146</v>
      </c>
    </row>
    <row r="271" spans="1:5" x14ac:dyDescent="0.25">
      <c r="A271" s="15">
        <v>55111</v>
      </c>
      <c r="B271" s="13" t="s">
        <v>1323</v>
      </c>
      <c r="C271" s="22">
        <v>23935544</v>
      </c>
      <c r="D271" s="14">
        <v>389.29360000000003</v>
      </c>
      <c r="E271" s="16">
        <f t="shared" si="4"/>
        <v>61484.555615607343</v>
      </c>
    </row>
    <row r="272" spans="1:5" x14ac:dyDescent="0.25">
      <c r="A272" s="15">
        <v>56015</v>
      </c>
      <c r="B272" s="13" t="s">
        <v>1324</v>
      </c>
      <c r="C272" s="22">
        <v>30986215</v>
      </c>
      <c r="D272" s="14">
        <v>504.67989999999992</v>
      </c>
      <c r="E272" s="16">
        <f t="shared" si="4"/>
        <v>61397.759252944299</v>
      </c>
    </row>
    <row r="273" spans="1:5" x14ac:dyDescent="0.25">
      <c r="A273" s="15">
        <v>56017</v>
      </c>
      <c r="B273" s="13" t="s">
        <v>1325</v>
      </c>
      <c r="C273" s="22">
        <v>64533807</v>
      </c>
      <c r="D273" s="14">
        <v>945.18960000000004</v>
      </c>
      <c r="E273" s="16">
        <f t="shared" si="4"/>
        <v>68276.044298413777</v>
      </c>
    </row>
    <row r="274" spans="1:5" x14ac:dyDescent="0.25">
      <c r="A274" s="15">
        <v>57001</v>
      </c>
      <c r="B274" s="13" t="s">
        <v>1326</v>
      </c>
      <c r="C274" s="22">
        <v>28349694</v>
      </c>
      <c r="D274" s="14">
        <v>373.87760000000003</v>
      </c>
      <c r="E274" s="16">
        <f t="shared" si="4"/>
        <v>75826.136682165496</v>
      </c>
    </row>
    <row r="275" spans="1:5" x14ac:dyDescent="0.25">
      <c r="A275" s="15">
        <v>57002</v>
      </c>
      <c r="B275" s="13" t="s">
        <v>1327</v>
      </c>
      <c r="C275" s="22">
        <v>43035868</v>
      </c>
      <c r="D275" s="14">
        <v>774.55370000000005</v>
      </c>
      <c r="E275" s="16">
        <f t="shared" si="4"/>
        <v>55562.148886513613</v>
      </c>
    </row>
    <row r="276" spans="1:5" x14ac:dyDescent="0.25">
      <c r="A276" s="15">
        <v>57003</v>
      </c>
      <c r="B276" s="13" t="s">
        <v>1328</v>
      </c>
      <c r="C276" s="22">
        <v>439186453</v>
      </c>
      <c r="D276" s="14">
        <v>5728.5729000000001</v>
      </c>
      <c r="E276" s="16">
        <f t="shared" si="4"/>
        <v>76665.94467183965</v>
      </c>
    </row>
    <row r="277" spans="1:5" x14ac:dyDescent="0.25">
      <c r="A277" s="15">
        <v>57004</v>
      </c>
      <c r="B277" s="13" t="s">
        <v>1329</v>
      </c>
      <c r="C277" s="22">
        <v>92465680</v>
      </c>
      <c r="D277" s="14">
        <v>1397.6617000000001</v>
      </c>
      <c r="E277" s="16">
        <f t="shared" si="4"/>
        <v>66157.411339238955</v>
      </c>
    </row>
    <row r="278" spans="1:5" x14ac:dyDescent="0.25">
      <c r="A278" s="15">
        <v>58106</v>
      </c>
      <c r="B278" s="13" t="s">
        <v>1330</v>
      </c>
      <c r="C278" s="22">
        <v>15432130</v>
      </c>
      <c r="D278" s="14">
        <v>237.79169999999999</v>
      </c>
      <c r="E278" s="16">
        <f t="shared" si="4"/>
        <v>64897.681458183783</v>
      </c>
    </row>
    <row r="279" spans="1:5" x14ac:dyDescent="0.25">
      <c r="A279" s="15">
        <v>58107</v>
      </c>
      <c r="B279" s="13" t="s">
        <v>1331</v>
      </c>
      <c r="C279" s="22">
        <v>9727105</v>
      </c>
      <c r="D279" s="14">
        <v>144.86090000000002</v>
      </c>
      <c r="E279" s="16">
        <f t="shared" si="4"/>
        <v>67147.898432220143</v>
      </c>
    </row>
    <row r="280" spans="1:5" x14ac:dyDescent="0.25">
      <c r="A280" s="15">
        <v>58108</v>
      </c>
      <c r="B280" s="13" t="s">
        <v>1332</v>
      </c>
      <c r="C280" s="22">
        <v>14046463</v>
      </c>
      <c r="D280" s="14">
        <v>221.6645</v>
      </c>
      <c r="E280" s="16">
        <f t="shared" si="4"/>
        <v>63368.12164329426</v>
      </c>
    </row>
    <row r="281" spans="1:5" x14ac:dyDescent="0.25">
      <c r="A281" s="15">
        <v>58109</v>
      </c>
      <c r="B281" s="13" t="s">
        <v>1333</v>
      </c>
      <c r="C281" s="22">
        <v>36741030</v>
      </c>
      <c r="D281" s="14">
        <v>635.6558</v>
      </c>
      <c r="E281" s="16">
        <f t="shared" si="4"/>
        <v>57800.196269742213</v>
      </c>
    </row>
    <row r="282" spans="1:5" x14ac:dyDescent="0.25">
      <c r="A282" s="15">
        <v>58112</v>
      </c>
      <c r="B282" s="13" t="s">
        <v>1334</v>
      </c>
      <c r="C282" s="22">
        <v>57462120</v>
      </c>
      <c r="D282" s="14">
        <v>989.35289999999998</v>
      </c>
      <c r="E282" s="16">
        <f t="shared" si="4"/>
        <v>58080.508987238027</v>
      </c>
    </row>
    <row r="283" spans="1:5" x14ac:dyDescent="0.25">
      <c r="A283" s="15">
        <v>59113</v>
      </c>
      <c r="B283" s="13" t="s">
        <v>1335</v>
      </c>
      <c r="C283" s="22">
        <v>10357002</v>
      </c>
      <c r="D283" s="14">
        <v>179.92300000000003</v>
      </c>
      <c r="E283" s="16">
        <f t="shared" si="4"/>
        <v>57563.5243965474</v>
      </c>
    </row>
    <row r="284" spans="1:5" x14ac:dyDescent="0.25">
      <c r="A284" s="15">
        <v>59114</v>
      </c>
      <c r="B284" s="13" t="s">
        <v>1336</v>
      </c>
      <c r="C284" s="22">
        <v>5947742</v>
      </c>
      <c r="D284" s="14">
        <v>84.9465</v>
      </c>
      <c r="E284" s="16">
        <f t="shared" si="4"/>
        <v>70017.505135585336</v>
      </c>
    </row>
    <row r="285" spans="1:5" x14ac:dyDescent="0.25">
      <c r="A285" s="15">
        <v>59117</v>
      </c>
      <c r="B285" s="13" t="s">
        <v>1337</v>
      </c>
      <c r="C285" s="22">
        <v>128996003</v>
      </c>
      <c r="D285" s="14">
        <v>1803.0101999999999</v>
      </c>
      <c r="E285" s="16">
        <f t="shared" si="4"/>
        <v>71544.799358317556</v>
      </c>
    </row>
    <row r="286" spans="1:5" x14ac:dyDescent="0.25">
      <c r="A286" s="15">
        <v>60077</v>
      </c>
      <c r="B286" s="13" t="s">
        <v>1338</v>
      </c>
      <c r="C286" s="22">
        <v>211464912</v>
      </c>
      <c r="D286" s="14">
        <v>3509.1725000000006</v>
      </c>
      <c r="E286" s="16">
        <f t="shared" si="4"/>
        <v>60260.620416921643</v>
      </c>
    </row>
    <row r="287" spans="1:5" x14ac:dyDescent="0.25">
      <c r="A287" s="15">
        <v>61150</v>
      </c>
      <c r="B287" s="13" t="s">
        <v>1339</v>
      </c>
      <c r="C287" s="22">
        <v>12966376</v>
      </c>
      <c r="D287" s="14">
        <v>193.50290000000001</v>
      </c>
      <c r="E287" s="16">
        <f t="shared" si="4"/>
        <v>67008.690825822239</v>
      </c>
    </row>
    <row r="288" spans="1:5" x14ac:dyDescent="0.25">
      <c r="A288" s="15">
        <v>61151</v>
      </c>
      <c r="B288" s="13" t="s">
        <v>1340</v>
      </c>
      <c r="C288" s="22">
        <v>11402977</v>
      </c>
      <c r="D288" s="14">
        <v>213.89969999999997</v>
      </c>
      <c r="E288" s="16">
        <f t="shared" si="4"/>
        <v>53309.925165860455</v>
      </c>
    </row>
    <row r="289" spans="1:5" x14ac:dyDescent="0.25">
      <c r="A289" s="15">
        <v>61154</v>
      </c>
      <c r="B289" s="13" t="s">
        <v>1341</v>
      </c>
      <c r="C289" s="22">
        <v>23323312</v>
      </c>
      <c r="D289" s="14">
        <v>309.51069999999999</v>
      </c>
      <c r="E289" s="16">
        <f t="shared" si="4"/>
        <v>75355.430361535167</v>
      </c>
    </row>
    <row r="290" spans="1:5" x14ac:dyDescent="0.25">
      <c r="A290" s="15">
        <v>61156</v>
      </c>
      <c r="B290" s="13" t="s">
        <v>1342</v>
      </c>
      <c r="C290" s="22">
        <v>93222233</v>
      </c>
      <c r="D290" s="14">
        <v>1296.5523999999998</v>
      </c>
      <c r="E290" s="16">
        <f t="shared" si="4"/>
        <v>71900.089036123813</v>
      </c>
    </row>
    <row r="291" spans="1:5" x14ac:dyDescent="0.25">
      <c r="A291" s="15">
        <v>61157</v>
      </c>
      <c r="B291" s="13" t="s">
        <v>1343</v>
      </c>
      <c r="C291" s="22">
        <v>5313417</v>
      </c>
      <c r="D291" s="14">
        <v>93.786000000000016</v>
      </c>
      <c r="E291" s="16">
        <f t="shared" si="4"/>
        <v>56654.69259804234</v>
      </c>
    </row>
    <row r="292" spans="1:5" x14ac:dyDescent="0.25">
      <c r="A292" s="15">
        <v>61158</v>
      </c>
      <c r="B292" s="13" t="s">
        <v>1344</v>
      </c>
      <c r="C292" s="22">
        <v>10500257</v>
      </c>
      <c r="D292" s="14">
        <v>107.6447</v>
      </c>
      <c r="E292" s="16">
        <f t="shared" si="4"/>
        <v>97545.508510869549</v>
      </c>
    </row>
    <row r="293" spans="1:5" x14ac:dyDescent="0.25">
      <c r="A293" s="15">
        <v>62070</v>
      </c>
      <c r="B293" s="13" t="s">
        <v>1345</v>
      </c>
      <c r="C293" s="22">
        <v>9937600</v>
      </c>
      <c r="D293" s="14">
        <v>163.39800000000002</v>
      </c>
      <c r="E293" s="16">
        <f t="shared" si="4"/>
        <v>60818.369869888236</v>
      </c>
    </row>
    <row r="294" spans="1:5" x14ac:dyDescent="0.25">
      <c r="A294" s="15">
        <v>62072</v>
      </c>
      <c r="B294" s="13" t="s">
        <v>1346</v>
      </c>
      <c r="C294" s="22">
        <v>89939447</v>
      </c>
      <c r="D294" s="14">
        <v>1735.3995000000002</v>
      </c>
      <c r="E294" s="16">
        <f t="shared" si="4"/>
        <v>51826.364476882693</v>
      </c>
    </row>
    <row r="295" spans="1:5" x14ac:dyDescent="0.25">
      <c r="A295" s="15">
        <v>63066</v>
      </c>
      <c r="B295" s="13" t="s">
        <v>1347</v>
      </c>
      <c r="C295" s="22">
        <v>44021770</v>
      </c>
      <c r="D295" s="14">
        <v>484.45599999999996</v>
      </c>
      <c r="E295" s="16">
        <f t="shared" si="4"/>
        <v>90868.458642270925</v>
      </c>
    </row>
    <row r="296" spans="1:5" x14ac:dyDescent="0.25">
      <c r="A296" s="15">
        <v>63067</v>
      </c>
      <c r="B296" s="13" t="s">
        <v>1348</v>
      </c>
      <c r="C296" s="22">
        <v>56044088</v>
      </c>
      <c r="D296" s="14">
        <v>787.66620000000012</v>
      </c>
      <c r="E296" s="16">
        <f t="shared" si="4"/>
        <v>71152.079396069035</v>
      </c>
    </row>
    <row r="297" spans="1:5" x14ac:dyDescent="0.25">
      <c r="A297" s="15">
        <v>64072</v>
      </c>
      <c r="B297" s="13" t="s">
        <v>1349</v>
      </c>
      <c r="C297" s="22">
        <v>12926584</v>
      </c>
      <c r="D297" s="14">
        <v>230.44490000000002</v>
      </c>
      <c r="E297" s="16">
        <f t="shared" si="4"/>
        <v>56094.033758178201</v>
      </c>
    </row>
    <row r="298" spans="1:5" x14ac:dyDescent="0.25">
      <c r="A298" s="15">
        <v>64074</v>
      </c>
      <c r="B298" s="13" t="s">
        <v>1350</v>
      </c>
      <c r="C298" s="22">
        <v>111654690</v>
      </c>
      <c r="D298" s="14">
        <v>1143.8117999999999</v>
      </c>
      <c r="E298" s="16">
        <f t="shared" si="4"/>
        <v>97616.312403841264</v>
      </c>
    </row>
    <row r="299" spans="1:5" x14ac:dyDescent="0.25">
      <c r="A299" s="15">
        <v>64075</v>
      </c>
      <c r="B299" s="13" t="s">
        <v>1351</v>
      </c>
      <c r="C299" s="22">
        <v>270396572</v>
      </c>
      <c r="D299" s="14">
        <v>3253.7275000000013</v>
      </c>
      <c r="E299" s="16">
        <f t="shared" si="4"/>
        <v>83103.631757730138</v>
      </c>
    </row>
    <row r="300" spans="1:5" x14ac:dyDescent="0.25">
      <c r="A300" s="15">
        <v>65096</v>
      </c>
      <c r="B300" s="13" t="s">
        <v>1352</v>
      </c>
      <c r="C300" s="22">
        <v>13209688</v>
      </c>
      <c r="D300" s="14">
        <v>171.52509999999998</v>
      </c>
      <c r="E300" s="16">
        <f t="shared" si="4"/>
        <v>77013.148512958171</v>
      </c>
    </row>
    <row r="301" spans="1:5" x14ac:dyDescent="0.25">
      <c r="A301" s="15">
        <v>65098</v>
      </c>
      <c r="B301" s="13" t="s">
        <v>1353</v>
      </c>
      <c r="C301" s="22">
        <v>35127818</v>
      </c>
      <c r="D301" s="14">
        <v>352.48060000000004</v>
      </c>
      <c r="E301" s="16">
        <f t="shared" si="4"/>
        <v>99658.869168969861</v>
      </c>
    </row>
    <row r="302" spans="1:5" x14ac:dyDescent="0.25">
      <c r="A302" s="15">
        <v>66102</v>
      </c>
      <c r="B302" s="13" t="s">
        <v>1354</v>
      </c>
      <c r="C302" s="22">
        <v>175473208</v>
      </c>
      <c r="D302" s="14">
        <v>1729.0002999999999</v>
      </c>
      <c r="E302" s="16">
        <f t="shared" si="4"/>
        <v>101488.24612696713</v>
      </c>
    </row>
    <row r="303" spans="1:5" x14ac:dyDescent="0.25">
      <c r="A303" s="15">
        <v>66103</v>
      </c>
      <c r="B303" s="13" t="s">
        <v>1355</v>
      </c>
      <c r="C303" s="22">
        <v>10293882</v>
      </c>
      <c r="D303" s="14">
        <v>205.87880000000004</v>
      </c>
      <c r="E303" s="16">
        <f t="shared" si="4"/>
        <v>49999.718280852605</v>
      </c>
    </row>
    <row r="304" spans="1:5" x14ac:dyDescent="0.25">
      <c r="A304" s="15">
        <v>66104</v>
      </c>
      <c r="B304" s="13" t="s">
        <v>1356</v>
      </c>
      <c r="C304" s="22">
        <v>14235349</v>
      </c>
      <c r="D304" s="14">
        <v>243.49250000000004</v>
      </c>
      <c r="E304" s="16">
        <f t="shared" si="4"/>
        <v>58463.192911485974</v>
      </c>
    </row>
    <row r="305" spans="1:5" x14ac:dyDescent="0.25">
      <c r="A305" s="15">
        <v>66105</v>
      </c>
      <c r="B305" s="13" t="s">
        <v>1357</v>
      </c>
      <c r="C305" s="22">
        <v>532755157</v>
      </c>
      <c r="D305" s="14">
        <v>1765.9289999999999</v>
      </c>
      <c r="E305" s="16">
        <f t="shared" si="4"/>
        <v>301685.49075302575</v>
      </c>
    </row>
    <row r="306" spans="1:5" x14ac:dyDescent="0.25">
      <c r="A306" s="15">
        <v>66107</v>
      </c>
      <c r="B306" s="13" t="s">
        <v>1358</v>
      </c>
      <c r="C306" s="22">
        <v>31366491</v>
      </c>
      <c r="D306" s="14">
        <v>705.84239999999988</v>
      </c>
      <c r="E306" s="16">
        <f t="shared" si="4"/>
        <v>44438.377462164368</v>
      </c>
    </row>
    <row r="307" spans="1:5" x14ac:dyDescent="0.25">
      <c r="A307" s="15">
        <v>67055</v>
      </c>
      <c r="B307" s="13" t="s">
        <v>1359</v>
      </c>
      <c r="C307" s="22">
        <v>56251763</v>
      </c>
      <c r="D307" s="14">
        <v>989.16070000000002</v>
      </c>
      <c r="E307" s="16">
        <f t="shared" si="4"/>
        <v>56868.174200612702</v>
      </c>
    </row>
    <row r="308" spans="1:5" x14ac:dyDescent="0.25">
      <c r="A308" s="15">
        <v>67061</v>
      </c>
      <c r="B308" s="13" t="s">
        <v>1360</v>
      </c>
      <c r="C308" s="22">
        <v>71610641</v>
      </c>
      <c r="D308" s="14">
        <v>930.97840000000008</v>
      </c>
      <c r="E308" s="16">
        <f t="shared" si="4"/>
        <v>76919.766344740114</v>
      </c>
    </row>
    <row r="309" spans="1:5" x14ac:dyDescent="0.25">
      <c r="A309" s="15">
        <v>68070</v>
      </c>
      <c r="B309" s="13" t="s">
        <v>1361</v>
      </c>
      <c r="C309" s="22">
        <v>80593594</v>
      </c>
      <c r="D309" s="14">
        <v>1180.0038</v>
      </c>
      <c r="E309" s="16">
        <f t="shared" si="4"/>
        <v>68299.435984867174</v>
      </c>
    </row>
    <row r="310" spans="1:5" x14ac:dyDescent="0.25">
      <c r="A310" s="15">
        <v>68071</v>
      </c>
      <c r="B310" s="13" t="s">
        <v>1362</v>
      </c>
      <c r="C310" s="22">
        <v>8986660</v>
      </c>
      <c r="D310" s="14">
        <v>117.04730000000001</v>
      </c>
      <c r="E310" s="16">
        <f t="shared" si="4"/>
        <v>76778.020509657203</v>
      </c>
    </row>
    <row r="311" spans="1:5" x14ac:dyDescent="0.25">
      <c r="A311" s="15">
        <v>68072</v>
      </c>
      <c r="B311" s="13" t="s">
        <v>1363</v>
      </c>
      <c r="C311" s="22">
        <v>8060080</v>
      </c>
      <c r="D311" s="14">
        <v>67.007100000000008</v>
      </c>
      <c r="E311" s="16">
        <f t="shared" si="4"/>
        <v>120286.95466599807</v>
      </c>
    </row>
    <row r="312" spans="1:5" x14ac:dyDescent="0.25">
      <c r="A312" s="15">
        <v>68073</v>
      </c>
      <c r="B312" s="13" t="s">
        <v>1364</v>
      </c>
      <c r="C312" s="22">
        <v>42340125</v>
      </c>
      <c r="D312" s="14">
        <v>542.38760000000002</v>
      </c>
      <c r="E312" s="16">
        <f t="shared" si="4"/>
        <v>78062.487048007737</v>
      </c>
    </row>
    <row r="313" spans="1:5" x14ac:dyDescent="0.25">
      <c r="A313" s="15">
        <v>68074</v>
      </c>
      <c r="B313" s="13" t="s">
        <v>1365</v>
      </c>
      <c r="C313" s="22">
        <v>14566512</v>
      </c>
      <c r="D313" s="14">
        <v>202.49670000000003</v>
      </c>
      <c r="E313" s="16">
        <f t="shared" si="4"/>
        <v>71934.564859575476</v>
      </c>
    </row>
    <row r="314" spans="1:5" x14ac:dyDescent="0.25">
      <c r="A314" s="15">
        <v>68075</v>
      </c>
      <c r="B314" s="13" t="s">
        <v>1366</v>
      </c>
      <c r="C314" s="22">
        <v>6207228</v>
      </c>
      <c r="D314" s="14">
        <v>130.29300000000001</v>
      </c>
      <c r="E314" s="16">
        <f t="shared" si="4"/>
        <v>47640.533259653239</v>
      </c>
    </row>
    <row r="315" spans="1:5" x14ac:dyDescent="0.25">
      <c r="A315" s="15">
        <v>69104</v>
      </c>
      <c r="B315" s="13" t="s">
        <v>1367</v>
      </c>
      <c r="C315" s="22">
        <v>3600984</v>
      </c>
      <c r="D315" s="14">
        <v>41.131599999999999</v>
      </c>
      <c r="E315" s="16">
        <f t="shared" si="4"/>
        <v>87547.870736854398</v>
      </c>
    </row>
    <row r="316" spans="1:5" x14ac:dyDescent="0.25">
      <c r="A316" s="15">
        <v>69106</v>
      </c>
      <c r="B316" s="13" t="s">
        <v>1368</v>
      </c>
      <c r="C316" s="22">
        <v>68656545</v>
      </c>
      <c r="D316" s="14">
        <v>629.43799999999999</v>
      </c>
      <c r="E316" s="16">
        <f t="shared" si="4"/>
        <v>109075.94552600892</v>
      </c>
    </row>
    <row r="317" spans="1:5" x14ac:dyDescent="0.25">
      <c r="A317" s="15">
        <v>69107</v>
      </c>
      <c r="B317" s="13" t="s">
        <v>1369</v>
      </c>
      <c r="C317" s="22">
        <v>6420093</v>
      </c>
      <c r="D317" s="14">
        <v>70.284199999999998</v>
      </c>
      <c r="E317" s="16">
        <f t="shared" si="4"/>
        <v>91344.754582110923</v>
      </c>
    </row>
    <row r="318" spans="1:5" x14ac:dyDescent="0.25">
      <c r="A318" s="15">
        <v>69108</v>
      </c>
      <c r="B318" s="13" t="s">
        <v>1370</v>
      </c>
      <c r="C318" s="22">
        <v>11952249</v>
      </c>
      <c r="D318" s="14">
        <v>217.80900000000003</v>
      </c>
      <c r="E318" s="16">
        <f t="shared" si="4"/>
        <v>54874.908750327115</v>
      </c>
    </row>
    <row r="319" spans="1:5" x14ac:dyDescent="0.25">
      <c r="A319" s="15">
        <v>69109</v>
      </c>
      <c r="B319" s="13" t="s">
        <v>1371</v>
      </c>
      <c r="C319" s="22">
        <v>37159672</v>
      </c>
      <c r="D319" s="14">
        <v>391.51</v>
      </c>
      <c r="E319" s="16">
        <f t="shared" si="4"/>
        <v>94913.723787387295</v>
      </c>
    </row>
    <row r="320" spans="1:5" x14ac:dyDescent="0.25">
      <c r="A320" s="15">
        <v>70092</v>
      </c>
      <c r="B320" s="13" t="s">
        <v>1372</v>
      </c>
      <c r="C320" s="22">
        <v>41323078</v>
      </c>
      <c r="D320" s="14">
        <v>402.86970000000008</v>
      </c>
      <c r="E320" s="16">
        <f t="shared" si="4"/>
        <v>102571.81912663075</v>
      </c>
    </row>
    <row r="321" spans="1:5" x14ac:dyDescent="0.25">
      <c r="A321" s="15">
        <v>70093</v>
      </c>
      <c r="B321" s="13" t="s">
        <v>1373</v>
      </c>
      <c r="C321" s="22">
        <v>119967410</v>
      </c>
      <c r="D321" s="14">
        <v>1198.7356000000002</v>
      </c>
      <c r="E321" s="16">
        <f t="shared" si="4"/>
        <v>100078.29082576673</v>
      </c>
    </row>
    <row r="322" spans="1:5" x14ac:dyDescent="0.25">
      <c r="A322" s="15">
        <v>71091</v>
      </c>
      <c r="B322" s="13" t="s">
        <v>1374</v>
      </c>
      <c r="C322" s="22">
        <v>79401078</v>
      </c>
      <c r="D322" s="14">
        <v>584.27620000000013</v>
      </c>
      <c r="E322" s="16">
        <f t="shared" si="4"/>
        <v>135896.47841209342</v>
      </c>
    </row>
    <row r="323" spans="1:5" x14ac:dyDescent="0.25">
      <c r="A323" s="15">
        <v>71092</v>
      </c>
      <c r="B323" s="13" t="s">
        <v>1375</v>
      </c>
      <c r="C323" s="22">
        <v>244193783</v>
      </c>
      <c r="D323" s="14">
        <v>1261.6651999999999</v>
      </c>
      <c r="E323" s="16">
        <f t="shared" ref="E323:E386" si="5">C323/D323</f>
        <v>193548.79804880091</v>
      </c>
    </row>
    <row r="324" spans="1:5" x14ac:dyDescent="0.25">
      <c r="A324" s="15">
        <v>72066</v>
      </c>
      <c r="B324" s="13" t="s">
        <v>1376</v>
      </c>
      <c r="C324" s="22">
        <v>9438072</v>
      </c>
      <c r="D324" s="14">
        <v>140.47299999999998</v>
      </c>
      <c r="E324" s="16">
        <f t="shared" si="5"/>
        <v>67187.801214468273</v>
      </c>
    </row>
    <row r="325" spans="1:5" x14ac:dyDescent="0.25">
      <c r="A325" s="15">
        <v>72068</v>
      </c>
      <c r="B325" s="13" t="s">
        <v>1377</v>
      </c>
      <c r="C325" s="22">
        <v>45786336</v>
      </c>
      <c r="D325" s="14">
        <v>701.822</v>
      </c>
      <c r="E325" s="16">
        <f t="shared" si="5"/>
        <v>65239.24299893705</v>
      </c>
    </row>
    <row r="326" spans="1:5" x14ac:dyDescent="0.25">
      <c r="A326" s="15">
        <v>72073</v>
      </c>
      <c r="B326" s="13" t="s">
        <v>1378</v>
      </c>
      <c r="C326" s="22">
        <v>13211399</v>
      </c>
      <c r="D326" s="14">
        <v>305.87889999999999</v>
      </c>
      <c r="E326" s="16">
        <f t="shared" si="5"/>
        <v>43191.599682096414</v>
      </c>
    </row>
    <row r="327" spans="1:5" x14ac:dyDescent="0.25">
      <c r="A327" s="15">
        <v>72074</v>
      </c>
      <c r="B327" s="13" t="s">
        <v>1379</v>
      </c>
      <c r="C327" s="22">
        <v>276045114</v>
      </c>
      <c r="D327" s="14">
        <v>1378.2709</v>
      </c>
      <c r="E327" s="16">
        <f t="shared" si="5"/>
        <v>200283.64090107396</v>
      </c>
    </row>
    <row r="328" spans="1:5" x14ac:dyDescent="0.25">
      <c r="A328" s="15">
        <v>73099</v>
      </c>
      <c r="B328" s="13" t="s">
        <v>1380</v>
      </c>
      <c r="C328" s="22">
        <v>62949705</v>
      </c>
      <c r="D328" s="14">
        <v>1497.4618000000003</v>
      </c>
      <c r="E328" s="16">
        <f t="shared" si="5"/>
        <v>42037.603229678374</v>
      </c>
    </row>
    <row r="329" spans="1:5" x14ac:dyDescent="0.25">
      <c r="A329" s="15">
        <v>73102</v>
      </c>
      <c r="B329" s="13" t="s">
        <v>1381</v>
      </c>
      <c r="C329" s="22">
        <v>56419928</v>
      </c>
      <c r="D329" s="14">
        <v>881.39459999999997</v>
      </c>
      <c r="E329" s="16">
        <f t="shared" si="5"/>
        <v>64012.109899470684</v>
      </c>
    </row>
    <row r="330" spans="1:5" x14ac:dyDescent="0.25">
      <c r="A330" s="15">
        <v>73105</v>
      </c>
      <c r="B330" s="13" t="s">
        <v>1382</v>
      </c>
      <c r="C330" s="22">
        <v>7489333</v>
      </c>
      <c r="D330" s="14">
        <v>183.19380000000001</v>
      </c>
      <c r="E330" s="16">
        <f t="shared" si="5"/>
        <v>40882.022208175164</v>
      </c>
    </row>
    <row r="331" spans="1:5" x14ac:dyDescent="0.25">
      <c r="A331" s="15">
        <v>73106</v>
      </c>
      <c r="B331" s="13" t="s">
        <v>1383</v>
      </c>
      <c r="C331" s="22">
        <v>80774736</v>
      </c>
      <c r="D331" s="14">
        <v>1527.0855000000001</v>
      </c>
      <c r="E331" s="16">
        <f t="shared" si="5"/>
        <v>52894.704324021142</v>
      </c>
    </row>
    <row r="332" spans="1:5" x14ac:dyDescent="0.25">
      <c r="A332" s="15">
        <v>73108</v>
      </c>
      <c r="B332" s="13" t="s">
        <v>1384</v>
      </c>
      <c r="C332" s="22">
        <v>254942521</v>
      </c>
      <c r="D332" s="14">
        <v>4104.7409999999991</v>
      </c>
      <c r="E332" s="16">
        <f t="shared" si="5"/>
        <v>62109.283143564979</v>
      </c>
    </row>
    <row r="333" spans="1:5" x14ac:dyDescent="0.25">
      <c r="A333" s="15">
        <v>74187</v>
      </c>
      <c r="B333" s="13" t="s">
        <v>1385</v>
      </c>
      <c r="C333" s="22">
        <v>22166785</v>
      </c>
      <c r="D333" s="14">
        <v>213.33540000000002</v>
      </c>
      <c r="E333" s="16">
        <f t="shared" si="5"/>
        <v>103905.79810008089</v>
      </c>
    </row>
    <row r="334" spans="1:5" x14ac:dyDescent="0.25">
      <c r="A334" s="15">
        <v>74190</v>
      </c>
      <c r="B334" s="13" t="s">
        <v>1386</v>
      </c>
      <c r="C334" s="22">
        <v>21432210</v>
      </c>
      <c r="D334" s="14">
        <v>226.50549999999998</v>
      </c>
      <c r="E334" s="16">
        <f t="shared" si="5"/>
        <v>94621.146064885848</v>
      </c>
    </row>
    <row r="335" spans="1:5" x14ac:dyDescent="0.25">
      <c r="A335" s="15">
        <v>74194</v>
      </c>
      <c r="B335" s="13" t="s">
        <v>1387</v>
      </c>
      <c r="C335" s="22">
        <v>13264767</v>
      </c>
      <c r="D335" s="14">
        <v>207.75900000000001</v>
      </c>
      <c r="E335" s="16">
        <f t="shared" si="5"/>
        <v>63846.894719362332</v>
      </c>
    </row>
    <row r="336" spans="1:5" x14ac:dyDescent="0.25">
      <c r="A336" s="15">
        <v>74195</v>
      </c>
      <c r="B336" s="13" t="s">
        <v>1388</v>
      </c>
      <c r="C336" s="22">
        <v>12753589</v>
      </c>
      <c r="D336" s="14">
        <v>140.81070000000003</v>
      </c>
      <c r="E336" s="16">
        <f t="shared" si="5"/>
        <v>90572.584327753488</v>
      </c>
    </row>
    <row r="337" spans="1:5" x14ac:dyDescent="0.25">
      <c r="A337" s="15">
        <v>74197</v>
      </c>
      <c r="B337" s="13" t="s">
        <v>1389</v>
      </c>
      <c r="C337" s="22">
        <v>14299059</v>
      </c>
      <c r="D337" s="14">
        <v>213.83010000000002</v>
      </c>
      <c r="E337" s="16">
        <f t="shared" si="5"/>
        <v>66871.123382535938</v>
      </c>
    </row>
    <row r="338" spans="1:5" x14ac:dyDescent="0.25">
      <c r="A338" s="15">
        <v>74201</v>
      </c>
      <c r="B338" s="13" t="s">
        <v>1390</v>
      </c>
      <c r="C338" s="22">
        <v>194319589</v>
      </c>
      <c r="D338" s="14">
        <v>1330.4476999999999</v>
      </c>
      <c r="E338" s="16">
        <f t="shared" si="5"/>
        <v>146055.78934068585</v>
      </c>
    </row>
    <row r="339" spans="1:5" x14ac:dyDescent="0.25">
      <c r="A339" s="15">
        <v>74202</v>
      </c>
      <c r="B339" s="13" t="s">
        <v>1391</v>
      </c>
      <c r="C339" s="22">
        <v>12891082</v>
      </c>
      <c r="D339" s="14">
        <v>172.76599999999999</v>
      </c>
      <c r="E339" s="16">
        <f t="shared" si="5"/>
        <v>74615.850340923571</v>
      </c>
    </row>
    <row r="340" spans="1:5" x14ac:dyDescent="0.25">
      <c r="A340" s="15">
        <v>75084</v>
      </c>
      <c r="B340" s="13" t="s">
        <v>1392</v>
      </c>
      <c r="C340" s="22">
        <v>9514118</v>
      </c>
      <c r="D340" s="14">
        <v>156.3219</v>
      </c>
      <c r="E340" s="16">
        <f t="shared" si="5"/>
        <v>60862.348781584667</v>
      </c>
    </row>
    <row r="341" spans="1:5" x14ac:dyDescent="0.25">
      <c r="A341" s="15">
        <v>75085</v>
      </c>
      <c r="B341" s="13" t="s">
        <v>1393</v>
      </c>
      <c r="C341" s="22">
        <v>27035619</v>
      </c>
      <c r="D341" s="14">
        <v>654.01609999999982</v>
      </c>
      <c r="E341" s="16">
        <f t="shared" si="5"/>
        <v>41337.849328174045</v>
      </c>
    </row>
    <row r="342" spans="1:5" x14ac:dyDescent="0.25">
      <c r="A342" s="15">
        <v>75086</v>
      </c>
      <c r="B342" s="13" t="s">
        <v>1394</v>
      </c>
      <c r="C342" s="22">
        <v>11507316</v>
      </c>
      <c r="D342" s="14">
        <v>195.63570000000004</v>
      </c>
      <c r="E342" s="16">
        <f t="shared" si="5"/>
        <v>58820.123321050283</v>
      </c>
    </row>
    <row r="343" spans="1:5" x14ac:dyDescent="0.25">
      <c r="A343" s="15">
        <v>75087</v>
      </c>
      <c r="B343" s="13" t="s">
        <v>1395</v>
      </c>
      <c r="C343" s="22">
        <v>30407511</v>
      </c>
      <c r="D343" s="14">
        <v>683.0347999999999</v>
      </c>
      <c r="E343" s="16">
        <f t="shared" si="5"/>
        <v>44518.245629651676</v>
      </c>
    </row>
    <row r="344" spans="1:5" x14ac:dyDescent="0.25">
      <c r="A344" s="15">
        <v>76081</v>
      </c>
      <c r="B344" s="13" t="s">
        <v>1396</v>
      </c>
      <c r="C344" s="22">
        <v>14713028</v>
      </c>
      <c r="D344" s="14">
        <v>200.42160000000001</v>
      </c>
      <c r="E344" s="16">
        <f t="shared" si="5"/>
        <v>73410.390895991251</v>
      </c>
    </row>
    <row r="345" spans="1:5" x14ac:dyDescent="0.25">
      <c r="A345" s="15">
        <v>76082</v>
      </c>
      <c r="B345" s="13" t="s">
        <v>1397</v>
      </c>
      <c r="C345" s="22">
        <v>55883892</v>
      </c>
      <c r="D345" s="14">
        <v>600.0381000000001</v>
      </c>
      <c r="E345" s="16">
        <f t="shared" si="5"/>
        <v>93133.905996969173</v>
      </c>
    </row>
    <row r="346" spans="1:5" x14ac:dyDescent="0.25">
      <c r="A346" s="15">
        <v>76083</v>
      </c>
      <c r="B346" s="13" t="s">
        <v>1398</v>
      </c>
      <c r="C346" s="22">
        <v>77610771</v>
      </c>
      <c r="D346" s="14">
        <v>699.03790000000004</v>
      </c>
      <c r="E346" s="16">
        <f t="shared" si="5"/>
        <v>111025.12610546581</v>
      </c>
    </row>
    <row r="347" spans="1:5" x14ac:dyDescent="0.25">
      <c r="A347" s="15">
        <v>77100</v>
      </c>
      <c r="B347" s="13" t="s">
        <v>1399</v>
      </c>
      <c r="C347" s="22">
        <v>6033139</v>
      </c>
      <c r="D347" s="14">
        <v>96.962100000000007</v>
      </c>
      <c r="E347" s="16">
        <f t="shared" si="5"/>
        <v>62221.620612589861</v>
      </c>
    </row>
    <row r="348" spans="1:5" x14ac:dyDescent="0.25">
      <c r="A348" s="15">
        <v>77101</v>
      </c>
      <c r="B348" s="13" t="s">
        <v>1400</v>
      </c>
      <c r="C348" s="22">
        <v>12480137</v>
      </c>
      <c r="D348" s="14">
        <v>329.42500000000001</v>
      </c>
      <c r="E348" s="16">
        <f t="shared" si="5"/>
        <v>37884.608029141687</v>
      </c>
    </row>
    <row r="349" spans="1:5" x14ac:dyDescent="0.25">
      <c r="A349" s="15">
        <v>77102</v>
      </c>
      <c r="B349" s="13" t="s">
        <v>1401</v>
      </c>
      <c r="C349" s="22">
        <v>45539492</v>
      </c>
      <c r="D349" s="14">
        <v>590.13639999999998</v>
      </c>
      <c r="E349" s="16">
        <f t="shared" si="5"/>
        <v>77167.739525980782</v>
      </c>
    </row>
    <row r="350" spans="1:5" x14ac:dyDescent="0.25">
      <c r="A350" s="15">
        <v>77103</v>
      </c>
      <c r="B350" s="13" t="s">
        <v>1402</v>
      </c>
      <c r="C350" s="22">
        <v>14614695</v>
      </c>
      <c r="D350" s="14">
        <v>280.21629999999999</v>
      </c>
      <c r="E350" s="16">
        <f t="shared" si="5"/>
        <v>52155.049509967837</v>
      </c>
    </row>
    <row r="351" spans="1:5" x14ac:dyDescent="0.25">
      <c r="A351" s="15">
        <v>77104</v>
      </c>
      <c r="B351" s="13" t="s">
        <v>1403</v>
      </c>
      <c r="C351" s="22">
        <v>21411468</v>
      </c>
      <c r="D351" s="14">
        <v>173.41659999999999</v>
      </c>
      <c r="E351" s="16">
        <f t="shared" si="5"/>
        <v>123468.38768606928</v>
      </c>
    </row>
    <row r="352" spans="1:5" x14ac:dyDescent="0.25">
      <c r="A352" s="15">
        <v>78001</v>
      </c>
      <c r="B352" s="13" t="s">
        <v>1404</v>
      </c>
      <c r="C352" s="22">
        <v>17578703</v>
      </c>
      <c r="D352" s="14">
        <v>256.31200000000001</v>
      </c>
      <c r="E352" s="16">
        <f t="shared" si="5"/>
        <v>68583.222790973494</v>
      </c>
    </row>
    <row r="353" spans="1:5" x14ac:dyDescent="0.25">
      <c r="A353" s="15">
        <v>78002</v>
      </c>
      <c r="B353" s="13" t="s">
        <v>1405</v>
      </c>
      <c r="C353" s="22">
        <v>27409262</v>
      </c>
      <c r="D353" s="14">
        <v>805.73230000000001</v>
      </c>
      <c r="E353" s="16">
        <f t="shared" si="5"/>
        <v>34017.827012768386</v>
      </c>
    </row>
    <row r="354" spans="1:5" x14ac:dyDescent="0.25">
      <c r="A354" s="15">
        <v>78003</v>
      </c>
      <c r="B354" s="13" t="s">
        <v>1406</v>
      </c>
      <c r="C354" s="22">
        <v>10336930</v>
      </c>
      <c r="D354" s="14">
        <v>147.02250000000001</v>
      </c>
      <c r="E354" s="16">
        <f t="shared" si="5"/>
        <v>70308.490197078674</v>
      </c>
    </row>
    <row r="355" spans="1:5" x14ac:dyDescent="0.25">
      <c r="A355" s="15">
        <v>78004</v>
      </c>
      <c r="B355" s="13" t="s">
        <v>1407</v>
      </c>
      <c r="C355" s="22">
        <v>7061447</v>
      </c>
      <c r="D355" s="14">
        <v>228.11410000000004</v>
      </c>
      <c r="E355" s="16">
        <f t="shared" si="5"/>
        <v>30955.767311183303</v>
      </c>
    </row>
    <row r="356" spans="1:5" x14ac:dyDescent="0.25">
      <c r="A356" s="15">
        <v>78005</v>
      </c>
      <c r="B356" s="13" t="s">
        <v>1408</v>
      </c>
      <c r="C356" s="22">
        <v>28037712</v>
      </c>
      <c r="D356" s="14">
        <v>648.92869999999994</v>
      </c>
      <c r="E356" s="16">
        <f t="shared" si="5"/>
        <v>43206.151923932477</v>
      </c>
    </row>
    <row r="357" spans="1:5" x14ac:dyDescent="0.25">
      <c r="A357" s="15">
        <v>78009</v>
      </c>
      <c r="B357" s="13" t="s">
        <v>1409</v>
      </c>
      <c r="C357" s="22">
        <v>10726556</v>
      </c>
      <c r="D357" s="14">
        <v>202.71670000000003</v>
      </c>
      <c r="E357" s="16">
        <f t="shared" si="5"/>
        <v>52914.022377041452</v>
      </c>
    </row>
    <row r="358" spans="1:5" x14ac:dyDescent="0.25">
      <c r="A358" s="15">
        <v>78012</v>
      </c>
      <c r="B358" s="13" t="s">
        <v>1410</v>
      </c>
      <c r="C358" s="22">
        <v>46077865</v>
      </c>
      <c r="D358" s="14">
        <v>1148.4116999999999</v>
      </c>
      <c r="E358" s="16">
        <f t="shared" si="5"/>
        <v>40123.123963296443</v>
      </c>
    </row>
    <row r="359" spans="1:5" x14ac:dyDescent="0.25">
      <c r="A359" s="15">
        <v>79077</v>
      </c>
      <c r="B359" s="13" t="s">
        <v>1411</v>
      </c>
      <c r="C359" s="22">
        <v>264005667</v>
      </c>
      <c r="D359" s="14">
        <v>2153.9439000000002</v>
      </c>
      <c r="E359" s="16">
        <f t="shared" si="5"/>
        <v>122568.49725751909</v>
      </c>
    </row>
    <row r="360" spans="1:5" x14ac:dyDescent="0.25">
      <c r="A360" s="15">
        <v>79078</v>
      </c>
      <c r="B360" s="13" t="s">
        <v>1412</v>
      </c>
      <c r="C360" s="22">
        <v>16200920</v>
      </c>
      <c r="D360" s="14">
        <v>126.2217</v>
      </c>
      <c r="E360" s="16">
        <f t="shared" si="5"/>
        <v>128352.89019241541</v>
      </c>
    </row>
    <row r="361" spans="1:5" x14ac:dyDescent="0.25">
      <c r="A361" s="15">
        <v>80116</v>
      </c>
      <c r="B361" s="13" t="s">
        <v>1413</v>
      </c>
      <c r="C361" s="22">
        <v>22717818</v>
      </c>
      <c r="D361" s="14">
        <v>309.74560000000002</v>
      </c>
      <c r="E361" s="16">
        <f t="shared" si="5"/>
        <v>73343.472837063702</v>
      </c>
    </row>
    <row r="362" spans="1:5" x14ac:dyDescent="0.25">
      <c r="A362" s="15">
        <v>80118</v>
      </c>
      <c r="B362" s="13" t="s">
        <v>1414</v>
      </c>
      <c r="C362" s="22">
        <v>17378609</v>
      </c>
      <c r="D362" s="14">
        <v>320.39330000000001</v>
      </c>
      <c r="E362" s="16">
        <f t="shared" si="5"/>
        <v>54241.486947448648</v>
      </c>
    </row>
    <row r="363" spans="1:5" x14ac:dyDescent="0.25">
      <c r="A363" s="15">
        <v>80119</v>
      </c>
      <c r="B363" s="13" t="s">
        <v>1415</v>
      </c>
      <c r="C363" s="22">
        <v>35380510</v>
      </c>
      <c r="D363" s="14">
        <v>560.29470000000015</v>
      </c>
      <c r="E363" s="16">
        <f t="shared" si="5"/>
        <v>63146.251428043121</v>
      </c>
    </row>
    <row r="364" spans="1:5" x14ac:dyDescent="0.25">
      <c r="A364" s="15">
        <v>80121</v>
      </c>
      <c r="B364" s="13" t="s">
        <v>1416</v>
      </c>
      <c r="C364" s="22">
        <v>21957027</v>
      </c>
      <c r="D364" s="14">
        <v>387.94450000000006</v>
      </c>
      <c r="E364" s="16">
        <f t="shared" si="5"/>
        <v>56598.37167429876</v>
      </c>
    </row>
    <row r="365" spans="1:5" x14ac:dyDescent="0.25">
      <c r="A365" s="15">
        <v>80122</v>
      </c>
      <c r="B365" s="13" t="s">
        <v>1417</v>
      </c>
      <c r="C365" s="22">
        <v>58503711</v>
      </c>
      <c r="D365" s="14">
        <v>160.27860000000001</v>
      </c>
      <c r="E365" s="16">
        <f t="shared" si="5"/>
        <v>365012.61553320277</v>
      </c>
    </row>
    <row r="366" spans="1:5" x14ac:dyDescent="0.25">
      <c r="A366" s="15">
        <v>80125</v>
      </c>
      <c r="B366" s="13" t="s">
        <v>1418</v>
      </c>
      <c r="C366" s="22">
        <v>330720176</v>
      </c>
      <c r="D366" s="14">
        <v>4234.8609000000006</v>
      </c>
      <c r="E366" s="16">
        <f t="shared" si="5"/>
        <v>78094.696333473417</v>
      </c>
    </row>
    <row r="367" spans="1:5" x14ac:dyDescent="0.25">
      <c r="A367" s="15">
        <v>81094</v>
      </c>
      <c r="B367" s="13" t="s">
        <v>1419</v>
      </c>
      <c r="C367" s="22">
        <v>108563053</v>
      </c>
      <c r="D367" s="14">
        <v>1668.4758000000002</v>
      </c>
      <c r="E367" s="16">
        <f t="shared" si="5"/>
        <v>65067.202652864362</v>
      </c>
    </row>
    <row r="368" spans="1:5" x14ac:dyDescent="0.25">
      <c r="A368" s="15">
        <v>81095</v>
      </c>
      <c r="B368" s="13" t="s">
        <v>1420</v>
      </c>
      <c r="C368" s="22">
        <v>25454683</v>
      </c>
      <c r="D368" s="14">
        <v>420.39150000000001</v>
      </c>
      <c r="E368" s="16">
        <f t="shared" si="5"/>
        <v>60549.946894739784</v>
      </c>
    </row>
    <row r="369" spans="1:5" x14ac:dyDescent="0.25">
      <c r="A369" s="15">
        <v>81096</v>
      </c>
      <c r="B369" s="13" t="s">
        <v>1421</v>
      </c>
      <c r="C369" s="22">
        <v>377275475</v>
      </c>
      <c r="D369" s="14">
        <v>3705.9388999999996</v>
      </c>
      <c r="E369" s="16">
        <f t="shared" si="5"/>
        <v>101802.93987037941</v>
      </c>
    </row>
    <row r="370" spans="1:5" x14ac:dyDescent="0.25">
      <c r="A370" s="15">
        <v>81097</v>
      </c>
      <c r="B370" s="13" t="s">
        <v>1422</v>
      </c>
      <c r="C370" s="22">
        <v>17471039</v>
      </c>
      <c r="D370" s="14">
        <v>251.77119999999999</v>
      </c>
      <c r="E370" s="16">
        <f t="shared" si="5"/>
        <v>69392.523847048433</v>
      </c>
    </row>
    <row r="371" spans="1:5" x14ac:dyDescent="0.25">
      <c r="A371" s="15">
        <v>82100</v>
      </c>
      <c r="B371" s="13" t="s">
        <v>1423</v>
      </c>
      <c r="C371" s="22">
        <v>93864892</v>
      </c>
      <c r="D371" s="14">
        <v>1252.3022000000001</v>
      </c>
      <c r="E371" s="16">
        <f t="shared" si="5"/>
        <v>74953.86656671208</v>
      </c>
    </row>
    <row r="372" spans="1:5" x14ac:dyDescent="0.25">
      <c r="A372" s="15">
        <v>82101</v>
      </c>
      <c r="B372" s="13" t="s">
        <v>1424</v>
      </c>
      <c r="C372" s="22">
        <v>39560519</v>
      </c>
      <c r="D372" s="14">
        <v>464.66140000000007</v>
      </c>
      <c r="E372" s="16">
        <f t="shared" si="5"/>
        <v>85138.380334583402</v>
      </c>
    </row>
    <row r="373" spans="1:5" x14ac:dyDescent="0.25">
      <c r="A373" s="15">
        <v>82105</v>
      </c>
      <c r="B373" s="13" t="s">
        <v>1425</v>
      </c>
      <c r="C373" s="22">
        <v>9394505</v>
      </c>
      <c r="D373" s="14">
        <v>49.366499999999995</v>
      </c>
      <c r="E373" s="16">
        <f t="shared" si="5"/>
        <v>190301.2164119393</v>
      </c>
    </row>
    <row r="374" spans="1:5" x14ac:dyDescent="0.25">
      <c r="A374" s="15">
        <v>82108</v>
      </c>
      <c r="B374" s="13" t="s">
        <v>1426</v>
      </c>
      <c r="C374" s="22">
        <v>49288064</v>
      </c>
      <c r="D374" s="14">
        <v>662.8442</v>
      </c>
      <c r="E374" s="16">
        <f t="shared" si="5"/>
        <v>74358.445016189318</v>
      </c>
    </row>
    <row r="375" spans="1:5" x14ac:dyDescent="0.25">
      <c r="A375" s="15">
        <v>83001</v>
      </c>
      <c r="B375" s="13" t="s">
        <v>1427</v>
      </c>
      <c r="C375" s="22">
        <v>52786579</v>
      </c>
      <c r="D375" s="14">
        <v>608.697</v>
      </c>
      <c r="E375" s="16">
        <f t="shared" si="5"/>
        <v>86720.616332920981</v>
      </c>
    </row>
    <row r="376" spans="1:5" x14ac:dyDescent="0.25">
      <c r="A376" s="15">
        <v>83002</v>
      </c>
      <c r="B376" s="13" t="s">
        <v>1428</v>
      </c>
      <c r="C376" s="22">
        <v>345634276</v>
      </c>
      <c r="D376" s="14">
        <v>573.15210000000002</v>
      </c>
      <c r="E376" s="16">
        <f t="shared" si="5"/>
        <v>603041.10549363773</v>
      </c>
    </row>
    <row r="377" spans="1:5" x14ac:dyDescent="0.25">
      <c r="A377" s="15">
        <v>83003</v>
      </c>
      <c r="B377" s="13" t="s">
        <v>1429</v>
      </c>
      <c r="C377" s="22">
        <v>426725080</v>
      </c>
      <c r="D377" s="14">
        <v>3391.1133</v>
      </c>
      <c r="E377" s="16">
        <f t="shared" si="5"/>
        <v>125836.27919480012</v>
      </c>
    </row>
    <row r="378" spans="1:5" x14ac:dyDescent="0.25">
      <c r="A378" s="15">
        <v>83005</v>
      </c>
      <c r="B378" s="13" t="s">
        <v>1430</v>
      </c>
      <c r="C378" s="22">
        <v>1447118907</v>
      </c>
      <c r="D378" s="14">
        <v>9692.438500000002</v>
      </c>
      <c r="E378" s="16">
        <f t="shared" si="5"/>
        <v>149303.9039659627</v>
      </c>
    </row>
    <row r="379" spans="1:5" x14ac:dyDescent="0.25">
      <c r="A379" s="15">
        <v>84001</v>
      </c>
      <c r="B379" s="13" t="s">
        <v>1431</v>
      </c>
      <c r="C379" s="22">
        <v>150635000</v>
      </c>
      <c r="D379" s="14">
        <v>2546.5427</v>
      </c>
      <c r="E379" s="16">
        <f t="shared" si="5"/>
        <v>59152.748548060867</v>
      </c>
    </row>
    <row r="380" spans="1:5" x14ac:dyDescent="0.25">
      <c r="A380" s="15">
        <v>84002</v>
      </c>
      <c r="B380" s="13" t="s">
        <v>1432</v>
      </c>
      <c r="C380" s="22">
        <v>16364300</v>
      </c>
      <c r="D380" s="14">
        <v>378.99440000000004</v>
      </c>
      <c r="E380" s="16">
        <f t="shared" si="5"/>
        <v>43178.210548757444</v>
      </c>
    </row>
    <row r="381" spans="1:5" x14ac:dyDescent="0.25">
      <c r="A381" s="15">
        <v>84003</v>
      </c>
      <c r="B381" s="13" t="s">
        <v>1433</v>
      </c>
      <c r="C381" s="22">
        <v>16343810</v>
      </c>
      <c r="D381" s="14">
        <v>277.31500000000005</v>
      </c>
      <c r="E381" s="16">
        <f t="shared" si="5"/>
        <v>58935.903214755774</v>
      </c>
    </row>
    <row r="382" spans="1:5" x14ac:dyDescent="0.25">
      <c r="A382" s="15">
        <v>84004</v>
      </c>
      <c r="B382" s="13" t="s">
        <v>1434</v>
      </c>
      <c r="C382" s="22">
        <v>19299722</v>
      </c>
      <c r="D382" s="14">
        <v>340.91660000000002</v>
      </c>
      <c r="E382" s="16">
        <f t="shared" si="5"/>
        <v>56611.270909072773</v>
      </c>
    </row>
    <row r="383" spans="1:5" x14ac:dyDescent="0.25">
      <c r="A383" s="15">
        <v>84005</v>
      </c>
      <c r="B383" s="13" t="s">
        <v>1435</v>
      </c>
      <c r="C383" s="22">
        <v>32475750</v>
      </c>
      <c r="D383" s="14">
        <v>584.07439999999997</v>
      </c>
      <c r="E383" s="16">
        <f t="shared" si="5"/>
        <v>55602.077406576973</v>
      </c>
    </row>
    <row r="384" spans="1:5" x14ac:dyDescent="0.25">
      <c r="A384" s="15">
        <v>84006</v>
      </c>
      <c r="B384" s="13" t="s">
        <v>1436</v>
      </c>
      <c r="C384" s="22">
        <v>40385880</v>
      </c>
      <c r="D384" s="14">
        <v>860.84510000000012</v>
      </c>
      <c r="E384" s="16">
        <f t="shared" si="5"/>
        <v>46914.22417343143</v>
      </c>
    </row>
    <row r="385" spans="1:5" x14ac:dyDescent="0.25">
      <c r="A385" s="15">
        <v>85043</v>
      </c>
      <c r="B385" s="13" t="s">
        <v>1437</v>
      </c>
      <c r="C385" s="22">
        <v>5100372</v>
      </c>
      <c r="D385" s="14">
        <v>73.7821</v>
      </c>
      <c r="E385" s="16">
        <f t="shared" si="5"/>
        <v>69127.498404084457</v>
      </c>
    </row>
    <row r="386" spans="1:5" x14ac:dyDescent="0.25">
      <c r="A386" s="15">
        <v>85044</v>
      </c>
      <c r="B386" s="13" t="s">
        <v>1438</v>
      </c>
      <c r="C386" s="22">
        <v>30576248</v>
      </c>
      <c r="D386" s="14">
        <v>575.67800000000011</v>
      </c>
      <c r="E386" s="16">
        <f t="shared" si="5"/>
        <v>53113.455786047052</v>
      </c>
    </row>
    <row r="387" spans="1:5" x14ac:dyDescent="0.25">
      <c r="A387" s="15">
        <v>85045</v>
      </c>
      <c r="B387" s="13" t="s">
        <v>1439</v>
      </c>
      <c r="C387" s="22">
        <v>30278886</v>
      </c>
      <c r="D387" s="14">
        <v>597.63909999999998</v>
      </c>
      <c r="E387" s="16">
        <f t="shared" ref="E387:E450" si="6">C387/D387</f>
        <v>50664.165045426249</v>
      </c>
    </row>
    <row r="388" spans="1:5" x14ac:dyDescent="0.25">
      <c r="A388" s="15">
        <v>85046</v>
      </c>
      <c r="B388" s="13" t="s">
        <v>1440</v>
      </c>
      <c r="C388" s="22">
        <v>257533706</v>
      </c>
      <c r="D388" s="14">
        <v>4106.1604000000007</v>
      </c>
      <c r="E388" s="16">
        <f t="shared" si="6"/>
        <v>62718.861640183357</v>
      </c>
    </row>
    <row r="389" spans="1:5" x14ac:dyDescent="0.25">
      <c r="A389" s="15">
        <v>85048</v>
      </c>
      <c r="B389" s="13" t="s">
        <v>1441</v>
      </c>
      <c r="C389" s="22">
        <v>57551590</v>
      </c>
      <c r="D389" s="14">
        <v>906.66460000000006</v>
      </c>
      <c r="E389" s="16">
        <f t="shared" si="6"/>
        <v>63476.163070665818</v>
      </c>
    </row>
    <row r="390" spans="1:5" x14ac:dyDescent="0.25">
      <c r="A390" s="15">
        <v>85049</v>
      </c>
      <c r="B390" s="13" t="s">
        <v>1442</v>
      </c>
      <c r="C390" s="22">
        <v>27643666</v>
      </c>
      <c r="D390" s="14">
        <v>516.94320000000005</v>
      </c>
      <c r="E390" s="16">
        <f t="shared" si="6"/>
        <v>53475.248344498963</v>
      </c>
    </row>
    <row r="391" spans="1:5" x14ac:dyDescent="0.25">
      <c r="A391" s="15">
        <v>86100</v>
      </c>
      <c r="B391" s="13" t="s">
        <v>1443</v>
      </c>
      <c r="C391" s="22">
        <v>67815801</v>
      </c>
      <c r="D391" s="14">
        <v>730.26769999999999</v>
      </c>
      <c r="E391" s="16">
        <f t="shared" si="6"/>
        <v>92864.30304941599</v>
      </c>
    </row>
    <row r="392" spans="1:5" x14ac:dyDescent="0.25">
      <c r="A392" s="15">
        <v>87083</v>
      </c>
      <c r="B392" s="13" t="s">
        <v>1444</v>
      </c>
      <c r="C392" s="22">
        <v>65340752</v>
      </c>
      <c r="D392" s="14">
        <v>702.67550000000006</v>
      </c>
      <c r="E392" s="16">
        <f t="shared" si="6"/>
        <v>92988.516036207322</v>
      </c>
    </row>
    <row r="393" spans="1:5" x14ac:dyDescent="0.25">
      <c r="A393" s="15">
        <v>88072</v>
      </c>
      <c r="B393" s="13" t="s">
        <v>1445</v>
      </c>
      <c r="C393" s="22">
        <v>21060707</v>
      </c>
      <c r="D393" s="14">
        <v>392.12640000000005</v>
      </c>
      <c r="E393" s="16">
        <f t="shared" si="6"/>
        <v>53708.974963175133</v>
      </c>
    </row>
    <row r="394" spans="1:5" x14ac:dyDescent="0.25">
      <c r="A394" s="15">
        <v>88073</v>
      </c>
      <c r="B394" s="13" t="s">
        <v>1446</v>
      </c>
      <c r="C394" s="22">
        <v>16810238</v>
      </c>
      <c r="D394" s="14">
        <v>158.86989999999997</v>
      </c>
      <c r="E394" s="16">
        <f t="shared" si="6"/>
        <v>105811.34626508862</v>
      </c>
    </row>
    <row r="395" spans="1:5" x14ac:dyDescent="0.25">
      <c r="A395" s="15">
        <v>88075</v>
      </c>
      <c r="B395" s="13" t="s">
        <v>1447</v>
      </c>
      <c r="C395" s="22">
        <v>12124356</v>
      </c>
      <c r="D395" s="14">
        <v>211.73219999999998</v>
      </c>
      <c r="E395" s="16">
        <f t="shared" si="6"/>
        <v>57262.693156732901</v>
      </c>
    </row>
    <row r="396" spans="1:5" x14ac:dyDescent="0.25">
      <c r="A396" s="15">
        <v>88080</v>
      </c>
      <c r="B396" s="13" t="s">
        <v>1448</v>
      </c>
      <c r="C396" s="22">
        <v>158766825</v>
      </c>
      <c r="D396" s="14">
        <v>594.70220000000006</v>
      </c>
      <c r="E396" s="16">
        <f t="shared" si="6"/>
        <v>266968.61891548405</v>
      </c>
    </row>
    <row r="397" spans="1:5" x14ac:dyDescent="0.25">
      <c r="A397" s="15">
        <v>88081</v>
      </c>
      <c r="B397" s="13" t="s">
        <v>1449</v>
      </c>
      <c r="C397" s="22">
        <v>162933977</v>
      </c>
      <c r="D397" s="14">
        <v>2199.5001999999999</v>
      </c>
      <c r="E397" s="16">
        <f t="shared" si="6"/>
        <v>74077.727749240483</v>
      </c>
    </row>
    <row r="398" spans="1:5" x14ac:dyDescent="0.25">
      <c r="A398" s="15">
        <v>89077</v>
      </c>
      <c r="B398" s="13" t="s">
        <v>1450</v>
      </c>
      <c r="C398" s="22">
        <v>7404145</v>
      </c>
      <c r="D398" s="14">
        <v>62.658299999999997</v>
      </c>
      <c r="E398" s="16">
        <f t="shared" si="6"/>
        <v>118167.02655514114</v>
      </c>
    </row>
    <row r="399" spans="1:5" x14ac:dyDescent="0.25">
      <c r="A399" s="15">
        <v>89080</v>
      </c>
      <c r="B399" s="13" t="s">
        <v>1451</v>
      </c>
      <c r="C399" s="22">
        <v>66075873</v>
      </c>
      <c r="D399" s="14">
        <v>1225.3001000000002</v>
      </c>
      <c r="E399" s="16">
        <f t="shared" si="6"/>
        <v>53926.277325856739</v>
      </c>
    </row>
    <row r="400" spans="1:5" x14ac:dyDescent="0.25">
      <c r="A400" s="15">
        <v>89087</v>
      </c>
      <c r="B400" s="13" t="s">
        <v>1452</v>
      </c>
      <c r="C400" s="22">
        <v>21507198</v>
      </c>
      <c r="D400" s="14">
        <v>363.67670000000004</v>
      </c>
      <c r="E400" s="16">
        <f t="shared" si="6"/>
        <v>59138.23459132795</v>
      </c>
    </row>
    <row r="401" spans="1:5" x14ac:dyDescent="0.25">
      <c r="A401" s="15">
        <v>89088</v>
      </c>
      <c r="B401" s="13" t="s">
        <v>1453</v>
      </c>
      <c r="C401" s="22">
        <v>12478090</v>
      </c>
      <c r="D401" s="14">
        <v>189.43490000000003</v>
      </c>
      <c r="E401" s="16">
        <f t="shared" si="6"/>
        <v>65870.069348361882</v>
      </c>
    </row>
    <row r="402" spans="1:5" x14ac:dyDescent="0.25">
      <c r="A402" s="15">
        <v>89089</v>
      </c>
      <c r="B402" s="13" t="s">
        <v>1454</v>
      </c>
      <c r="C402" s="22">
        <v>103810120</v>
      </c>
      <c r="D402" s="14">
        <v>1491.2790000000002</v>
      </c>
      <c r="E402" s="16">
        <f t="shared" si="6"/>
        <v>69611.467740107648</v>
      </c>
    </row>
    <row r="403" spans="1:5" x14ac:dyDescent="0.25">
      <c r="A403" s="15">
        <v>90075</v>
      </c>
      <c r="B403" s="13" t="s">
        <v>1455</v>
      </c>
      <c r="C403" s="22">
        <v>5966665</v>
      </c>
      <c r="D403" s="14">
        <v>86.115099999999998</v>
      </c>
      <c r="E403" s="16">
        <f t="shared" si="6"/>
        <v>69287.093668822316</v>
      </c>
    </row>
    <row r="404" spans="1:5" x14ac:dyDescent="0.25">
      <c r="A404" s="15">
        <v>90076</v>
      </c>
      <c r="B404" s="13" t="s">
        <v>1456</v>
      </c>
      <c r="C404" s="22">
        <v>28348469</v>
      </c>
      <c r="D404" s="14">
        <v>447.80939999999993</v>
      </c>
      <c r="E404" s="16">
        <f t="shared" si="6"/>
        <v>63304.765375626339</v>
      </c>
    </row>
    <row r="405" spans="1:5" x14ac:dyDescent="0.25">
      <c r="A405" s="15">
        <v>90077</v>
      </c>
      <c r="B405" s="13" t="s">
        <v>1457</v>
      </c>
      <c r="C405" s="22">
        <v>58065565</v>
      </c>
      <c r="D405" s="14">
        <v>231.76660000000001</v>
      </c>
      <c r="E405" s="16">
        <f t="shared" si="6"/>
        <v>250534.65425993217</v>
      </c>
    </row>
    <row r="406" spans="1:5" x14ac:dyDescent="0.25">
      <c r="A406" s="15">
        <v>90078</v>
      </c>
      <c r="B406" s="13" t="s">
        <v>1458</v>
      </c>
      <c r="C406" s="22">
        <v>106706434</v>
      </c>
      <c r="D406" s="14">
        <v>217.77470000000002</v>
      </c>
      <c r="E406" s="16">
        <f t="shared" si="6"/>
        <v>489985.44826373307</v>
      </c>
    </row>
    <row r="407" spans="1:5" x14ac:dyDescent="0.25">
      <c r="A407" s="15">
        <v>91091</v>
      </c>
      <c r="B407" s="13" t="s">
        <v>1459</v>
      </c>
      <c r="C407" s="22">
        <v>9434850</v>
      </c>
      <c r="D407" s="14">
        <v>423.98250000000002</v>
      </c>
      <c r="E407" s="16">
        <f t="shared" si="6"/>
        <v>22252.92317489519</v>
      </c>
    </row>
    <row r="408" spans="1:5" x14ac:dyDescent="0.25">
      <c r="A408" s="15">
        <v>91092</v>
      </c>
      <c r="B408" s="13" t="s">
        <v>1460</v>
      </c>
      <c r="C408" s="22">
        <v>64319602</v>
      </c>
      <c r="D408" s="14">
        <v>1416.3184000000003</v>
      </c>
      <c r="E408" s="16">
        <f t="shared" si="6"/>
        <v>45413.236176272214</v>
      </c>
    </row>
    <row r="409" spans="1:5" x14ac:dyDescent="0.25">
      <c r="A409" s="15">
        <v>91093</v>
      </c>
      <c r="B409" s="13" t="s">
        <v>1461</v>
      </c>
      <c r="C409" s="22">
        <v>5194323</v>
      </c>
      <c r="D409" s="14">
        <v>228.55529999999999</v>
      </c>
      <c r="E409" s="16">
        <f t="shared" si="6"/>
        <v>22726.766782481089</v>
      </c>
    </row>
    <row r="410" spans="1:5" x14ac:dyDescent="0.25">
      <c r="A410" s="15">
        <v>91095</v>
      </c>
      <c r="B410" s="13" t="s">
        <v>1462</v>
      </c>
      <c r="C410" s="22">
        <v>4986008</v>
      </c>
      <c r="D410" s="14">
        <v>162.96190000000001</v>
      </c>
      <c r="E410" s="16">
        <f t="shared" si="6"/>
        <v>30596.157752210791</v>
      </c>
    </row>
    <row r="411" spans="1:5" x14ac:dyDescent="0.25">
      <c r="A411" s="15">
        <v>92087</v>
      </c>
      <c r="B411" s="13" t="s">
        <v>1463</v>
      </c>
      <c r="C411" s="22">
        <v>2069495040</v>
      </c>
      <c r="D411" s="14">
        <v>17650.049199999987</v>
      </c>
      <c r="E411" s="16">
        <f t="shared" si="6"/>
        <v>117251.51678330741</v>
      </c>
    </row>
    <row r="412" spans="1:5" x14ac:dyDescent="0.25">
      <c r="A412" s="15">
        <v>92088</v>
      </c>
      <c r="B412" s="13" t="s">
        <v>1464</v>
      </c>
      <c r="C412" s="22">
        <v>2299963024</v>
      </c>
      <c r="D412" s="14">
        <v>16218.134500000002</v>
      </c>
      <c r="E412" s="16">
        <f t="shared" si="6"/>
        <v>141814.2773449067</v>
      </c>
    </row>
    <row r="413" spans="1:5" x14ac:dyDescent="0.25">
      <c r="A413" s="15">
        <v>92089</v>
      </c>
      <c r="B413" s="13" t="s">
        <v>1465</v>
      </c>
      <c r="C413" s="22">
        <v>1519900195</v>
      </c>
      <c r="D413" s="14">
        <v>11887.408800000003</v>
      </c>
      <c r="E413" s="16">
        <f t="shared" si="6"/>
        <v>127857.98995993135</v>
      </c>
    </row>
    <row r="414" spans="1:5" x14ac:dyDescent="0.25">
      <c r="A414" s="15">
        <v>92090</v>
      </c>
      <c r="B414" s="13" t="s">
        <v>1466</v>
      </c>
      <c r="C414" s="22">
        <v>938892233</v>
      </c>
      <c r="D414" s="14">
        <v>4796.1612000000005</v>
      </c>
      <c r="E414" s="16">
        <f t="shared" si="6"/>
        <v>195759.10688739986</v>
      </c>
    </row>
    <row r="415" spans="1:5" x14ac:dyDescent="0.25">
      <c r="A415" s="15">
        <v>92091</v>
      </c>
      <c r="B415" s="13" t="s">
        <v>1467</v>
      </c>
      <c r="C415" s="22">
        <v>365056583</v>
      </c>
      <c r="D415" s="14">
        <v>1402.3846000000003</v>
      </c>
      <c r="E415" s="16">
        <f t="shared" si="6"/>
        <v>260311.31759433178</v>
      </c>
    </row>
    <row r="416" spans="1:5" x14ac:dyDescent="0.25">
      <c r="A416" s="15">
        <v>93120</v>
      </c>
      <c r="B416" s="13" t="s">
        <v>1468</v>
      </c>
      <c r="C416" s="22">
        <v>23639120</v>
      </c>
      <c r="D416" s="14">
        <v>291.94529999999997</v>
      </c>
      <c r="E416" s="16">
        <f t="shared" si="6"/>
        <v>80971.058619542775</v>
      </c>
    </row>
    <row r="417" spans="1:5" x14ac:dyDescent="0.25">
      <c r="A417" s="15">
        <v>93121</v>
      </c>
      <c r="B417" s="13" t="s">
        <v>1469</v>
      </c>
      <c r="C417" s="22">
        <v>6558241</v>
      </c>
      <c r="D417" s="14">
        <v>81.497299999999996</v>
      </c>
      <c r="E417" s="16">
        <f t="shared" si="6"/>
        <v>80471.880663531192</v>
      </c>
    </row>
    <row r="418" spans="1:5" x14ac:dyDescent="0.25">
      <c r="A418" s="15">
        <v>93123</v>
      </c>
      <c r="B418" s="13" t="s">
        <v>1470</v>
      </c>
      <c r="C418" s="22">
        <v>28640421</v>
      </c>
      <c r="D418" s="14">
        <v>393.36829999999992</v>
      </c>
      <c r="E418" s="16">
        <f t="shared" si="6"/>
        <v>72808.157139250936</v>
      </c>
    </row>
    <row r="419" spans="1:5" x14ac:dyDescent="0.25">
      <c r="A419" s="15">
        <v>93124</v>
      </c>
      <c r="B419" s="13" t="s">
        <v>1471</v>
      </c>
      <c r="C419" s="22">
        <v>29094263</v>
      </c>
      <c r="D419" s="14">
        <v>454.03869999999995</v>
      </c>
      <c r="E419" s="16">
        <f t="shared" si="6"/>
        <v>64078.817510489753</v>
      </c>
    </row>
    <row r="420" spans="1:5" x14ac:dyDescent="0.25">
      <c r="A420" s="15">
        <v>94076</v>
      </c>
      <c r="B420" s="13" t="s">
        <v>1472</v>
      </c>
      <c r="C420" s="22">
        <v>25832686</v>
      </c>
      <c r="D420" s="14">
        <v>528.27010000000007</v>
      </c>
      <c r="E420" s="16">
        <f t="shared" si="6"/>
        <v>48900.526454175611</v>
      </c>
    </row>
    <row r="421" spans="1:5" x14ac:dyDescent="0.25">
      <c r="A421" s="15">
        <v>94078</v>
      </c>
      <c r="B421" s="13" t="s">
        <v>1473</v>
      </c>
      <c r="C421" s="22">
        <v>306876734</v>
      </c>
      <c r="D421" s="14">
        <v>3617.0370000000003</v>
      </c>
      <c r="E421" s="16">
        <f t="shared" si="6"/>
        <v>84842.022351444</v>
      </c>
    </row>
    <row r="422" spans="1:5" x14ac:dyDescent="0.25">
      <c r="A422" s="15">
        <v>94083</v>
      </c>
      <c r="B422" s="13" t="s">
        <v>1474</v>
      </c>
      <c r="C422" s="22">
        <v>159409753</v>
      </c>
      <c r="D422" s="14">
        <v>2852.0032999999994</v>
      </c>
      <c r="E422" s="16">
        <f t="shared" si="6"/>
        <v>55893.958117089147</v>
      </c>
    </row>
    <row r="423" spans="1:5" x14ac:dyDescent="0.25">
      <c r="A423" s="15">
        <v>94086</v>
      </c>
      <c r="B423" s="13" t="s">
        <v>1475</v>
      </c>
      <c r="C423" s="22">
        <v>92423485</v>
      </c>
      <c r="D423" s="14">
        <v>1922.2323000000004</v>
      </c>
      <c r="E423" s="16">
        <f t="shared" si="6"/>
        <v>48081.329712334969</v>
      </c>
    </row>
    <row r="424" spans="1:5" x14ac:dyDescent="0.25">
      <c r="A424" s="15">
        <v>94087</v>
      </c>
      <c r="B424" s="13" t="s">
        <v>1476</v>
      </c>
      <c r="C424" s="22">
        <v>42788790</v>
      </c>
      <c r="D424" s="14">
        <v>1010.928</v>
      </c>
      <c r="E424" s="16">
        <f t="shared" si="6"/>
        <v>42326.248753620435</v>
      </c>
    </row>
    <row r="425" spans="1:5" x14ac:dyDescent="0.25">
      <c r="A425" s="15">
        <v>95059</v>
      </c>
      <c r="B425" s="13" t="s">
        <v>1477</v>
      </c>
      <c r="C425" s="22">
        <v>303244506</v>
      </c>
      <c r="D425" s="14">
        <v>1830.5045</v>
      </c>
      <c r="E425" s="16">
        <f t="shared" si="6"/>
        <v>165661.71020065781</v>
      </c>
    </row>
    <row r="426" spans="1:5" x14ac:dyDescent="0.25">
      <c r="A426" s="15">
        <v>96088</v>
      </c>
      <c r="B426" s="13" t="s">
        <v>1478</v>
      </c>
      <c r="C426" s="22">
        <v>1838910510</v>
      </c>
      <c r="D426" s="14">
        <v>17015.164200000007</v>
      </c>
      <c r="E426" s="16">
        <f t="shared" si="6"/>
        <v>108074.80247531195</v>
      </c>
    </row>
    <row r="427" spans="1:5" x14ac:dyDescent="0.25">
      <c r="A427" s="15">
        <v>96089</v>
      </c>
      <c r="B427" s="13" t="s">
        <v>1479</v>
      </c>
      <c r="C427" s="22">
        <v>1028951630</v>
      </c>
      <c r="D427" s="14">
        <v>10655.700400000003</v>
      </c>
      <c r="E427" s="16">
        <f t="shared" si="6"/>
        <v>96563.491030584875</v>
      </c>
    </row>
    <row r="428" spans="1:5" x14ac:dyDescent="0.25">
      <c r="A428" s="15">
        <v>96090</v>
      </c>
      <c r="B428" s="13" t="s">
        <v>1480</v>
      </c>
      <c r="C428" s="22">
        <v>1348805210</v>
      </c>
      <c r="D428" s="14">
        <v>5224.8948</v>
      </c>
      <c r="E428" s="16">
        <f t="shared" si="6"/>
        <v>258149.73537840418</v>
      </c>
    </row>
    <row r="429" spans="1:5" x14ac:dyDescent="0.25">
      <c r="A429" s="15">
        <v>96091</v>
      </c>
      <c r="B429" s="13" t="s">
        <v>1481</v>
      </c>
      <c r="C429" s="22">
        <v>3385134220</v>
      </c>
      <c r="D429" s="14">
        <v>20908.245200000005</v>
      </c>
      <c r="E429" s="16">
        <f t="shared" si="6"/>
        <v>161904.27210027169</v>
      </c>
    </row>
    <row r="430" spans="1:5" x14ac:dyDescent="0.25">
      <c r="A430" s="15">
        <v>96092</v>
      </c>
      <c r="B430" s="13" t="s">
        <v>1482</v>
      </c>
      <c r="C430" s="22">
        <v>1205586170</v>
      </c>
      <c r="D430" s="14">
        <v>4634.4410000000007</v>
      </c>
      <c r="E430" s="16">
        <f t="shared" si="6"/>
        <v>260136.26454625267</v>
      </c>
    </row>
    <row r="431" spans="1:5" x14ac:dyDescent="0.25">
      <c r="A431" s="15">
        <v>96093</v>
      </c>
      <c r="B431" s="13" t="s">
        <v>1483</v>
      </c>
      <c r="C431" s="22">
        <v>1216435050</v>
      </c>
      <c r="D431" s="14">
        <v>5284.4392000000016</v>
      </c>
      <c r="E431" s="16">
        <f t="shared" si="6"/>
        <v>230191.89056049686</v>
      </c>
    </row>
    <row r="432" spans="1:5" x14ac:dyDescent="0.25">
      <c r="A432" s="15">
        <v>96094</v>
      </c>
      <c r="B432" s="13" t="s">
        <v>1484</v>
      </c>
      <c r="C432" s="22">
        <v>1753083400</v>
      </c>
      <c r="D432" s="14">
        <v>9665.0512999999992</v>
      </c>
      <c r="E432" s="16">
        <f t="shared" si="6"/>
        <v>181383.76565057653</v>
      </c>
    </row>
    <row r="433" spans="1:5" x14ac:dyDescent="0.25">
      <c r="A433" s="15">
        <v>96095</v>
      </c>
      <c r="B433" s="13" t="s">
        <v>1485</v>
      </c>
      <c r="C433" s="22">
        <v>4415370500</v>
      </c>
      <c r="D433" s="14">
        <v>16416.878799999995</v>
      </c>
      <c r="E433" s="16">
        <f t="shared" si="6"/>
        <v>268953.10331462038</v>
      </c>
    </row>
    <row r="434" spans="1:5" x14ac:dyDescent="0.25">
      <c r="A434" s="15">
        <v>96098</v>
      </c>
      <c r="B434" s="13" t="s">
        <v>1486</v>
      </c>
      <c r="C434" s="22">
        <v>400666260</v>
      </c>
      <c r="D434" s="14">
        <v>2301.4094</v>
      </c>
      <c r="E434" s="16">
        <f t="shared" si="6"/>
        <v>174096.03871436347</v>
      </c>
    </row>
    <row r="435" spans="1:5" x14ac:dyDescent="0.25">
      <c r="A435" s="15">
        <v>96099</v>
      </c>
      <c r="B435" s="13" t="s">
        <v>1487</v>
      </c>
      <c r="C435" s="22">
        <v>157291160</v>
      </c>
      <c r="D435" s="14">
        <v>1387.9139000000002</v>
      </c>
      <c r="E435" s="16">
        <f t="shared" si="6"/>
        <v>113329.19138571923</v>
      </c>
    </row>
    <row r="436" spans="1:5" x14ac:dyDescent="0.25">
      <c r="A436" s="15">
        <v>96101</v>
      </c>
      <c r="B436" s="13" t="s">
        <v>1488</v>
      </c>
      <c r="C436" s="22">
        <v>288841960</v>
      </c>
      <c r="D436" s="14">
        <v>747.67450000000008</v>
      </c>
      <c r="E436" s="16">
        <f t="shared" si="6"/>
        <v>386320.46431970055</v>
      </c>
    </row>
    <row r="437" spans="1:5" x14ac:dyDescent="0.25">
      <c r="A437" s="15">
        <v>96102</v>
      </c>
      <c r="B437" s="13" t="s">
        <v>1489</v>
      </c>
      <c r="C437" s="22">
        <v>1025772000</v>
      </c>
      <c r="D437" s="14">
        <v>2386.0267000000003</v>
      </c>
      <c r="E437" s="16">
        <f t="shared" si="6"/>
        <v>429908.0140218045</v>
      </c>
    </row>
    <row r="438" spans="1:5" x14ac:dyDescent="0.25">
      <c r="A438" s="15">
        <v>96103</v>
      </c>
      <c r="B438" s="13" t="s">
        <v>1490</v>
      </c>
      <c r="C438" s="22">
        <v>159073000</v>
      </c>
      <c r="D438" s="14">
        <v>1459.2658000000001</v>
      </c>
      <c r="E438" s="16">
        <f t="shared" si="6"/>
        <v>109008.92764018726</v>
      </c>
    </row>
    <row r="439" spans="1:5" x14ac:dyDescent="0.25">
      <c r="A439" s="15">
        <v>96104</v>
      </c>
      <c r="B439" s="13" t="s">
        <v>1491</v>
      </c>
      <c r="C439" s="22">
        <v>105233810</v>
      </c>
      <c r="D439" s="14">
        <v>2675.0041000000001</v>
      </c>
      <c r="E439" s="16">
        <f t="shared" si="6"/>
        <v>39339.681759740102</v>
      </c>
    </row>
    <row r="440" spans="1:5" x14ac:dyDescent="0.25">
      <c r="A440" s="15">
        <v>96106</v>
      </c>
      <c r="B440" s="13" t="s">
        <v>1492</v>
      </c>
      <c r="C440" s="22">
        <v>1478106280</v>
      </c>
      <c r="D440" s="14">
        <v>3736.241</v>
      </c>
      <c r="E440" s="16">
        <f t="shared" si="6"/>
        <v>395613.20589330292</v>
      </c>
    </row>
    <row r="441" spans="1:5" x14ac:dyDescent="0.25">
      <c r="A441" s="15">
        <v>96107</v>
      </c>
      <c r="B441" s="13" t="s">
        <v>1493</v>
      </c>
      <c r="C441" s="22">
        <v>271665530</v>
      </c>
      <c r="D441" s="14">
        <v>974.13599999999997</v>
      </c>
      <c r="E441" s="16">
        <f t="shared" si="6"/>
        <v>278878.44202452223</v>
      </c>
    </row>
    <row r="442" spans="1:5" x14ac:dyDescent="0.25">
      <c r="A442" s="15">
        <v>96109</v>
      </c>
      <c r="B442" s="13" t="s">
        <v>1494</v>
      </c>
      <c r="C442" s="22">
        <v>268698540</v>
      </c>
      <c r="D442" s="14">
        <v>4161.6691000000001</v>
      </c>
      <c r="E442" s="16">
        <f t="shared" si="6"/>
        <v>64565.090001989825</v>
      </c>
    </row>
    <row r="443" spans="1:5" x14ac:dyDescent="0.25">
      <c r="A443" s="15">
        <v>96110</v>
      </c>
      <c r="B443" s="13" t="s">
        <v>1495</v>
      </c>
      <c r="C443" s="22">
        <v>583299730</v>
      </c>
      <c r="D443" s="14">
        <v>5707.5052000000005</v>
      </c>
      <c r="E443" s="16">
        <f t="shared" si="6"/>
        <v>102198.72073003104</v>
      </c>
    </row>
    <row r="444" spans="1:5" x14ac:dyDescent="0.25">
      <c r="A444" s="15">
        <v>96111</v>
      </c>
      <c r="B444" s="13" t="s">
        <v>1496</v>
      </c>
      <c r="C444" s="22">
        <v>249258140</v>
      </c>
      <c r="D444" s="14">
        <v>5466.3391999999994</v>
      </c>
      <c r="E444" s="16">
        <f t="shared" si="6"/>
        <v>45598.732694817038</v>
      </c>
    </row>
    <row r="445" spans="1:5" x14ac:dyDescent="0.25">
      <c r="A445" s="15">
        <v>96112</v>
      </c>
      <c r="B445" s="13" t="s">
        <v>1497</v>
      </c>
      <c r="C445" s="22">
        <v>605918070</v>
      </c>
      <c r="D445" s="14">
        <v>2861.4677999999999</v>
      </c>
      <c r="E445" s="16">
        <f t="shared" si="6"/>
        <v>211750.79097517717</v>
      </c>
    </row>
    <row r="446" spans="1:5" x14ac:dyDescent="0.25">
      <c r="A446" s="15">
        <v>96113</v>
      </c>
      <c r="B446" s="13" t="s">
        <v>1498</v>
      </c>
      <c r="C446" s="22">
        <v>153336700</v>
      </c>
      <c r="D446" s="14">
        <v>980.2804000000001</v>
      </c>
      <c r="E446" s="16">
        <f t="shared" si="6"/>
        <v>156421.26477281397</v>
      </c>
    </row>
    <row r="447" spans="1:5" x14ac:dyDescent="0.25">
      <c r="A447" s="15">
        <v>96114</v>
      </c>
      <c r="B447" s="13" t="s">
        <v>1499</v>
      </c>
      <c r="C447" s="22">
        <v>707905950</v>
      </c>
      <c r="D447" s="14">
        <v>3922.9433000000004</v>
      </c>
      <c r="E447" s="16">
        <f t="shared" si="6"/>
        <v>180452.7610684559</v>
      </c>
    </row>
    <row r="448" spans="1:5" x14ac:dyDescent="0.25">
      <c r="A448" s="15">
        <v>97116</v>
      </c>
      <c r="B448" s="13" t="s">
        <v>1076</v>
      </c>
      <c r="C448" s="22">
        <v>9369494</v>
      </c>
      <c r="D448" s="14">
        <v>59.167700000000004</v>
      </c>
      <c r="E448" s="16">
        <f t="shared" si="6"/>
        <v>158354.87943590843</v>
      </c>
    </row>
    <row r="449" spans="1:5" x14ac:dyDescent="0.25">
      <c r="A449" s="15">
        <v>97118</v>
      </c>
      <c r="B449" s="13" t="s">
        <v>1500</v>
      </c>
      <c r="C449" s="22">
        <v>5761782</v>
      </c>
      <c r="D449" s="14">
        <v>55.021700000000003</v>
      </c>
      <c r="E449" s="16">
        <f t="shared" si="6"/>
        <v>104718.35657567832</v>
      </c>
    </row>
    <row r="450" spans="1:5" x14ac:dyDescent="0.25">
      <c r="A450" s="15">
        <v>97119</v>
      </c>
      <c r="B450" s="13" t="s">
        <v>1501</v>
      </c>
      <c r="C450" s="22">
        <v>9921774</v>
      </c>
      <c r="D450" s="14">
        <v>93.414800000000014</v>
      </c>
      <c r="E450" s="16">
        <f t="shared" si="6"/>
        <v>106212.01351391854</v>
      </c>
    </row>
    <row r="451" spans="1:5" x14ac:dyDescent="0.25">
      <c r="A451" s="15">
        <v>97122</v>
      </c>
      <c r="B451" s="13" t="s">
        <v>1502</v>
      </c>
      <c r="C451" s="22">
        <v>7724572</v>
      </c>
      <c r="D451" s="14">
        <v>61.695699999999995</v>
      </c>
      <c r="E451" s="16">
        <f t="shared" ref="E451:E514" si="7">C451/D451</f>
        <v>125204.38215305119</v>
      </c>
    </row>
    <row r="452" spans="1:5" x14ac:dyDescent="0.25">
      <c r="A452" s="15">
        <v>97127</v>
      </c>
      <c r="B452" s="13" t="s">
        <v>1503</v>
      </c>
      <c r="C452" s="22">
        <v>2960280</v>
      </c>
      <c r="D452" s="14">
        <v>59.4574</v>
      </c>
      <c r="E452" s="16">
        <f t="shared" si="7"/>
        <v>49788.251756719939</v>
      </c>
    </row>
    <row r="453" spans="1:5" x14ac:dyDescent="0.25">
      <c r="A453" s="15">
        <v>97129</v>
      </c>
      <c r="B453" s="13" t="s">
        <v>1504</v>
      </c>
      <c r="C453" s="22">
        <v>154164739</v>
      </c>
      <c r="D453" s="14">
        <v>2256.9522999999999</v>
      </c>
      <c r="E453" s="16">
        <f t="shared" si="7"/>
        <v>68306.600454072512</v>
      </c>
    </row>
    <row r="454" spans="1:5" x14ac:dyDescent="0.25">
      <c r="A454" s="15">
        <v>97130</v>
      </c>
      <c r="B454" s="13" t="s">
        <v>1505</v>
      </c>
      <c r="C454" s="22">
        <v>18087751</v>
      </c>
      <c r="D454" s="14">
        <v>285.24240000000003</v>
      </c>
      <c r="E454" s="16">
        <f t="shared" si="7"/>
        <v>63411.859527195105</v>
      </c>
    </row>
    <row r="455" spans="1:5" x14ac:dyDescent="0.25">
      <c r="A455" s="15">
        <v>97131</v>
      </c>
      <c r="B455" s="13" t="s">
        <v>1506</v>
      </c>
      <c r="C455" s="22">
        <v>28868811</v>
      </c>
      <c r="D455" s="14">
        <v>428.74169999999998</v>
      </c>
      <c r="E455" s="16">
        <f t="shared" si="7"/>
        <v>67333.807278368302</v>
      </c>
    </row>
    <row r="456" spans="1:5" x14ac:dyDescent="0.25">
      <c r="A456" s="15">
        <v>98080</v>
      </c>
      <c r="B456" s="13" t="s">
        <v>1507</v>
      </c>
      <c r="C456" s="22">
        <v>35304702</v>
      </c>
      <c r="D456" s="14">
        <v>623.82290000000012</v>
      </c>
      <c r="E456" s="16">
        <f t="shared" si="7"/>
        <v>56594.110283543603</v>
      </c>
    </row>
    <row r="457" spans="1:5" x14ac:dyDescent="0.25">
      <c r="A457" s="15">
        <v>99078</v>
      </c>
      <c r="B457" s="13" t="s">
        <v>1508</v>
      </c>
      <c r="C457" s="22">
        <v>4057851</v>
      </c>
      <c r="D457" s="14">
        <v>37.086600000000004</v>
      </c>
      <c r="E457" s="16">
        <f t="shared" si="7"/>
        <v>109415.55710148677</v>
      </c>
    </row>
    <row r="458" spans="1:5" x14ac:dyDescent="0.25">
      <c r="A458" s="15">
        <v>99082</v>
      </c>
      <c r="B458" s="13" t="s">
        <v>1509</v>
      </c>
      <c r="C458" s="22">
        <v>48556244</v>
      </c>
      <c r="D458" s="14">
        <v>537.24139999999989</v>
      </c>
      <c r="E458" s="16">
        <f t="shared" si="7"/>
        <v>90380.681756841543</v>
      </c>
    </row>
    <row r="459" spans="1:5" x14ac:dyDescent="0.25">
      <c r="A459" s="15">
        <v>100059</v>
      </c>
      <c r="B459" s="13" t="s">
        <v>1510</v>
      </c>
      <c r="C459" s="22">
        <v>51078450</v>
      </c>
      <c r="D459" s="14">
        <v>851.55190000000016</v>
      </c>
      <c r="E459" s="16">
        <f t="shared" si="7"/>
        <v>59982.779675554702</v>
      </c>
    </row>
    <row r="460" spans="1:5" x14ac:dyDescent="0.25">
      <c r="A460" s="15">
        <v>100060</v>
      </c>
      <c r="B460" s="13" t="s">
        <v>1511</v>
      </c>
      <c r="C460" s="22">
        <v>22796170</v>
      </c>
      <c r="D460" s="14">
        <v>530.69560000000001</v>
      </c>
      <c r="E460" s="16">
        <f t="shared" si="7"/>
        <v>42955.264750640476</v>
      </c>
    </row>
    <row r="461" spans="1:5" x14ac:dyDescent="0.25">
      <c r="A461" s="15">
        <v>100061</v>
      </c>
      <c r="B461" s="13" t="s">
        <v>1512</v>
      </c>
      <c r="C461" s="22">
        <v>53677853</v>
      </c>
      <c r="D461" s="14">
        <v>902.16520000000014</v>
      </c>
      <c r="E461" s="16">
        <f t="shared" si="7"/>
        <v>59498.917714848671</v>
      </c>
    </row>
    <row r="462" spans="1:5" x14ac:dyDescent="0.25">
      <c r="A462" s="15">
        <v>100062</v>
      </c>
      <c r="B462" s="13" t="s">
        <v>1513</v>
      </c>
      <c r="C462" s="22">
        <v>14299950</v>
      </c>
      <c r="D462" s="14">
        <v>341.38449999999995</v>
      </c>
      <c r="E462" s="16">
        <f t="shared" si="7"/>
        <v>41888.105640414258</v>
      </c>
    </row>
    <row r="463" spans="1:5" x14ac:dyDescent="0.25">
      <c r="A463" s="15">
        <v>100063</v>
      </c>
      <c r="B463" s="13" t="s">
        <v>1514</v>
      </c>
      <c r="C463" s="22">
        <v>212875480</v>
      </c>
      <c r="D463" s="14">
        <v>3239.6416999999997</v>
      </c>
      <c r="E463" s="16">
        <f t="shared" si="7"/>
        <v>65709.575228643342</v>
      </c>
    </row>
    <row r="464" spans="1:5" x14ac:dyDescent="0.25">
      <c r="A464" s="15">
        <v>100064</v>
      </c>
      <c r="B464" s="13" t="s">
        <v>1515</v>
      </c>
      <c r="C464" s="22">
        <v>22904820</v>
      </c>
      <c r="D464" s="14">
        <v>154.16410000000002</v>
      </c>
      <c r="E464" s="16">
        <f t="shared" si="7"/>
        <v>148574.27896637411</v>
      </c>
    </row>
    <row r="465" spans="1:5" x14ac:dyDescent="0.25">
      <c r="A465" s="15">
        <v>100065</v>
      </c>
      <c r="B465" s="13" t="s">
        <v>1516</v>
      </c>
      <c r="C465" s="22">
        <v>19474520</v>
      </c>
      <c r="D465" s="14">
        <v>344.75009999999997</v>
      </c>
      <c r="E465" s="16">
        <f t="shared" si="7"/>
        <v>56488.801598607228</v>
      </c>
    </row>
    <row r="466" spans="1:5" x14ac:dyDescent="0.25">
      <c r="A466" s="15">
        <v>101105</v>
      </c>
      <c r="B466" s="13" t="s">
        <v>1517</v>
      </c>
      <c r="C466" s="22">
        <v>15791971</v>
      </c>
      <c r="D466" s="14">
        <v>508.95600000000007</v>
      </c>
      <c r="E466" s="16">
        <f t="shared" si="7"/>
        <v>31028.165499571667</v>
      </c>
    </row>
    <row r="467" spans="1:5" x14ac:dyDescent="0.25">
      <c r="A467" s="15">
        <v>101107</v>
      </c>
      <c r="B467" s="13" t="s">
        <v>1518</v>
      </c>
      <c r="C467" s="22">
        <v>18958691</v>
      </c>
      <c r="D467" s="14">
        <v>290.51029999999997</v>
      </c>
      <c r="E467" s="16">
        <f t="shared" si="7"/>
        <v>65259.961522878883</v>
      </c>
    </row>
    <row r="468" spans="1:5" x14ac:dyDescent="0.25">
      <c r="A468" s="15">
        <v>102081</v>
      </c>
      <c r="B468" s="13" t="s">
        <v>1519</v>
      </c>
      <c r="C468" s="22">
        <v>29116908</v>
      </c>
      <c r="D468" s="14">
        <v>286.8569</v>
      </c>
      <c r="E468" s="16">
        <f t="shared" si="7"/>
        <v>101503.25127267289</v>
      </c>
    </row>
    <row r="469" spans="1:5" x14ac:dyDescent="0.25">
      <c r="A469" s="15">
        <v>102085</v>
      </c>
      <c r="B469" s="13" t="s">
        <v>1520</v>
      </c>
      <c r="C469" s="22">
        <v>57967595</v>
      </c>
      <c r="D469" s="14">
        <v>704.12450000000001</v>
      </c>
      <c r="E469" s="16">
        <f t="shared" si="7"/>
        <v>82325.77477420542</v>
      </c>
    </row>
    <row r="470" spans="1:5" x14ac:dyDescent="0.25">
      <c r="A470" s="15">
        <v>103127</v>
      </c>
      <c r="B470" s="13" t="s">
        <v>1521</v>
      </c>
      <c r="C470" s="22">
        <v>22367333</v>
      </c>
      <c r="D470" s="14">
        <v>250.3279</v>
      </c>
      <c r="E470" s="16">
        <f t="shared" si="7"/>
        <v>89352.137736145276</v>
      </c>
    </row>
    <row r="471" spans="1:5" x14ac:dyDescent="0.25">
      <c r="A471" s="15">
        <v>103128</v>
      </c>
      <c r="B471" s="13" t="s">
        <v>1522</v>
      </c>
      <c r="C471" s="22">
        <v>27367322</v>
      </c>
      <c r="D471" s="14">
        <v>224.7704</v>
      </c>
      <c r="E471" s="16">
        <f t="shared" si="7"/>
        <v>121756.78826037592</v>
      </c>
    </row>
    <row r="472" spans="1:5" x14ac:dyDescent="0.25">
      <c r="A472" s="15">
        <v>103129</v>
      </c>
      <c r="B472" s="13" t="s">
        <v>1523</v>
      </c>
      <c r="C472" s="22">
        <v>28361389</v>
      </c>
      <c r="D472" s="14">
        <v>419.25440000000003</v>
      </c>
      <c r="E472" s="16">
        <f t="shared" si="7"/>
        <v>67647.206564796928</v>
      </c>
    </row>
    <row r="473" spans="1:5" x14ac:dyDescent="0.25">
      <c r="A473" s="15">
        <v>103130</v>
      </c>
      <c r="B473" s="13" t="s">
        <v>1524</v>
      </c>
      <c r="C473" s="22">
        <v>39424021</v>
      </c>
      <c r="D473" s="14">
        <v>891.10249999999996</v>
      </c>
      <c r="E473" s="16">
        <f t="shared" si="7"/>
        <v>44241.84759890136</v>
      </c>
    </row>
    <row r="474" spans="1:5" x14ac:dyDescent="0.25">
      <c r="A474" s="15">
        <v>103131</v>
      </c>
      <c r="B474" s="13" t="s">
        <v>1525</v>
      </c>
      <c r="C474" s="22">
        <v>41432596</v>
      </c>
      <c r="D474" s="14">
        <v>678.08910000000014</v>
      </c>
      <c r="E474" s="16">
        <f t="shared" si="7"/>
        <v>61101.993823525539</v>
      </c>
    </row>
    <row r="475" spans="1:5" x14ac:dyDescent="0.25">
      <c r="A475" s="15">
        <v>103132</v>
      </c>
      <c r="B475" s="13" t="s">
        <v>1526</v>
      </c>
      <c r="C475" s="22">
        <v>165453901</v>
      </c>
      <c r="D475" s="14">
        <v>1940.6748</v>
      </c>
      <c r="E475" s="16">
        <f t="shared" si="7"/>
        <v>85255.86100257498</v>
      </c>
    </row>
    <row r="476" spans="1:5" x14ac:dyDescent="0.25">
      <c r="A476" s="15">
        <v>103135</v>
      </c>
      <c r="B476" s="13" t="s">
        <v>1527</v>
      </c>
      <c r="C476" s="22">
        <v>31034188</v>
      </c>
      <c r="D476" s="14">
        <v>499.28520000000003</v>
      </c>
      <c r="E476" s="16">
        <f t="shared" si="7"/>
        <v>62157.235984563529</v>
      </c>
    </row>
    <row r="477" spans="1:5" x14ac:dyDescent="0.25">
      <c r="A477" s="15">
        <v>104041</v>
      </c>
      <c r="B477" s="13" t="s">
        <v>1528</v>
      </c>
      <c r="C477" s="22">
        <v>9834917</v>
      </c>
      <c r="D477" s="14">
        <v>248.05769999999995</v>
      </c>
      <c r="E477" s="16">
        <f t="shared" si="7"/>
        <v>39647.698902311851</v>
      </c>
    </row>
    <row r="478" spans="1:5" x14ac:dyDescent="0.25">
      <c r="A478" s="15">
        <v>104042</v>
      </c>
      <c r="B478" s="13" t="s">
        <v>1529</v>
      </c>
      <c r="C478" s="22">
        <v>27037955</v>
      </c>
      <c r="D478" s="14">
        <v>460.27370000000008</v>
      </c>
      <c r="E478" s="16">
        <f t="shared" si="7"/>
        <v>58743.210833032594</v>
      </c>
    </row>
    <row r="479" spans="1:5" x14ac:dyDescent="0.25">
      <c r="A479" s="15">
        <v>104043</v>
      </c>
      <c r="B479" s="13" t="s">
        <v>1530</v>
      </c>
      <c r="C479" s="22">
        <v>23558464</v>
      </c>
      <c r="D479" s="14">
        <v>667.71780000000001</v>
      </c>
      <c r="E479" s="16">
        <f t="shared" si="7"/>
        <v>35282.066765331103</v>
      </c>
    </row>
    <row r="480" spans="1:5" x14ac:dyDescent="0.25">
      <c r="A480" s="15">
        <v>104044</v>
      </c>
      <c r="B480" s="13" t="s">
        <v>1531</v>
      </c>
      <c r="C480" s="22">
        <v>327953467</v>
      </c>
      <c r="D480" s="14">
        <v>1919.9014999999999</v>
      </c>
      <c r="E480" s="16">
        <f t="shared" si="7"/>
        <v>170817.8607079582</v>
      </c>
    </row>
    <row r="481" spans="1:5" x14ac:dyDescent="0.25">
      <c r="A481" s="15">
        <v>104045</v>
      </c>
      <c r="B481" s="13" t="s">
        <v>1532</v>
      </c>
      <c r="C481" s="22">
        <v>91858620</v>
      </c>
      <c r="D481" s="14">
        <v>592.86809999999991</v>
      </c>
      <c r="E481" s="16">
        <f t="shared" si="7"/>
        <v>154939.38702385913</v>
      </c>
    </row>
    <row r="482" spans="1:5" x14ac:dyDescent="0.25">
      <c r="A482" s="15">
        <v>105123</v>
      </c>
      <c r="B482" s="13" t="s">
        <v>1533</v>
      </c>
      <c r="C482" s="22">
        <v>21253087</v>
      </c>
      <c r="D482" s="14">
        <v>297.73180000000002</v>
      </c>
      <c r="E482" s="16">
        <f t="shared" si="7"/>
        <v>71383.328888617194</v>
      </c>
    </row>
    <row r="483" spans="1:5" x14ac:dyDescent="0.25">
      <c r="A483" s="15">
        <v>105124</v>
      </c>
      <c r="B483" s="13" t="s">
        <v>1534</v>
      </c>
      <c r="C483" s="22">
        <v>38138442</v>
      </c>
      <c r="D483" s="14">
        <v>652.01400000000024</v>
      </c>
      <c r="E483" s="16">
        <f t="shared" si="7"/>
        <v>58493.286953961091</v>
      </c>
    </row>
    <row r="484" spans="1:5" x14ac:dyDescent="0.25">
      <c r="A484" s="15">
        <v>105125</v>
      </c>
      <c r="B484" s="13" t="s">
        <v>1535</v>
      </c>
      <c r="C484" s="22">
        <v>10822055</v>
      </c>
      <c r="D484" s="14">
        <v>95.079299999999989</v>
      </c>
      <c r="E484" s="16">
        <f t="shared" si="7"/>
        <v>113821.35754049516</v>
      </c>
    </row>
    <row r="485" spans="1:5" x14ac:dyDescent="0.25">
      <c r="A485" s="15">
        <v>106001</v>
      </c>
      <c r="B485" s="13" t="s">
        <v>1536</v>
      </c>
      <c r="C485" s="22">
        <v>7813894</v>
      </c>
      <c r="D485" s="14">
        <v>158.38569999999999</v>
      </c>
      <c r="E485" s="16">
        <f t="shared" si="7"/>
        <v>49334.592706285992</v>
      </c>
    </row>
    <row r="486" spans="1:5" x14ac:dyDescent="0.25">
      <c r="A486" s="15">
        <v>106002</v>
      </c>
      <c r="B486" s="13" t="s">
        <v>1537</v>
      </c>
      <c r="C486" s="22">
        <v>10442604</v>
      </c>
      <c r="D486" s="14">
        <v>271.28739999999999</v>
      </c>
      <c r="E486" s="16">
        <f t="shared" si="7"/>
        <v>38492.771872191632</v>
      </c>
    </row>
    <row r="487" spans="1:5" x14ac:dyDescent="0.25">
      <c r="A487" s="15">
        <v>106003</v>
      </c>
      <c r="B487" s="13" t="s">
        <v>1538</v>
      </c>
      <c r="C487" s="22">
        <v>72315415</v>
      </c>
      <c r="D487" s="14">
        <v>1114.8790000000001</v>
      </c>
      <c r="E487" s="16">
        <f t="shared" si="7"/>
        <v>64863.913482987831</v>
      </c>
    </row>
    <row r="488" spans="1:5" x14ac:dyDescent="0.25">
      <c r="A488" s="15">
        <v>106004</v>
      </c>
      <c r="B488" s="13" t="s">
        <v>1539</v>
      </c>
      <c r="C488" s="22">
        <v>667510916</v>
      </c>
      <c r="D488" s="14">
        <v>4118.501400000001</v>
      </c>
      <c r="E488" s="16">
        <f t="shared" si="7"/>
        <v>162076.16585974689</v>
      </c>
    </row>
    <row r="489" spans="1:5" x14ac:dyDescent="0.25">
      <c r="A489" s="15">
        <v>106005</v>
      </c>
      <c r="B489" s="13" t="s">
        <v>1540</v>
      </c>
      <c r="C489" s="22">
        <v>172833875</v>
      </c>
      <c r="D489" s="14">
        <v>1276.7778000000001</v>
      </c>
      <c r="E489" s="16">
        <f t="shared" si="7"/>
        <v>135367.23069589713</v>
      </c>
    </row>
    <row r="490" spans="1:5" x14ac:dyDescent="0.25">
      <c r="A490" s="15">
        <v>106006</v>
      </c>
      <c r="B490" s="13" t="s">
        <v>1541</v>
      </c>
      <c r="C490" s="22">
        <v>35714628</v>
      </c>
      <c r="D490" s="14">
        <v>436.35230000000001</v>
      </c>
      <c r="E490" s="16">
        <f t="shared" si="7"/>
        <v>81848.148846700249</v>
      </c>
    </row>
    <row r="491" spans="1:5" x14ac:dyDescent="0.25">
      <c r="A491" s="15">
        <v>106008</v>
      </c>
      <c r="B491" s="13" t="s">
        <v>1542</v>
      </c>
      <c r="C491" s="22">
        <v>6460790</v>
      </c>
      <c r="D491" s="14">
        <v>73.832200000000014</v>
      </c>
      <c r="E491" s="16">
        <f t="shared" si="7"/>
        <v>87506.399646766571</v>
      </c>
    </row>
    <row r="492" spans="1:5" x14ac:dyDescent="0.25">
      <c r="A492" s="15">
        <v>107151</v>
      </c>
      <c r="B492" s="13" t="s">
        <v>1543</v>
      </c>
      <c r="C492" s="22">
        <v>7162274</v>
      </c>
      <c r="D492" s="14">
        <v>117.34350000000002</v>
      </c>
      <c r="E492" s="16">
        <f t="shared" si="7"/>
        <v>61036.819252877227</v>
      </c>
    </row>
    <row r="493" spans="1:5" x14ac:dyDescent="0.25">
      <c r="A493" s="15">
        <v>107152</v>
      </c>
      <c r="B493" s="13" t="s">
        <v>1544</v>
      </c>
      <c r="C493" s="22">
        <v>50526963</v>
      </c>
      <c r="D493" s="14">
        <v>899.95690000000002</v>
      </c>
      <c r="E493" s="16">
        <f t="shared" si="7"/>
        <v>56143.758662220382</v>
      </c>
    </row>
    <row r="494" spans="1:5" x14ac:dyDescent="0.25">
      <c r="A494" s="15">
        <v>107153</v>
      </c>
      <c r="B494" s="13" t="s">
        <v>1545</v>
      </c>
      <c r="C494" s="22">
        <v>23778991</v>
      </c>
      <c r="D494" s="14">
        <v>359.81210000000004</v>
      </c>
      <c r="E494" s="16">
        <f t="shared" si="7"/>
        <v>66087.246649014851</v>
      </c>
    </row>
    <row r="495" spans="1:5" x14ac:dyDescent="0.25">
      <c r="A495" s="15">
        <v>107154</v>
      </c>
      <c r="B495" s="13" t="s">
        <v>1546</v>
      </c>
      <c r="C495" s="22">
        <v>33884500</v>
      </c>
      <c r="D495" s="14">
        <v>711.17240000000004</v>
      </c>
      <c r="E495" s="16">
        <f t="shared" si="7"/>
        <v>47645.971637819464</v>
      </c>
    </row>
    <row r="496" spans="1:5" x14ac:dyDescent="0.25">
      <c r="A496" s="15">
        <v>107155</v>
      </c>
      <c r="B496" s="13" t="s">
        <v>1547</v>
      </c>
      <c r="C496" s="22">
        <v>41901193</v>
      </c>
      <c r="D496" s="14">
        <v>755.47540000000026</v>
      </c>
      <c r="E496" s="16">
        <f t="shared" si="7"/>
        <v>55463.345331959172</v>
      </c>
    </row>
    <row r="497" spans="1:5" x14ac:dyDescent="0.25">
      <c r="A497" s="15">
        <v>107156</v>
      </c>
      <c r="B497" s="13" t="s">
        <v>1548</v>
      </c>
      <c r="C497" s="22">
        <v>28116610</v>
      </c>
      <c r="D497" s="14">
        <v>563.02919999999995</v>
      </c>
      <c r="E497" s="16">
        <f t="shared" si="7"/>
        <v>49938.102677445509</v>
      </c>
    </row>
    <row r="498" spans="1:5" x14ac:dyDescent="0.25">
      <c r="A498" s="15">
        <v>107158</v>
      </c>
      <c r="B498" s="13" t="s">
        <v>1549</v>
      </c>
      <c r="C498" s="22">
        <v>8072820</v>
      </c>
      <c r="D498" s="14">
        <v>178.46920000000003</v>
      </c>
      <c r="E498" s="16">
        <f t="shared" si="7"/>
        <v>45233.687381352072</v>
      </c>
    </row>
    <row r="499" spans="1:5" x14ac:dyDescent="0.25">
      <c r="A499" s="15">
        <v>108142</v>
      </c>
      <c r="B499" s="13" t="s">
        <v>1550</v>
      </c>
      <c r="C499" s="22">
        <v>156854920</v>
      </c>
      <c r="D499" s="14">
        <v>2314.4793000000004</v>
      </c>
      <c r="E499" s="16">
        <f t="shared" si="7"/>
        <v>67771.148352893011</v>
      </c>
    </row>
    <row r="500" spans="1:5" x14ac:dyDescent="0.25">
      <c r="A500" s="15">
        <v>108143</v>
      </c>
      <c r="B500" s="13" t="s">
        <v>1551</v>
      </c>
      <c r="C500" s="22">
        <v>11652509</v>
      </c>
      <c r="D500" s="14">
        <v>220.05600000000001</v>
      </c>
      <c r="E500" s="16">
        <f t="shared" si="7"/>
        <v>52952.471189151853</v>
      </c>
    </row>
    <row r="501" spans="1:5" x14ac:dyDescent="0.25">
      <c r="A501" s="15">
        <v>108144</v>
      </c>
      <c r="B501" s="13" t="s">
        <v>1552</v>
      </c>
      <c r="C501" s="22">
        <v>10341550</v>
      </c>
      <c r="D501" s="14">
        <v>161.66539999999998</v>
      </c>
      <c r="E501" s="16">
        <f t="shared" si="7"/>
        <v>63968.851714714474</v>
      </c>
    </row>
    <row r="502" spans="1:5" x14ac:dyDescent="0.25">
      <c r="A502" s="15">
        <v>108147</v>
      </c>
      <c r="B502" s="13" t="s">
        <v>1553</v>
      </c>
      <c r="C502" s="22">
        <v>16266306</v>
      </c>
      <c r="D502" s="14">
        <v>203.85159999999999</v>
      </c>
      <c r="E502" s="16">
        <f t="shared" si="7"/>
        <v>79794.840952928513</v>
      </c>
    </row>
    <row r="503" spans="1:5" x14ac:dyDescent="0.25">
      <c r="A503" s="15">
        <v>109002</v>
      </c>
      <c r="B503" s="13" t="s">
        <v>1554</v>
      </c>
      <c r="C503" s="22">
        <v>172281323</v>
      </c>
      <c r="D503" s="14">
        <v>1468.9993000000002</v>
      </c>
      <c r="E503" s="16">
        <f t="shared" si="7"/>
        <v>117278.01572131448</v>
      </c>
    </row>
    <row r="504" spans="1:5" x14ac:dyDescent="0.25">
      <c r="A504" s="15">
        <v>109003</v>
      </c>
      <c r="B504" s="13" t="s">
        <v>1555</v>
      </c>
      <c r="C504" s="22">
        <v>259503947</v>
      </c>
      <c r="D504" s="14">
        <v>2747.0774000000001</v>
      </c>
      <c r="E504" s="16">
        <f t="shared" si="7"/>
        <v>94465.466098625388</v>
      </c>
    </row>
    <row r="505" spans="1:5" x14ac:dyDescent="0.25">
      <c r="A505" s="15">
        <v>110014</v>
      </c>
      <c r="B505" s="13" t="s">
        <v>1556</v>
      </c>
      <c r="C505" s="22">
        <v>28480231</v>
      </c>
      <c r="D505" s="14">
        <v>775.97949999999992</v>
      </c>
      <c r="E505" s="16">
        <f t="shared" si="7"/>
        <v>36702.298192155853</v>
      </c>
    </row>
    <row r="506" spans="1:5" x14ac:dyDescent="0.25">
      <c r="A506" s="15">
        <v>110029</v>
      </c>
      <c r="B506" s="13" t="s">
        <v>1557</v>
      </c>
      <c r="C506" s="22">
        <v>82140926</v>
      </c>
      <c r="D506" s="14">
        <v>2242.614</v>
      </c>
      <c r="E506" s="16">
        <f t="shared" si="7"/>
        <v>36627.313483283346</v>
      </c>
    </row>
    <row r="507" spans="1:5" x14ac:dyDescent="0.25">
      <c r="A507" s="15">
        <v>110030</v>
      </c>
      <c r="B507" s="13" t="s">
        <v>1558</v>
      </c>
      <c r="C507" s="22">
        <v>13352695</v>
      </c>
      <c r="D507" s="14">
        <v>203.76730000000001</v>
      </c>
      <c r="E507" s="16">
        <f t="shared" si="7"/>
        <v>65529.135440279177</v>
      </c>
    </row>
    <row r="508" spans="1:5" x14ac:dyDescent="0.25">
      <c r="A508" s="15">
        <v>110031</v>
      </c>
      <c r="B508" s="13" t="s">
        <v>1559</v>
      </c>
      <c r="C508" s="22">
        <v>21321534</v>
      </c>
      <c r="D508" s="14">
        <v>380.46670000000006</v>
      </c>
      <c r="E508" s="16">
        <f t="shared" si="7"/>
        <v>56040.473450107449</v>
      </c>
    </row>
    <row r="509" spans="1:5" x14ac:dyDescent="0.25">
      <c r="A509" s="15">
        <v>111086</v>
      </c>
      <c r="B509" s="13" t="s">
        <v>1560</v>
      </c>
      <c r="C509" s="22">
        <v>39755876</v>
      </c>
      <c r="D509" s="14">
        <v>715.36800000000005</v>
      </c>
      <c r="E509" s="16">
        <f t="shared" si="7"/>
        <v>55574.020643920325</v>
      </c>
    </row>
    <row r="510" spans="1:5" x14ac:dyDescent="0.25">
      <c r="A510" s="15">
        <v>111087</v>
      </c>
      <c r="B510" s="13" t="s">
        <v>1561</v>
      </c>
      <c r="C510" s="22">
        <v>63776951</v>
      </c>
      <c r="D510" s="14">
        <v>967.10249999999985</v>
      </c>
      <c r="E510" s="16">
        <f t="shared" si="7"/>
        <v>65946.42346597182</v>
      </c>
    </row>
    <row r="511" spans="1:5" x14ac:dyDescent="0.25">
      <c r="A511" s="15">
        <v>112099</v>
      </c>
      <c r="B511" s="13" t="s">
        <v>1562</v>
      </c>
      <c r="C511" s="22">
        <v>14014790</v>
      </c>
      <c r="D511" s="14">
        <v>232.49260000000007</v>
      </c>
      <c r="E511" s="16">
        <f t="shared" si="7"/>
        <v>60280.585274542056</v>
      </c>
    </row>
    <row r="512" spans="1:5" x14ac:dyDescent="0.25">
      <c r="A512" s="15">
        <v>112101</v>
      </c>
      <c r="B512" s="13" t="s">
        <v>1563</v>
      </c>
      <c r="C512" s="22">
        <v>29009441</v>
      </c>
      <c r="D512" s="14">
        <v>601.76059999999995</v>
      </c>
      <c r="E512" s="16">
        <f t="shared" si="7"/>
        <v>48207.611133065213</v>
      </c>
    </row>
    <row r="513" spans="1:5" x14ac:dyDescent="0.25">
      <c r="A513" s="15">
        <v>112102</v>
      </c>
      <c r="B513" s="13" t="s">
        <v>1564</v>
      </c>
      <c r="C513" s="22">
        <v>167949959</v>
      </c>
      <c r="D513" s="14">
        <v>2808.4299000000001</v>
      </c>
      <c r="E513" s="16">
        <f t="shared" si="7"/>
        <v>59802.083363376805</v>
      </c>
    </row>
    <row r="514" spans="1:5" x14ac:dyDescent="0.25">
      <c r="A514" s="15">
        <v>112103</v>
      </c>
      <c r="B514" s="13" t="s">
        <v>1565</v>
      </c>
      <c r="C514" s="22">
        <v>41628863</v>
      </c>
      <c r="D514" s="14">
        <v>737.9926999999999</v>
      </c>
      <c r="E514" s="16">
        <f t="shared" si="7"/>
        <v>56408.231409335087</v>
      </c>
    </row>
    <row r="515" spans="1:5" x14ac:dyDescent="0.25">
      <c r="A515" s="15">
        <v>113001</v>
      </c>
      <c r="B515" s="13" t="s">
        <v>1566</v>
      </c>
      <c r="C515" s="22">
        <v>22427410</v>
      </c>
      <c r="D515" s="14">
        <v>356.62290000000002</v>
      </c>
      <c r="E515" s="16">
        <f t="shared" ref="E515:E521" si="8">C515/D515</f>
        <v>62888.305826686956</v>
      </c>
    </row>
    <row r="516" spans="1:5" x14ac:dyDescent="0.25">
      <c r="A516" s="15">
        <v>114112</v>
      </c>
      <c r="B516" s="13" t="s">
        <v>1567</v>
      </c>
      <c r="C516" s="22">
        <v>14774134</v>
      </c>
      <c r="D516" s="14">
        <v>424.28399999999999</v>
      </c>
      <c r="E516" s="16">
        <f t="shared" si="8"/>
        <v>34821.331938041498</v>
      </c>
    </row>
    <row r="517" spans="1:5" x14ac:dyDescent="0.25">
      <c r="A517" s="15">
        <v>114113</v>
      </c>
      <c r="B517" s="13" t="s">
        <v>1568</v>
      </c>
      <c r="C517" s="22">
        <v>32444517</v>
      </c>
      <c r="D517" s="14">
        <v>654.30420000000004</v>
      </c>
      <c r="E517" s="16">
        <f t="shared" si="8"/>
        <v>49586.288762933204</v>
      </c>
    </row>
    <row r="518" spans="1:5" x14ac:dyDescent="0.25">
      <c r="A518" s="15">
        <v>114114</v>
      </c>
      <c r="B518" s="13" t="s">
        <v>1569</v>
      </c>
      <c r="C518" s="22">
        <v>81845642</v>
      </c>
      <c r="D518" s="14">
        <v>1428.2185000000004</v>
      </c>
      <c r="E518" s="16">
        <f t="shared" si="8"/>
        <v>57306.106873703131</v>
      </c>
    </row>
    <row r="519" spans="1:5" x14ac:dyDescent="0.25">
      <c r="A519" s="15">
        <v>114115</v>
      </c>
      <c r="B519" s="13" t="s">
        <v>1570</v>
      </c>
      <c r="C519" s="22">
        <v>33217217</v>
      </c>
      <c r="D519" s="14">
        <v>692.62810000000002</v>
      </c>
      <c r="E519" s="16">
        <f t="shared" si="8"/>
        <v>47958.228954326281</v>
      </c>
    </row>
    <row r="520" spans="1:5" x14ac:dyDescent="0.25">
      <c r="A520" s="15">
        <v>114116</v>
      </c>
      <c r="B520" s="13" t="s">
        <v>1571</v>
      </c>
      <c r="C520" s="22">
        <v>4506600</v>
      </c>
      <c r="D520" s="14">
        <v>83.293500000000009</v>
      </c>
      <c r="E520" s="16">
        <f t="shared" si="8"/>
        <v>54105.062219741034</v>
      </c>
    </row>
    <row r="521" spans="1:5" x14ac:dyDescent="0.25">
      <c r="A521" s="15">
        <v>115115</v>
      </c>
      <c r="B521" s="13" t="s">
        <v>1572</v>
      </c>
      <c r="C521" s="22">
        <v>4397270564</v>
      </c>
      <c r="D521" s="14">
        <v>20880.039699999987</v>
      </c>
      <c r="E521" s="16">
        <f t="shared" si="8"/>
        <v>210596.84881729429</v>
      </c>
    </row>
    <row r="523" spans="1:5" ht="15.75" thickBot="1" x14ac:dyDescent="0.3">
      <c r="A523" s="26" t="s">
        <v>1052</v>
      </c>
      <c r="B523" s="24"/>
      <c r="C523" s="28">
        <f>SUM(C1:C522)</f>
        <v>90712066117</v>
      </c>
      <c r="D523" s="29">
        <f>SUM(D1:D522)</f>
        <v>814516.34220000089</v>
      </c>
    </row>
    <row r="524" spans="1:5" ht="15.75" thickTop="1" x14ac:dyDescent="0.25"/>
    <row r="525" spans="1:5" ht="15.75" thickBot="1" x14ac:dyDescent="0.3">
      <c r="A525" s="26" t="s">
        <v>1048</v>
      </c>
      <c r="B525" s="24"/>
      <c r="C525" s="27"/>
      <c r="D525" s="18"/>
      <c r="E525" s="5">
        <f>C523/D523</f>
        <v>111369.24014561521</v>
      </c>
    </row>
    <row r="526" spans="1:5" ht="15.75" thickTop="1" x14ac:dyDescent="0.25">
      <c r="A526" s="11" t="s">
        <v>3</v>
      </c>
    </row>
    <row r="527" spans="1:5" x14ac:dyDescent="0.25">
      <c r="A527" s="11"/>
    </row>
    <row r="528" spans="1:5" x14ac:dyDescent="0.25">
      <c r="A528" s="11" t="s">
        <v>4</v>
      </c>
    </row>
    <row r="529" spans="1:1" x14ac:dyDescent="0.25">
      <c r="A529" s="11" t="s">
        <v>5</v>
      </c>
    </row>
    <row r="530" spans="1:1" x14ac:dyDescent="0.25">
      <c r="A530" s="11"/>
    </row>
    <row r="531" spans="1:1" x14ac:dyDescent="0.25">
      <c r="A531" s="11" t="s">
        <v>6</v>
      </c>
    </row>
    <row r="532" spans="1:1" x14ac:dyDescent="0.25">
      <c r="A532" s="11" t="s">
        <v>7</v>
      </c>
    </row>
    <row r="533" spans="1:1" x14ac:dyDescent="0.25">
      <c r="A533" s="11"/>
    </row>
    <row r="534" spans="1:1" x14ac:dyDescent="0.25">
      <c r="A534" s="11" t="s">
        <v>1046</v>
      </c>
    </row>
    <row r="535" spans="1:1" x14ac:dyDescent="0.25">
      <c r="A535" s="11" t="s">
        <v>1047</v>
      </c>
    </row>
  </sheetData>
  <pageMargins left="0.7" right="0.7" top="1.15625" bottom="0.75" header="0.3" footer="0.3"/>
  <pageSetup orientation="portrait" r:id="rId1"/>
  <headerFooter>
    <oddHeader xml:space="preserve">&amp;C&amp;"-,Bold"Missouri Department of Elementary and Secondary Education
School Finance 
Assessed Valuation per ADA for 2010-2011
</oddHeader>
    <oddFooter>&amp;L9-16-2011&amp;R&amp;P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6"/>
  <sheetViews>
    <sheetView view="pageLayout" zoomScaleNormal="100" workbookViewId="0">
      <selection activeCell="C9" sqref="C9:C10"/>
    </sheetView>
  </sheetViews>
  <sheetFormatPr defaultColWidth="8.85546875" defaultRowHeight="15" x14ac:dyDescent="0.25"/>
  <cols>
    <col min="1" max="1" width="9.140625" style="15" customWidth="1"/>
    <col min="2" max="2" width="28.85546875" style="13" bestFit="1" customWidth="1"/>
    <col min="3" max="3" width="13.85546875" style="17" bestFit="1" customWidth="1"/>
    <col min="4" max="4" width="12.140625" style="14" bestFit="1" customWidth="1"/>
    <col min="5" max="5" width="15.42578125" style="16" customWidth="1"/>
    <col min="6" max="16384" width="8.85546875" style="13"/>
  </cols>
  <sheetData>
    <row r="1" spans="1:5" s="1" customFormat="1" ht="45.75" thickBot="1" x14ac:dyDescent="0.3">
      <c r="A1" s="6" t="s">
        <v>0</v>
      </c>
      <c r="B1" s="7" t="s">
        <v>1</v>
      </c>
      <c r="C1" s="8" t="s">
        <v>1574</v>
      </c>
      <c r="D1" s="9" t="s">
        <v>1043</v>
      </c>
      <c r="E1" s="10" t="s">
        <v>2</v>
      </c>
    </row>
    <row r="2" spans="1:5" x14ac:dyDescent="0.25">
      <c r="A2" s="15">
        <v>1090</v>
      </c>
      <c r="B2" s="13" t="s">
        <v>1054</v>
      </c>
      <c r="C2" s="22">
        <v>13235696</v>
      </c>
      <c r="D2" s="14">
        <v>268.44320000000005</v>
      </c>
      <c r="E2" s="16">
        <f>C2/D2</f>
        <v>49305.387508418906</v>
      </c>
    </row>
    <row r="3" spans="1:5" x14ac:dyDescent="0.25">
      <c r="A3" s="15">
        <v>1091</v>
      </c>
      <c r="B3" s="13" t="s">
        <v>1055</v>
      </c>
      <c r="C3" s="22">
        <v>195361454</v>
      </c>
      <c r="D3" s="14">
        <v>2587.2564000000002</v>
      </c>
      <c r="E3" s="16">
        <f t="shared" ref="E3:E66" si="0">C3/D3</f>
        <v>75509.120008360973</v>
      </c>
    </row>
    <row r="4" spans="1:5" x14ac:dyDescent="0.25">
      <c r="A4" s="15">
        <v>1092</v>
      </c>
      <c r="B4" s="13" t="s">
        <v>1056</v>
      </c>
      <c r="C4" s="22">
        <v>11502632</v>
      </c>
      <c r="D4" s="14">
        <v>228.88820000000007</v>
      </c>
      <c r="E4" s="16">
        <f t="shared" si="0"/>
        <v>50254.36872674081</v>
      </c>
    </row>
    <row r="5" spans="1:5" x14ac:dyDescent="0.25">
      <c r="A5" s="15">
        <v>2089</v>
      </c>
      <c r="B5" s="13" t="s">
        <v>1057</v>
      </c>
      <c r="C5" s="22">
        <v>18050432</v>
      </c>
      <c r="D5" s="14">
        <v>334.15250000000009</v>
      </c>
      <c r="E5" s="16">
        <f t="shared" si="0"/>
        <v>54018.545424618984</v>
      </c>
    </row>
    <row r="6" spans="1:5" x14ac:dyDescent="0.25">
      <c r="A6" s="15">
        <v>2090</v>
      </c>
      <c r="B6" s="13" t="s">
        <v>1058</v>
      </c>
      <c r="C6" s="22">
        <v>16730140</v>
      </c>
      <c r="D6" s="14">
        <v>180.65770000000003</v>
      </c>
      <c r="E6" s="16">
        <f t="shared" si="0"/>
        <v>92606.847092595533</v>
      </c>
    </row>
    <row r="7" spans="1:5" x14ac:dyDescent="0.25">
      <c r="A7" s="15">
        <v>2097</v>
      </c>
      <c r="B7" s="13" t="s">
        <v>1059</v>
      </c>
      <c r="C7" s="22">
        <v>144714647</v>
      </c>
      <c r="D7" s="14">
        <v>2342.4539999999997</v>
      </c>
      <c r="E7" s="16">
        <f t="shared" si="0"/>
        <v>61779.077411979066</v>
      </c>
    </row>
    <row r="8" spans="1:5" x14ac:dyDescent="0.25">
      <c r="A8" s="15">
        <v>3031</v>
      </c>
      <c r="B8" s="13" t="s">
        <v>1060</v>
      </c>
      <c r="C8" s="22">
        <v>38976372</v>
      </c>
      <c r="D8" s="14">
        <v>313.86370000000005</v>
      </c>
      <c r="E8" s="16">
        <f t="shared" si="0"/>
        <v>124182.47793548599</v>
      </c>
    </row>
    <row r="9" spans="1:5" x14ac:dyDescent="0.25">
      <c r="A9" s="15">
        <v>3032</v>
      </c>
      <c r="B9" s="13" t="s">
        <v>1061</v>
      </c>
      <c r="C9" s="22">
        <v>40884439</v>
      </c>
      <c r="D9" s="14">
        <v>363.14709999999991</v>
      </c>
      <c r="E9" s="16">
        <f t="shared" si="0"/>
        <v>112583.6857846311</v>
      </c>
    </row>
    <row r="10" spans="1:5" x14ac:dyDescent="0.25">
      <c r="A10" s="15">
        <v>3033</v>
      </c>
      <c r="B10" s="13" t="s">
        <v>1062</v>
      </c>
      <c r="C10" s="22">
        <v>16278514</v>
      </c>
      <c r="D10" s="14">
        <v>158.01139999999998</v>
      </c>
      <c r="E10" s="16">
        <f t="shared" si="0"/>
        <v>103021.13644964858</v>
      </c>
    </row>
    <row r="11" spans="1:5" x14ac:dyDescent="0.25">
      <c r="A11" s="15">
        <v>4106</v>
      </c>
      <c r="B11" s="13" t="s">
        <v>1063</v>
      </c>
      <c r="C11" s="22">
        <v>25954681</v>
      </c>
      <c r="D11" s="14">
        <v>301.29680000000002</v>
      </c>
      <c r="E11" s="16">
        <f t="shared" si="0"/>
        <v>86143.234843516417</v>
      </c>
    </row>
    <row r="12" spans="1:5" x14ac:dyDescent="0.25">
      <c r="A12" s="15">
        <v>4109</v>
      </c>
      <c r="B12" s="13" t="s">
        <v>1064</v>
      </c>
      <c r="C12" s="22">
        <v>38905209</v>
      </c>
      <c r="D12" s="14">
        <v>620.32460000000003</v>
      </c>
      <c r="E12" s="16">
        <f t="shared" si="0"/>
        <v>62717.501450047275</v>
      </c>
    </row>
    <row r="13" spans="1:5" x14ac:dyDescent="0.25">
      <c r="A13" s="15">
        <v>4110</v>
      </c>
      <c r="B13" s="13" t="s">
        <v>1065</v>
      </c>
      <c r="C13" s="22">
        <v>180173804</v>
      </c>
      <c r="D13" s="14">
        <v>2265.0211000000008</v>
      </c>
      <c r="E13" s="16">
        <f t="shared" si="0"/>
        <v>79546.192306994373</v>
      </c>
    </row>
    <row r="14" spans="1:5" x14ac:dyDescent="0.25">
      <c r="A14" s="15">
        <v>5120</v>
      </c>
      <c r="B14" s="13" t="s">
        <v>1066</v>
      </c>
      <c r="C14" s="22">
        <v>17424286</v>
      </c>
      <c r="D14" s="14">
        <v>451.12380000000007</v>
      </c>
      <c r="E14" s="16">
        <f t="shared" si="0"/>
        <v>38624.178108093605</v>
      </c>
    </row>
    <row r="15" spans="1:5" x14ac:dyDescent="0.25">
      <c r="A15" s="15">
        <v>5121</v>
      </c>
      <c r="B15" s="13" t="s">
        <v>1067</v>
      </c>
      <c r="C15" s="22">
        <v>32642688</v>
      </c>
      <c r="D15" s="14">
        <v>797.07280000000014</v>
      </c>
      <c r="E15" s="16">
        <f t="shared" si="0"/>
        <v>40953.207787293701</v>
      </c>
    </row>
    <row r="16" spans="1:5" x14ac:dyDescent="0.25">
      <c r="A16" s="15">
        <v>5122</v>
      </c>
      <c r="B16" s="13" t="s">
        <v>1068</v>
      </c>
      <c r="C16" s="22">
        <v>12572567</v>
      </c>
      <c r="D16" s="14">
        <v>341.17620000000005</v>
      </c>
      <c r="E16" s="16">
        <f t="shared" si="0"/>
        <v>36850.656640175948</v>
      </c>
    </row>
    <row r="17" spans="1:5" x14ac:dyDescent="0.25">
      <c r="A17" s="15">
        <v>5123</v>
      </c>
      <c r="B17" s="13" t="s">
        <v>1069</v>
      </c>
      <c r="C17" s="22">
        <v>151517821</v>
      </c>
      <c r="D17" s="14">
        <v>1745.2815000000001</v>
      </c>
      <c r="E17" s="16">
        <f t="shared" si="0"/>
        <v>86815.691909872417</v>
      </c>
    </row>
    <row r="18" spans="1:5" x14ac:dyDescent="0.25">
      <c r="A18" s="15">
        <v>5124</v>
      </c>
      <c r="B18" s="13" t="s">
        <v>1070</v>
      </c>
      <c r="C18" s="22">
        <v>24783444</v>
      </c>
      <c r="D18" s="14">
        <v>664.54260000000011</v>
      </c>
      <c r="E18" s="16">
        <f t="shared" si="0"/>
        <v>37293.988376365931</v>
      </c>
    </row>
    <row r="19" spans="1:5" x14ac:dyDescent="0.25">
      <c r="A19" s="15">
        <v>5127</v>
      </c>
      <c r="B19" s="13" t="s">
        <v>1071</v>
      </c>
      <c r="C19" s="22">
        <v>56232939</v>
      </c>
      <c r="D19" s="14">
        <v>217.0668</v>
      </c>
      <c r="E19" s="16">
        <f t="shared" si="0"/>
        <v>259058.22078733367</v>
      </c>
    </row>
    <row r="20" spans="1:5" x14ac:dyDescent="0.25">
      <c r="A20" s="15">
        <v>5128</v>
      </c>
      <c r="B20" s="13" t="s">
        <v>1072</v>
      </c>
      <c r="C20" s="22">
        <v>158597995</v>
      </c>
      <c r="D20" s="14">
        <v>2127.895</v>
      </c>
      <c r="E20" s="16">
        <f t="shared" si="0"/>
        <v>74532.810594507711</v>
      </c>
    </row>
    <row r="21" spans="1:5" x14ac:dyDescent="0.25">
      <c r="A21" s="15">
        <v>6101</v>
      </c>
      <c r="B21" s="13" t="s">
        <v>1073</v>
      </c>
      <c r="C21" s="22">
        <v>28296098</v>
      </c>
      <c r="D21" s="14">
        <v>492.89890000000008</v>
      </c>
      <c r="E21" s="16">
        <f t="shared" si="0"/>
        <v>57407.508923229478</v>
      </c>
    </row>
    <row r="22" spans="1:5" x14ac:dyDescent="0.25">
      <c r="A22" s="15">
        <v>6103</v>
      </c>
      <c r="B22" s="13" t="s">
        <v>1074</v>
      </c>
      <c r="C22" s="22">
        <v>16523499</v>
      </c>
      <c r="D22" s="14">
        <v>237.01130000000001</v>
      </c>
      <c r="E22" s="16">
        <f t="shared" si="0"/>
        <v>69716.08104761249</v>
      </c>
    </row>
    <row r="23" spans="1:5" x14ac:dyDescent="0.25">
      <c r="A23" s="15">
        <v>6104</v>
      </c>
      <c r="B23" s="13" t="s">
        <v>1075</v>
      </c>
      <c r="C23" s="22">
        <v>110544358</v>
      </c>
      <c r="D23" s="14">
        <v>1256.3043</v>
      </c>
      <c r="E23" s="16">
        <f t="shared" si="0"/>
        <v>87991.705512748784</v>
      </c>
    </row>
    <row r="24" spans="1:5" x14ac:dyDescent="0.25">
      <c r="A24" s="15">
        <v>7121</v>
      </c>
      <c r="B24" s="13" t="s">
        <v>1076</v>
      </c>
      <c r="C24" s="22">
        <v>13354896</v>
      </c>
      <c r="D24" s="14">
        <v>218.49790000000002</v>
      </c>
      <c r="E24" s="16">
        <f t="shared" si="0"/>
        <v>61121.392928719222</v>
      </c>
    </row>
    <row r="25" spans="1:5" x14ac:dyDescent="0.25">
      <c r="A25" s="15">
        <v>7122</v>
      </c>
      <c r="B25" s="13" t="s">
        <v>1077</v>
      </c>
      <c r="C25" s="22">
        <v>8965417</v>
      </c>
      <c r="D25" s="14">
        <v>132.78899999999999</v>
      </c>
      <c r="E25" s="16">
        <f t="shared" si="0"/>
        <v>67516.262642236936</v>
      </c>
    </row>
    <row r="26" spans="1:5" x14ac:dyDescent="0.25">
      <c r="A26" s="15">
        <v>7123</v>
      </c>
      <c r="B26" s="13" t="s">
        <v>1078</v>
      </c>
      <c r="C26" s="22">
        <v>36169207</v>
      </c>
      <c r="D26" s="14">
        <v>744.26020000000017</v>
      </c>
      <c r="E26" s="16">
        <f t="shared" si="0"/>
        <v>48597.529466173241</v>
      </c>
    </row>
    <row r="27" spans="1:5" x14ac:dyDescent="0.25">
      <c r="A27" s="15">
        <v>7124</v>
      </c>
      <c r="B27" s="13" t="s">
        <v>1079</v>
      </c>
      <c r="C27" s="22">
        <v>20432173</v>
      </c>
      <c r="D27" s="14">
        <v>380.41299999999995</v>
      </c>
      <c r="E27" s="16">
        <f t="shared" si="0"/>
        <v>53710.501481284824</v>
      </c>
    </row>
    <row r="28" spans="1:5" x14ac:dyDescent="0.25">
      <c r="A28" s="15">
        <v>7125</v>
      </c>
      <c r="B28" s="13" t="s">
        <v>1080</v>
      </c>
      <c r="C28" s="22">
        <v>7351266</v>
      </c>
      <c r="D28" s="14">
        <v>143.63280000000003</v>
      </c>
      <c r="E28" s="16">
        <f t="shared" si="0"/>
        <v>51180.96980633949</v>
      </c>
    </row>
    <row r="29" spans="1:5" x14ac:dyDescent="0.25">
      <c r="A29" s="15">
        <v>7126</v>
      </c>
      <c r="B29" s="13" t="s">
        <v>1081</v>
      </c>
      <c r="C29" s="22">
        <v>6229790</v>
      </c>
      <c r="D29" s="14">
        <v>76.374300000000005</v>
      </c>
      <c r="E29" s="16">
        <f t="shared" si="0"/>
        <v>81569.192778198951</v>
      </c>
    </row>
    <row r="30" spans="1:5" x14ac:dyDescent="0.25">
      <c r="A30" s="15">
        <v>7129</v>
      </c>
      <c r="B30" s="13" t="s">
        <v>1082</v>
      </c>
      <c r="C30" s="22">
        <v>69456087</v>
      </c>
      <c r="D30" s="14">
        <v>968.58089999999993</v>
      </c>
      <c r="E30" s="16">
        <f t="shared" si="0"/>
        <v>71709.123109902343</v>
      </c>
    </row>
    <row r="31" spans="1:5" x14ac:dyDescent="0.25">
      <c r="A31" s="15">
        <v>8106</v>
      </c>
      <c r="B31" s="13" t="s">
        <v>1083</v>
      </c>
      <c r="C31" s="22">
        <v>38142552</v>
      </c>
      <c r="D31" s="14">
        <v>484.20900000000006</v>
      </c>
      <c r="E31" s="16">
        <f t="shared" si="0"/>
        <v>78772.910045042518</v>
      </c>
    </row>
    <row r="32" spans="1:5" x14ac:dyDescent="0.25">
      <c r="A32" s="15">
        <v>8107</v>
      </c>
      <c r="B32" s="13" t="s">
        <v>1084</v>
      </c>
      <c r="C32" s="22">
        <v>135350736</v>
      </c>
      <c r="D32" s="14">
        <v>1204.1596999999999</v>
      </c>
      <c r="E32" s="16">
        <f t="shared" si="0"/>
        <v>112402.64559592886</v>
      </c>
    </row>
    <row r="33" spans="1:5" x14ac:dyDescent="0.25">
      <c r="A33" s="15">
        <v>8111</v>
      </c>
      <c r="B33" s="13" t="s">
        <v>1085</v>
      </c>
      <c r="C33" s="22">
        <v>47995379</v>
      </c>
      <c r="D33" s="14">
        <v>718.97770000000003</v>
      </c>
      <c r="E33" s="16">
        <f t="shared" si="0"/>
        <v>66755.03148428665</v>
      </c>
    </row>
    <row r="34" spans="1:5" x14ac:dyDescent="0.25">
      <c r="A34" s="15">
        <v>9077</v>
      </c>
      <c r="B34" s="13" t="s">
        <v>1086</v>
      </c>
      <c r="C34" s="22">
        <v>30236008</v>
      </c>
      <c r="D34" s="14">
        <v>530.59609999999998</v>
      </c>
      <c r="E34" s="16">
        <f t="shared" si="0"/>
        <v>56984.979723748445</v>
      </c>
    </row>
    <row r="35" spans="1:5" x14ac:dyDescent="0.25">
      <c r="A35" s="15">
        <v>9078</v>
      </c>
      <c r="B35" s="13" t="s">
        <v>1087</v>
      </c>
      <c r="C35" s="22">
        <v>7351035</v>
      </c>
      <c r="D35" s="14">
        <v>193.46190000000001</v>
      </c>
      <c r="E35" s="16">
        <f t="shared" si="0"/>
        <v>37997.326605393617</v>
      </c>
    </row>
    <row r="36" spans="1:5" x14ac:dyDescent="0.25">
      <c r="A36" s="15">
        <v>9079</v>
      </c>
      <c r="B36" s="13" t="s">
        <v>1088</v>
      </c>
      <c r="C36" s="22">
        <v>10871080</v>
      </c>
      <c r="D36" s="14">
        <v>227.6182</v>
      </c>
      <c r="E36" s="16">
        <f t="shared" si="0"/>
        <v>47760.152747012318</v>
      </c>
    </row>
    <row r="37" spans="1:5" x14ac:dyDescent="0.25">
      <c r="A37" s="15">
        <v>9080</v>
      </c>
      <c r="B37" s="13" t="s">
        <v>1089</v>
      </c>
      <c r="C37" s="22">
        <v>46038415</v>
      </c>
      <c r="D37" s="14">
        <v>889.50109999999995</v>
      </c>
      <c r="E37" s="16">
        <f t="shared" si="0"/>
        <v>51757.569495979267</v>
      </c>
    </row>
    <row r="38" spans="1:5" x14ac:dyDescent="0.25">
      <c r="A38" s="15">
        <v>10087</v>
      </c>
      <c r="B38" s="13" t="s">
        <v>1090</v>
      </c>
      <c r="C38" s="22">
        <v>100361945</v>
      </c>
      <c r="D38" s="14">
        <v>1384.1803</v>
      </c>
      <c r="E38" s="16">
        <f t="shared" si="0"/>
        <v>72506.410472681921</v>
      </c>
    </row>
    <row r="39" spans="1:5" x14ac:dyDescent="0.25">
      <c r="A39" s="15">
        <v>10089</v>
      </c>
      <c r="B39" s="13" t="s">
        <v>1091</v>
      </c>
      <c r="C39" s="22">
        <v>66891719</v>
      </c>
      <c r="D39" s="14">
        <v>1332.4256000000003</v>
      </c>
      <c r="E39" s="16">
        <f t="shared" si="0"/>
        <v>50202.96743022649</v>
      </c>
    </row>
    <row r="40" spans="1:5" x14ac:dyDescent="0.25">
      <c r="A40" s="15">
        <v>10090</v>
      </c>
      <c r="B40" s="13" t="s">
        <v>1092</v>
      </c>
      <c r="C40" s="22">
        <v>30298096</v>
      </c>
      <c r="D40" s="14">
        <v>432.81710000000004</v>
      </c>
      <c r="E40" s="16">
        <f t="shared" si="0"/>
        <v>70002.077089837709</v>
      </c>
    </row>
    <row r="41" spans="1:5" x14ac:dyDescent="0.25">
      <c r="A41" s="15">
        <v>10091</v>
      </c>
      <c r="B41" s="13" t="s">
        <v>1093</v>
      </c>
      <c r="C41" s="22">
        <v>82406090</v>
      </c>
      <c r="D41" s="14">
        <v>1319.2416000000001</v>
      </c>
      <c r="E41" s="16">
        <f t="shared" si="0"/>
        <v>62464.744895855314</v>
      </c>
    </row>
    <row r="42" spans="1:5" x14ac:dyDescent="0.25">
      <c r="A42" s="15">
        <v>10092</v>
      </c>
      <c r="B42" s="13" t="s">
        <v>1094</v>
      </c>
      <c r="C42" s="22">
        <v>32880998</v>
      </c>
      <c r="D42" s="14">
        <v>536.82170000000008</v>
      </c>
      <c r="E42" s="16">
        <f t="shared" si="0"/>
        <v>61251.245990987314</v>
      </c>
    </row>
    <row r="43" spans="1:5" x14ac:dyDescent="0.25">
      <c r="A43" s="15">
        <v>10093</v>
      </c>
      <c r="B43" s="13" t="s">
        <v>1095</v>
      </c>
      <c r="C43" s="22">
        <v>1992198344</v>
      </c>
      <c r="D43" s="14">
        <v>16439.461500000009</v>
      </c>
      <c r="E43" s="16">
        <f t="shared" si="0"/>
        <v>121183.91736858284</v>
      </c>
    </row>
    <row r="44" spans="1:5" x14ac:dyDescent="0.25">
      <c r="A44" s="15">
        <v>11076</v>
      </c>
      <c r="B44" s="13" t="s">
        <v>1096</v>
      </c>
      <c r="C44" s="22">
        <v>49391224</v>
      </c>
      <c r="D44" s="14">
        <v>718.56090000000006</v>
      </c>
      <c r="E44" s="16">
        <f t="shared" si="0"/>
        <v>68736.308919675415</v>
      </c>
    </row>
    <row r="45" spans="1:5" x14ac:dyDescent="0.25">
      <c r="A45" s="15">
        <v>11078</v>
      </c>
      <c r="B45" s="13" t="s">
        <v>1097</v>
      </c>
      <c r="C45" s="22">
        <v>54486287</v>
      </c>
      <c r="D45" s="14">
        <v>691.03760000000011</v>
      </c>
      <c r="E45" s="16">
        <f t="shared" si="0"/>
        <v>78847.06563000333</v>
      </c>
    </row>
    <row r="46" spans="1:5" x14ac:dyDescent="0.25">
      <c r="A46" s="15">
        <v>11079</v>
      </c>
      <c r="B46" s="13" t="s">
        <v>1098</v>
      </c>
      <c r="C46" s="22">
        <v>18811822</v>
      </c>
      <c r="D46" s="14">
        <v>322.41110000000003</v>
      </c>
      <c r="E46" s="16">
        <f t="shared" si="0"/>
        <v>58347.314965272592</v>
      </c>
    </row>
    <row r="47" spans="1:5" x14ac:dyDescent="0.25">
      <c r="A47" s="15">
        <v>11082</v>
      </c>
      <c r="B47" s="13" t="s">
        <v>1099</v>
      </c>
      <c r="C47" s="22">
        <v>986821187</v>
      </c>
      <c r="D47" s="14">
        <v>11195.522699999998</v>
      </c>
      <c r="E47" s="16">
        <f t="shared" si="0"/>
        <v>88144.271012911282</v>
      </c>
    </row>
    <row r="48" spans="1:5" x14ac:dyDescent="0.25">
      <c r="A48" s="15">
        <v>12108</v>
      </c>
      <c r="B48" s="13" t="s">
        <v>1100</v>
      </c>
      <c r="C48" s="22">
        <v>30671527</v>
      </c>
      <c r="D48" s="14">
        <v>627.45400000000006</v>
      </c>
      <c r="E48" s="16">
        <f t="shared" si="0"/>
        <v>48882.510909166245</v>
      </c>
    </row>
    <row r="49" spans="1:5" x14ac:dyDescent="0.25">
      <c r="A49" s="15">
        <v>12109</v>
      </c>
      <c r="B49" s="13" t="s">
        <v>1101</v>
      </c>
      <c r="C49" s="22">
        <v>376055906</v>
      </c>
      <c r="D49" s="14">
        <v>4725.7606999999998</v>
      </c>
      <c r="E49" s="16">
        <f t="shared" si="0"/>
        <v>79575.740261245141</v>
      </c>
    </row>
    <row r="50" spans="1:5" x14ac:dyDescent="0.25">
      <c r="A50" s="15">
        <v>12110</v>
      </c>
      <c r="B50" s="13" t="s">
        <v>1102</v>
      </c>
      <c r="C50" s="22">
        <v>54262753</v>
      </c>
      <c r="D50" s="14">
        <v>942.38049999999998</v>
      </c>
      <c r="E50" s="16">
        <f t="shared" si="0"/>
        <v>57580.513391353066</v>
      </c>
    </row>
    <row r="51" spans="1:5" x14ac:dyDescent="0.25">
      <c r="A51" s="15">
        <v>13054</v>
      </c>
      <c r="B51" s="13" t="s">
        <v>1103</v>
      </c>
      <c r="C51" s="22">
        <v>6228522</v>
      </c>
      <c r="D51" s="14">
        <v>87.937000000000012</v>
      </c>
      <c r="E51" s="16">
        <f t="shared" si="0"/>
        <v>70829.366478274213</v>
      </c>
    </row>
    <row r="52" spans="1:5" x14ac:dyDescent="0.25">
      <c r="A52" s="15">
        <v>13055</v>
      </c>
      <c r="B52" s="13" t="s">
        <v>1104</v>
      </c>
      <c r="C52" s="22">
        <v>32791619</v>
      </c>
      <c r="D52" s="14">
        <v>729.16090000000008</v>
      </c>
      <c r="E52" s="16">
        <f t="shared" si="0"/>
        <v>44971.718862050882</v>
      </c>
    </row>
    <row r="53" spans="1:5" x14ac:dyDescent="0.25">
      <c r="A53" s="15">
        <v>13057</v>
      </c>
      <c r="B53" s="13" t="s">
        <v>1105</v>
      </c>
      <c r="C53" s="22">
        <v>3429190</v>
      </c>
      <c r="D53" s="14">
        <v>56.159400000000005</v>
      </c>
      <c r="E53" s="16">
        <f t="shared" si="0"/>
        <v>61061.727867462963</v>
      </c>
    </row>
    <row r="54" spans="1:5" x14ac:dyDescent="0.25">
      <c r="A54" s="15">
        <v>13058</v>
      </c>
      <c r="B54" s="13" t="s">
        <v>1106</v>
      </c>
      <c r="C54" s="22">
        <v>3583100</v>
      </c>
      <c r="D54" s="14">
        <v>46.148400000000009</v>
      </c>
      <c r="E54" s="16">
        <f t="shared" si="0"/>
        <v>77642.995206767722</v>
      </c>
    </row>
    <row r="55" spans="1:5" x14ac:dyDescent="0.25">
      <c r="A55" s="15">
        <v>13059</v>
      </c>
      <c r="B55" s="13" t="s">
        <v>1107</v>
      </c>
      <c r="C55" s="22">
        <v>21422064</v>
      </c>
      <c r="D55" s="14">
        <v>388.94050000000004</v>
      </c>
      <c r="E55" s="16">
        <f t="shared" si="0"/>
        <v>55077.997791435962</v>
      </c>
    </row>
    <row r="56" spans="1:5" x14ac:dyDescent="0.25">
      <c r="A56" s="15">
        <v>13060</v>
      </c>
      <c r="B56" s="13" t="s">
        <v>1108</v>
      </c>
      <c r="C56" s="22">
        <v>4163620</v>
      </c>
      <c r="D56" s="14">
        <v>57.738399999999999</v>
      </c>
      <c r="E56" s="16">
        <f t="shared" si="0"/>
        <v>72111.800811937981</v>
      </c>
    </row>
    <row r="57" spans="1:5" x14ac:dyDescent="0.25">
      <c r="A57" s="15">
        <v>13061</v>
      </c>
      <c r="B57" s="13" t="s">
        <v>1109</v>
      </c>
      <c r="C57" s="22">
        <v>15960715</v>
      </c>
      <c r="D57" s="14">
        <v>294.20030000000008</v>
      </c>
      <c r="E57" s="16">
        <f t="shared" si="0"/>
        <v>54251.185331898014</v>
      </c>
    </row>
    <row r="58" spans="1:5" x14ac:dyDescent="0.25">
      <c r="A58" s="15">
        <v>13062</v>
      </c>
      <c r="B58" s="13" t="s">
        <v>1110</v>
      </c>
      <c r="C58" s="22">
        <v>3672920</v>
      </c>
      <c r="D58" s="14">
        <v>48.601100000000002</v>
      </c>
      <c r="E58" s="16">
        <f t="shared" si="0"/>
        <v>75572.775101798106</v>
      </c>
    </row>
    <row r="59" spans="1:5" x14ac:dyDescent="0.25">
      <c r="A59" s="15">
        <v>14126</v>
      </c>
      <c r="B59" s="13" t="s">
        <v>1111</v>
      </c>
      <c r="C59" s="22">
        <v>79542185</v>
      </c>
      <c r="D59" s="14">
        <v>1180.3892000000001</v>
      </c>
      <c r="E59" s="16">
        <f t="shared" si="0"/>
        <v>67386.405263619832</v>
      </c>
    </row>
    <row r="60" spans="1:5" x14ac:dyDescent="0.25">
      <c r="A60" s="15">
        <v>14127</v>
      </c>
      <c r="B60" s="13" t="s">
        <v>1112</v>
      </c>
      <c r="C60" s="22">
        <v>40945392</v>
      </c>
      <c r="D60" s="14">
        <v>702.63030000000003</v>
      </c>
      <c r="E60" s="16">
        <f t="shared" si="0"/>
        <v>58274.446746745758</v>
      </c>
    </row>
    <row r="61" spans="1:5" x14ac:dyDescent="0.25">
      <c r="A61" s="15">
        <v>14129</v>
      </c>
      <c r="B61" s="13" t="s">
        <v>1113</v>
      </c>
      <c r="C61" s="22">
        <v>165916530</v>
      </c>
      <c r="D61" s="14">
        <v>2098.1799000000001</v>
      </c>
      <c r="E61" s="16">
        <f t="shared" si="0"/>
        <v>79076.408081118308</v>
      </c>
    </row>
    <row r="62" spans="1:5" x14ac:dyDescent="0.25">
      <c r="A62" s="15">
        <v>14130</v>
      </c>
      <c r="B62" s="13" t="s">
        <v>1114</v>
      </c>
      <c r="C62" s="22">
        <v>272036398</v>
      </c>
      <c r="D62" s="14">
        <v>800.85130000000015</v>
      </c>
      <c r="E62" s="16">
        <f t="shared" si="0"/>
        <v>339684.03123026702</v>
      </c>
    </row>
    <row r="63" spans="1:5" x14ac:dyDescent="0.25">
      <c r="A63" s="15">
        <v>15001</v>
      </c>
      <c r="B63" s="13" t="s">
        <v>1115</v>
      </c>
      <c r="C63" s="22">
        <v>22319202</v>
      </c>
      <c r="D63" s="14">
        <v>462.42610000000008</v>
      </c>
      <c r="E63" s="16">
        <f t="shared" si="0"/>
        <v>48265.446089656267</v>
      </c>
    </row>
    <row r="64" spans="1:5" x14ac:dyDescent="0.25">
      <c r="A64" s="15">
        <v>15002</v>
      </c>
      <c r="B64" s="13" t="s">
        <v>1116</v>
      </c>
      <c r="C64" s="22">
        <v>1048519234</v>
      </c>
      <c r="D64" s="14">
        <v>3920.3323000000005</v>
      </c>
      <c r="E64" s="16">
        <f t="shared" si="0"/>
        <v>267456.7240129108</v>
      </c>
    </row>
    <row r="65" spans="1:5" x14ac:dyDescent="0.25">
      <c r="A65" s="15">
        <v>15003</v>
      </c>
      <c r="B65" s="13" t="s">
        <v>1117</v>
      </c>
      <c r="C65" s="22">
        <v>83207555</v>
      </c>
      <c r="D65" s="14">
        <v>217.24289999999996</v>
      </c>
      <c r="E65" s="16">
        <f t="shared" si="0"/>
        <v>383016.22285469406</v>
      </c>
    </row>
    <row r="66" spans="1:5" x14ac:dyDescent="0.25">
      <c r="A66" s="15">
        <v>15004</v>
      </c>
      <c r="B66" s="13" t="s">
        <v>1118</v>
      </c>
      <c r="C66" s="22">
        <v>28960715</v>
      </c>
      <c r="D66" s="14">
        <v>301.74140000000006</v>
      </c>
      <c r="E66" s="16">
        <f t="shared" si="0"/>
        <v>95978.592927586316</v>
      </c>
    </row>
    <row r="67" spans="1:5" x14ac:dyDescent="0.25">
      <c r="A67" s="15">
        <v>16090</v>
      </c>
      <c r="B67" s="13" t="s">
        <v>1119</v>
      </c>
      <c r="C67" s="22">
        <v>381347993</v>
      </c>
      <c r="D67" s="14">
        <v>4276.0059000000001</v>
      </c>
      <c r="E67" s="16">
        <f t="shared" ref="E67:E130" si="1">C67/D67</f>
        <v>89183.224232688735</v>
      </c>
    </row>
    <row r="68" spans="1:5" x14ac:dyDescent="0.25">
      <c r="A68" s="15">
        <v>16092</v>
      </c>
      <c r="B68" s="13" t="s">
        <v>1120</v>
      </c>
      <c r="C68" s="22">
        <v>19712614</v>
      </c>
      <c r="D68" s="14">
        <v>312.11599999999999</v>
      </c>
      <c r="E68" s="16">
        <f t="shared" si="1"/>
        <v>63157.973317612683</v>
      </c>
    </row>
    <row r="69" spans="1:5" x14ac:dyDescent="0.25">
      <c r="A69" s="15">
        <v>16094</v>
      </c>
      <c r="B69" s="13" t="s">
        <v>1121</v>
      </c>
      <c r="C69" s="22">
        <v>21765328</v>
      </c>
      <c r="D69" s="14">
        <v>328.51690000000002</v>
      </c>
      <c r="E69" s="16">
        <f t="shared" si="1"/>
        <v>66253.297775548228</v>
      </c>
    </row>
    <row r="70" spans="1:5" x14ac:dyDescent="0.25">
      <c r="A70" s="15">
        <v>16096</v>
      </c>
      <c r="B70" s="13" t="s">
        <v>1122</v>
      </c>
      <c r="C70" s="22">
        <v>559365499</v>
      </c>
      <c r="D70" s="14">
        <v>3559.3595000000005</v>
      </c>
      <c r="E70" s="16">
        <f t="shared" si="1"/>
        <v>157153.41453989121</v>
      </c>
    </row>
    <row r="71" spans="1:5" x14ac:dyDescent="0.25">
      <c r="A71" s="15">
        <v>16097</v>
      </c>
      <c r="B71" s="13" t="s">
        <v>1123</v>
      </c>
      <c r="C71" s="22">
        <v>47080629</v>
      </c>
      <c r="D71" s="14">
        <v>385.82510000000008</v>
      </c>
      <c r="E71" s="16">
        <f t="shared" si="1"/>
        <v>122025.83243029028</v>
      </c>
    </row>
    <row r="72" spans="1:5" x14ac:dyDescent="0.25">
      <c r="A72" s="15">
        <v>17121</v>
      </c>
      <c r="B72" s="13" t="s">
        <v>1124</v>
      </c>
      <c r="C72" s="22">
        <v>7571521</v>
      </c>
      <c r="D72" s="14">
        <v>153.32299999999998</v>
      </c>
      <c r="E72" s="16">
        <f t="shared" si="1"/>
        <v>49382.812754772611</v>
      </c>
    </row>
    <row r="73" spans="1:5" x14ac:dyDescent="0.25">
      <c r="A73" s="15">
        <v>17122</v>
      </c>
      <c r="B73" s="13" t="s">
        <v>1125</v>
      </c>
      <c r="C73" s="22">
        <v>9679504</v>
      </c>
      <c r="D73" s="14">
        <v>172.06720000000001</v>
      </c>
      <c r="E73" s="16">
        <f t="shared" si="1"/>
        <v>56254.207658403226</v>
      </c>
    </row>
    <row r="74" spans="1:5" x14ac:dyDescent="0.25">
      <c r="A74" s="15">
        <v>17124</v>
      </c>
      <c r="B74" s="13" t="s">
        <v>1126</v>
      </c>
      <c r="C74" s="22">
        <v>7094875</v>
      </c>
      <c r="D74" s="14">
        <v>105.74969999999999</v>
      </c>
      <c r="E74" s="16">
        <f t="shared" si="1"/>
        <v>67091.206878128272</v>
      </c>
    </row>
    <row r="75" spans="1:5" x14ac:dyDescent="0.25">
      <c r="A75" s="15">
        <v>17125</v>
      </c>
      <c r="B75" s="13" t="s">
        <v>1127</v>
      </c>
      <c r="C75" s="22">
        <v>57018990</v>
      </c>
      <c r="D75" s="14">
        <v>926.7639999999999</v>
      </c>
      <c r="E75" s="16">
        <f t="shared" si="1"/>
        <v>61524.821853244197</v>
      </c>
    </row>
    <row r="76" spans="1:5" x14ac:dyDescent="0.25">
      <c r="A76" s="15">
        <v>17126</v>
      </c>
      <c r="B76" s="13" t="s">
        <v>1128</v>
      </c>
      <c r="C76" s="22">
        <v>13309578</v>
      </c>
      <c r="D76" s="14">
        <v>189.77939999999998</v>
      </c>
      <c r="E76" s="16">
        <f t="shared" si="1"/>
        <v>70131.837280547843</v>
      </c>
    </row>
    <row r="77" spans="1:5" x14ac:dyDescent="0.25">
      <c r="A77" s="15">
        <v>18047</v>
      </c>
      <c r="B77" s="13" t="s">
        <v>1129</v>
      </c>
      <c r="C77" s="22">
        <v>28276609</v>
      </c>
      <c r="D77" s="14">
        <v>722.01330000000007</v>
      </c>
      <c r="E77" s="16">
        <f t="shared" si="1"/>
        <v>39163.556959407804</v>
      </c>
    </row>
    <row r="78" spans="1:5" x14ac:dyDescent="0.25">
      <c r="A78" s="15">
        <v>18050</v>
      </c>
      <c r="B78" s="13" t="s">
        <v>1130</v>
      </c>
      <c r="C78" s="22">
        <v>27658127</v>
      </c>
      <c r="D78" s="14">
        <v>473.34039999999999</v>
      </c>
      <c r="E78" s="16">
        <f t="shared" si="1"/>
        <v>58431.790314116435</v>
      </c>
    </row>
    <row r="79" spans="1:5" x14ac:dyDescent="0.25">
      <c r="A79" s="15">
        <v>19139</v>
      </c>
      <c r="B79" s="13" t="s">
        <v>1131</v>
      </c>
      <c r="C79" s="22">
        <v>31197659</v>
      </c>
      <c r="D79" s="14">
        <v>554.82420000000002</v>
      </c>
      <c r="E79" s="16">
        <f t="shared" si="1"/>
        <v>56229.809370247363</v>
      </c>
    </row>
    <row r="80" spans="1:5" x14ac:dyDescent="0.25">
      <c r="A80" s="15">
        <v>19140</v>
      </c>
      <c r="B80" s="13" t="s">
        <v>1132</v>
      </c>
      <c r="C80" s="22">
        <v>11618545</v>
      </c>
      <c r="D80" s="14">
        <v>154.87900000000002</v>
      </c>
      <c r="E80" s="16">
        <f t="shared" si="1"/>
        <v>75016.916431536869</v>
      </c>
    </row>
    <row r="81" spans="1:5" x14ac:dyDescent="0.25">
      <c r="A81" s="15">
        <v>19142</v>
      </c>
      <c r="B81" s="13" t="s">
        <v>1133</v>
      </c>
      <c r="C81" s="22">
        <v>455908388</v>
      </c>
      <c r="D81" s="14">
        <v>5740.6349999999984</v>
      </c>
      <c r="E81" s="16">
        <f t="shared" si="1"/>
        <v>79417.762669112417</v>
      </c>
    </row>
    <row r="82" spans="1:5" x14ac:dyDescent="0.25">
      <c r="A82" s="15">
        <v>19144</v>
      </c>
      <c r="B82" s="13" t="s">
        <v>1134</v>
      </c>
      <c r="C82" s="22">
        <v>49008160</v>
      </c>
      <c r="D82" s="14">
        <v>867.18200000000013</v>
      </c>
      <c r="E82" s="16">
        <f t="shared" si="1"/>
        <v>56514.27266709871</v>
      </c>
    </row>
    <row r="83" spans="1:5" x14ac:dyDescent="0.25">
      <c r="A83" s="15">
        <v>19147</v>
      </c>
      <c r="B83" s="13" t="s">
        <v>1135</v>
      </c>
      <c r="C83" s="22">
        <v>14731111</v>
      </c>
      <c r="D83" s="14">
        <v>230.45170000000002</v>
      </c>
      <c r="E83" s="16">
        <f t="shared" si="1"/>
        <v>63922.769934003518</v>
      </c>
    </row>
    <row r="84" spans="1:5" x14ac:dyDescent="0.25">
      <c r="A84" s="15">
        <v>19148</v>
      </c>
      <c r="B84" s="13" t="s">
        <v>1136</v>
      </c>
      <c r="C84" s="22">
        <v>138603966</v>
      </c>
      <c r="D84" s="14">
        <v>2080.8953999999999</v>
      </c>
      <c r="E84" s="16">
        <f t="shared" si="1"/>
        <v>66607.848717431931</v>
      </c>
    </row>
    <row r="85" spans="1:5" x14ac:dyDescent="0.25">
      <c r="A85" s="15">
        <v>19149</v>
      </c>
      <c r="B85" s="13" t="s">
        <v>1137</v>
      </c>
      <c r="C85" s="22">
        <v>182659189</v>
      </c>
      <c r="D85" s="14">
        <v>2473.3605999999995</v>
      </c>
      <c r="E85" s="16">
        <f t="shared" si="1"/>
        <v>73850.609975755273</v>
      </c>
    </row>
    <row r="86" spans="1:5" x14ac:dyDescent="0.25">
      <c r="A86" s="15">
        <v>19150</v>
      </c>
      <c r="B86" s="13" t="s">
        <v>1138</v>
      </c>
      <c r="C86" s="22">
        <v>17976667</v>
      </c>
      <c r="D86" s="14">
        <v>292.78140000000008</v>
      </c>
      <c r="E86" s="16">
        <f t="shared" si="1"/>
        <v>61399.621014176431</v>
      </c>
    </row>
    <row r="87" spans="1:5" x14ac:dyDescent="0.25">
      <c r="A87" s="15">
        <v>19151</v>
      </c>
      <c r="B87" s="13" t="s">
        <v>1139</v>
      </c>
      <c r="C87" s="22">
        <v>41532643</v>
      </c>
      <c r="D87" s="14">
        <v>506.61530000000005</v>
      </c>
      <c r="E87" s="16">
        <f t="shared" si="1"/>
        <v>81980.633036546657</v>
      </c>
    </row>
    <row r="88" spans="1:5" x14ac:dyDescent="0.25">
      <c r="A88" s="15">
        <v>19152</v>
      </c>
      <c r="B88" s="13" t="s">
        <v>1140</v>
      </c>
      <c r="C88" s="22">
        <v>301174950</v>
      </c>
      <c r="D88" s="14">
        <v>4619.9235000000008</v>
      </c>
      <c r="E88" s="16">
        <f t="shared" si="1"/>
        <v>65190.462569347728</v>
      </c>
    </row>
    <row r="89" spans="1:5" x14ac:dyDescent="0.25">
      <c r="A89" s="15">
        <v>20001</v>
      </c>
      <c r="B89" s="13" t="s">
        <v>1141</v>
      </c>
      <c r="C89" s="22">
        <v>81767300</v>
      </c>
      <c r="D89" s="14">
        <v>1024.6154000000001</v>
      </c>
      <c r="E89" s="16">
        <f t="shared" si="1"/>
        <v>79802.919222178374</v>
      </c>
    </row>
    <row r="90" spans="1:5" x14ac:dyDescent="0.25">
      <c r="A90" s="15">
        <v>20002</v>
      </c>
      <c r="B90" s="13" t="s">
        <v>1142</v>
      </c>
      <c r="C90" s="22">
        <v>79582985</v>
      </c>
      <c r="D90" s="14">
        <v>1253.2662</v>
      </c>
      <c r="E90" s="16">
        <f t="shared" si="1"/>
        <v>63500.463828035892</v>
      </c>
    </row>
    <row r="91" spans="1:5" x14ac:dyDescent="0.25">
      <c r="A91" s="15">
        <v>21148</v>
      </c>
      <c r="B91" s="13" t="s">
        <v>1143</v>
      </c>
      <c r="C91" s="22">
        <v>13195390</v>
      </c>
      <c r="D91" s="14">
        <v>156.06600000000003</v>
      </c>
      <c r="E91" s="16">
        <f t="shared" si="1"/>
        <v>84550.062153191582</v>
      </c>
    </row>
    <row r="92" spans="1:5" x14ac:dyDescent="0.25">
      <c r="A92" s="15">
        <v>21149</v>
      </c>
      <c r="B92" s="13" t="s">
        <v>1144</v>
      </c>
      <c r="C92" s="22">
        <v>16737144</v>
      </c>
      <c r="D92" s="14">
        <v>235.79100000000003</v>
      </c>
      <c r="E92" s="16">
        <f t="shared" si="1"/>
        <v>70982.963726350878</v>
      </c>
    </row>
    <row r="93" spans="1:5" x14ac:dyDescent="0.25">
      <c r="A93" s="15">
        <v>21150</v>
      </c>
      <c r="B93" s="13" t="s">
        <v>1145</v>
      </c>
      <c r="C93" s="22">
        <v>13328990</v>
      </c>
      <c r="D93" s="14">
        <v>143.78660000000002</v>
      </c>
      <c r="E93" s="16">
        <f t="shared" si="1"/>
        <v>92699.806518827187</v>
      </c>
    </row>
    <row r="94" spans="1:5" x14ac:dyDescent="0.25">
      <c r="A94" s="15">
        <v>21151</v>
      </c>
      <c r="B94" s="13" t="s">
        <v>1146</v>
      </c>
      <c r="C94" s="22">
        <v>42036782</v>
      </c>
      <c r="D94" s="14">
        <v>442.44110000000001</v>
      </c>
      <c r="E94" s="16">
        <f t="shared" si="1"/>
        <v>95011.024066254235</v>
      </c>
    </row>
    <row r="95" spans="1:5" x14ac:dyDescent="0.25">
      <c r="A95" s="15">
        <v>22088</v>
      </c>
      <c r="B95" s="13" t="s">
        <v>1147</v>
      </c>
      <c r="C95" s="22">
        <v>10686287</v>
      </c>
      <c r="D95" s="14">
        <v>224.00409999999997</v>
      </c>
      <c r="E95" s="16">
        <f t="shared" si="1"/>
        <v>47705.765206976132</v>
      </c>
    </row>
    <row r="96" spans="1:5" x14ac:dyDescent="0.25">
      <c r="A96" s="15">
        <v>22089</v>
      </c>
      <c r="B96" s="13" t="s">
        <v>1148</v>
      </c>
      <c r="C96" s="22">
        <v>372869280</v>
      </c>
      <c r="D96" s="14">
        <v>5272.2096999999994</v>
      </c>
      <c r="E96" s="16">
        <f t="shared" si="1"/>
        <v>70723.529832282671</v>
      </c>
    </row>
    <row r="97" spans="1:5" x14ac:dyDescent="0.25">
      <c r="A97" s="15">
        <v>22090</v>
      </c>
      <c r="B97" s="13" t="s">
        <v>1149</v>
      </c>
      <c r="C97" s="22">
        <v>33512642</v>
      </c>
      <c r="D97" s="14">
        <v>722.39390000000014</v>
      </c>
      <c r="E97" s="16">
        <f t="shared" si="1"/>
        <v>46391.092172843644</v>
      </c>
    </row>
    <row r="98" spans="1:5" x14ac:dyDescent="0.25">
      <c r="A98" s="15">
        <v>22091</v>
      </c>
      <c r="B98" s="13" t="s">
        <v>1150</v>
      </c>
      <c r="C98" s="22">
        <v>28927592</v>
      </c>
      <c r="D98" s="14">
        <v>454.10970000000003</v>
      </c>
      <c r="E98" s="16">
        <f t="shared" si="1"/>
        <v>63701.770739537162</v>
      </c>
    </row>
    <row r="99" spans="1:5" x14ac:dyDescent="0.25">
      <c r="A99" s="15">
        <v>22092</v>
      </c>
      <c r="B99" s="13" t="s">
        <v>1151</v>
      </c>
      <c r="C99" s="22">
        <v>54895990</v>
      </c>
      <c r="D99" s="14">
        <v>970.14800000000014</v>
      </c>
      <c r="E99" s="16">
        <f t="shared" si="1"/>
        <v>56585.170510066499</v>
      </c>
    </row>
    <row r="100" spans="1:5" x14ac:dyDescent="0.25">
      <c r="A100" s="15">
        <v>22093</v>
      </c>
      <c r="B100" s="13" t="s">
        <v>1152</v>
      </c>
      <c r="C100" s="22">
        <v>368607049</v>
      </c>
      <c r="D100" s="14">
        <v>5074.3859999999995</v>
      </c>
      <c r="E100" s="16">
        <f t="shared" si="1"/>
        <v>72640.719290964465</v>
      </c>
    </row>
    <row r="101" spans="1:5" x14ac:dyDescent="0.25">
      <c r="A101" s="15">
        <v>22094</v>
      </c>
      <c r="B101" s="13" t="s">
        <v>1153</v>
      </c>
      <c r="C101" s="22">
        <v>55116787</v>
      </c>
      <c r="D101" s="14">
        <v>745.57529999999997</v>
      </c>
      <c r="E101" s="16">
        <f t="shared" si="1"/>
        <v>73925.17831532241</v>
      </c>
    </row>
    <row r="102" spans="1:5" x14ac:dyDescent="0.25">
      <c r="A102" s="15">
        <v>23096</v>
      </c>
      <c r="B102" s="13" t="s">
        <v>1154</v>
      </c>
      <c r="C102" s="22">
        <v>7139049</v>
      </c>
      <c r="D102" s="14">
        <v>31.871299999999998</v>
      </c>
      <c r="E102" s="16">
        <f t="shared" si="1"/>
        <v>223996.16582944532</v>
      </c>
    </row>
    <row r="103" spans="1:5" x14ac:dyDescent="0.25">
      <c r="A103" s="15">
        <v>23099</v>
      </c>
      <c r="B103" s="13" t="s">
        <v>1155</v>
      </c>
      <c r="C103" s="22">
        <v>4249045</v>
      </c>
      <c r="D103" s="14">
        <v>53.382100000000001</v>
      </c>
      <c r="E103" s="16">
        <f t="shared" si="1"/>
        <v>79596.812414648361</v>
      </c>
    </row>
    <row r="104" spans="1:5" x14ac:dyDescent="0.25">
      <c r="A104" s="15">
        <v>23101</v>
      </c>
      <c r="B104" s="13" t="s">
        <v>1156</v>
      </c>
      <c r="C104" s="22">
        <v>64620503</v>
      </c>
      <c r="D104" s="14">
        <v>943.91390000000001</v>
      </c>
      <c r="E104" s="16">
        <f t="shared" si="1"/>
        <v>68460.166758853753</v>
      </c>
    </row>
    <row r="105" spans="1:5" x14ac:dyDescent="0.25">
      <c r="A105" s="15">
        <v>24086</v>
      </c>
      <c r="B105" s="13" t="s">
        <v>1157</v>
      </c>
      <c r="C105" s="22">
        <v>296937382</v>
      </c>
      <c r="D105" s="14">
        <v>3502.8095999999996</v>
      </c>
      <c r="E105" s="16">
        <f t="shared" si="1"/>
        <v>84771.20252268351</v>
      </c>
    </row>
    <row r="106" spans="1:5" x14ac:dyDescent="0.25">
      <c r="A106" s="15">
        <v>24087</v>
      </c>
      <c r="B106" s="13" t="s">
        <v>1158</v>
      </c>
      <c r="C106" s="22">
        <v>199569992</v>
      </c>
      <c r="D106" s="14">
        <v>2270.2589000000003</v>
      </c>
      <c r="E106" s="16">
        <f t="shared" si="1"/>
        <v>87906.270073426422</v>
      </c>
    </row>
    <row r="107" spans="1:5" x14ac:dyDescent="0.25">
      <c r="A107" s="15">
        <v>24089</v>
      </c>
      <c r="B107" s="13" t="s">
        <v>1159</v>
      </c>
      <c r="C107" s="22">
        <v>202015991</v>
      </c>
      <c r="D107" s="14">
        <v>2983.5573999999997</v>
      </c>
      <c r="E107" s="16">
        <f t="shared" si="1"/>
        <v>67709.771898472609</v>
      </c>
    </row>
    <row r="108" spans="1:5" x14ac:dyDescent="0.25">
      <c r="A108" s="15">
        <v>24090</v>
      </c>
      <c r="B108" s="13" t="s">
        <v>1160</v>
      </c>
      <c r="C108" s="22">
        <v>769083318</v>
      </c>
      <c r="D108" s="14">
        <v>10114.746899999998</v>
      </c>
      <c r="E108" s="16">
        <f t="shared" si="1"/>
        <v>76035.844060517236</v>
      </c>
    </row>
    <row r="109" spans="1:5" x14ac:dyDescent="0.25">
      <c r="A109" s="15">
        <v>24091</v>
      </c>
      <c r="B109" s="13" t="s">
        <v>1161</v>
      </c>
      <c r="C109" s="22">
        <v>6078397</v>
      </c>
      <c r="D109" s="14">
        <v>49.747900000000008</v>
      </c>
      <c r="E109" s="16">
        <f t="shared" si="1"/>
        <v>122183.99168608119</v>
      </c>
    </row>
    <row r="110" spans="1:5" x14ac:dyDescent="0.25">
      <c r="A110" s="15">
        <v>24093</v>
      </c>
      <c r="B110" s="13" t="s">
        <v>1162</v>
      </c>
      <c r="C110" s="22">
        <v>1996928201</v>
      </c>
      <c r="D110" s="14">
        <v>17610.021600000007</v>
      </c>
      <c r="E110" s="16">
        <f t="shared" si="1"/>
        <v>113397.26017144688</v>
      </c>
    </row>
    <row r="111" spans="1:5" x14ac:dyDescent="0.25">
      <c r="A111" s="15">
        <v>25001</v>
      </c>
      <c r="B111" s="13" t="s">
        <v>1163</v>
      </c>
      <c r="C111" s="22">
        <v>108214661</v>
      </c>
      <c r="D111" s="14">
        <v>1712.4563000000001</v>
      </c>
      <c r="E111" s="16">
        <f t="shared" si="1"/>
        <v>63192.655485573559</v>
      </c>
    </row>
    <row r="112" spans="1:5" x14ac:dyDescent="0.25">
      <c r="A112" s="15">
        <v>25002</v>
      </c>
      <c r="B112" s="13" t="s">
        <v>1164</v>
      </c>
      <c r="C112" s="22">
        <v>58878179</v>
      </c>
      <c r="D112" s="14">
        <v>876.27520000000004</v>
      </c>
      <c r="E112" s="16">
        <f t="shared" si="1"/>
        <v>67191.424566163681</v>
      </c>
    </row>
    <row r="113" spans="1:5" x14ac:dyDescent="0.25">
      <c r="A113" s="15">
        <v>25003</v>
      </c>
      <c r="B113" s="13" t="s">
        <v>1165</v>
      </c>
      <c r="C113" s="22">
        <v>70452668</v>
      </c>
      <c r="D113" s="14">
        <v>736.08259999999996</v>
      </c>
      <c r="E113" s="16">
        <f t="shared" si="1"/>
        <v>95712.991993018179</v>
      </c>
    </row>
    <row r="114" spans="1:5" x14ac:dyDescent="0.25">
      <c r="A114" s="15">
        <v>26001</v>
      </c>
      <c r="B114" s="13" t="s">
        <v>1166</v>
      </c>
      <c r="C114" s="22">
        <v>48246638</v>
      </c>
      <c r="D114" s="14">
        <v>667.81299999999987</v>
      </c>
      <c r="E114" s="16">
        <f t="shared" si="1"/>
        <v>72245.730466462934</v>
      </c>
    </row>
    <row r="115" spans="1:5" x14ac:dyDescent="0.25">
      <c r="A115" s="15">
        <v>26002</v>
      </c>
      <c r="B115" s="13" t="s">
        <v>1167</v>
      </c>
      <c r="C115" s="22">
        <v>84564689</v>
      </c>
      <c r="D115" s="14">
        <v>1035.1229000000001</v>
      </c>
      <c r="E115" s="16">
        <f t="shared" si="1"/>
        <v>81695.312701515926</v>
      </c>
    </row>
    <row r="116" spans="1:5" x14ac:dyDescent="0.25">
      <c r="A116" s="15">
        <v>26005</v>
      </c>
      <c r="B116" s="13" t="s">
        <v>1168</v>
      </c>
      <c r="C116" s="22">
        <v>58333337</v>
      </c>
      <c r="D116" s="14">
        <v>671.06649999999979</v>
      </c>
      <c r="E116" s="16">
        <f t="shared" si="1"/>
        <v>86926.313562068768</v>
      </c>
    </row>
    <row r="117" spans="1:5" x14ac:dyDescent="0.25">
      <c r="A117" s="15">
        <v>26006</v>
      </c>
      <c r="B117" s="13" t="s">
        <v>1169</v>
      </c>
      <c r="C117" s="22">
        <v>1177916347</v>
      </c>
      <c r="D117" s="14">
        <v>7903.6593000000021</v>
      </c>
      <c r="E117" s="16">
        <f t="shared" si="1"/>
        <v>149034.3019973039</v>
      </c>
    </row>
    <row r="118" spans="1:5" x14ac:dyDescent="0.25">
      <c r="A118" s="15">
        <v>27055</v>
      </c>
      <c r="B118" s="13" t="s">
        <v>1170</v>
      </c>
      <c r="C118" s="22">
        <v>7710902</v>
      </c>
      <c r="D118" s="14">
        <v>157.27010000000001</v>
      </c>
      <c r="E118" s="16">
        <f t="shared" si="1"/>
        <v>49029.675698050676</v>
      </c>
    </row>
    <row r="119" spans="1:5" x14ac:dyDescent="0.25">
      <c r="A119" s="15">
        <v>27056</v>
      </c>
      <c r="B119" s="13" t="s">
        <v>1171</v>
      </c>
      <c r="C119" s="22">
        <v>8224011</v>
      </c>
      <c r="D119" s="14">
        <v>140.78290000000001</v>
      </c>
      <c r="E119" s="16">
        <f t="shared" si="1"/>
        <v>58416.263622925791</v>
      </c>
    </row>
    <row r="120" spans="1:5" x14ac:dyDescent="0.25">
      <c r="A120" s="15">
        <v>27057</v>
      </c>
      <c r="B120" s="13" t="s">
        <v>1172</v>
      </c>
      <c r="C120" s="22">
        <v>11765850</v>
      </c>
      <c r="D120" s="14">
        <v>151.76499999999999</v>
      </c>
      <c r="E120" s="16">
        <f t="shared" si="1"/>
        <v>77526.768358976056</v>
      </c>
    </row>
    <row r="121" spans="1:5" x14ac:dyDescent="0.25">
      <c r="A121" s="15">
        <v>27058</v>
      </c>
      <c r="B121" s="13" t="s">
        <v>1173</v>
      </c>
      <c r="C121" s="22">
        <v>12850639</v>
      </c>
      <c r="D121" s="14">
        <v>231.36149999999998</v>
      </c>
      <c r="E121" s="16">
        <f t="shared" si="1"/>
        <v>55543.549812738944</v>
      </c>
    </row>
    <row r="122" spans="1:5" x14ac:dyDescent="0.25">
      <c r="A122" s="15">
        <v>27059</v>
      </c>
      <c r="B122" s="13" t="s">
        <v>1174</v>
      </c>
      <c r="C122" s="22">
        <v>16457866</v>
      </c>
      <c r="D122" s="14">
        <v>274.48829999999998</v>
      </c>
      <c r="E122" s="16">
        <f t="shared" si="1"/>
        <v>59958.351594585278</v>
      </c>
    </row>
    <row r="123" spans="1:5" x14ac:dyDescent="0.25">
      <c r="A123" s="15">
        <v>27061</v>
      </c>
      <c r="B123" s="13" t="s">
        <v>1175</v>
      </c>
      <c r="C123" s="22">
        <v>126666455</v>
      </c>
      <c r="D123" s="14">
        <v>1474.9521000000002</v>
      </c>
      <c r="E123" s="16">
        <f t="shared" si="1"/>
        <v>85878.351574942659</v>
      </c>
    </row>
    <row r="124" spans="1:5" x14ac:dyDescent="0.25">
      <c r="A124" s="15">
        <v>28101</v>
      </c>
      <c r="B124" s="13" t="s">
        <v>1176</v>
      </c>
      <c r="C124" s="22">
        <v>57369790</v>
      </c>
      <c r="D124" s="14">
        <v>972.75220000000002</v>
      </c>
      <c r="E124" s="16">
        <f t="shared" si="1"/>
        <v>58976.777436226817</v>
      </c>
    </row>
    <row r="125" spans="1:5" x14ac:dyDescent="0.25">
      <c r="A125" s="15">
        <v>28102</v>
      </c>
      <c r="B125" s="13" t="s">
        <v>1177</v>
      </c>
      <c r="C125" s="22">
        <v>102452590</v>
      </c>
      <c r="D125" s="14">
        <v>1393.2009000000003</v>
      </c>
      <c r="E125" s="16">
        <f t="shared" si="1"/>
        <v>73537.556572063637</v>
      </c>
    </row>
    <row r="126" spans="1:5" x14ac:dyDescent="0.25">
      <c r="A126" s="15">
        <v>28103</v>
      </c>
      <c r="B126" s="13" t="s">
        <v>1178</v>
      </c>
      <c r="C126" s="22">
        <v>50939760</v>
      </c>
      <c r="D126" s="14">
        <v>910.60580000000016</v>
      </c>
      <c r="E126" s="16">
        <f t="shared" si="1"/>
        <v>55940.51783988197</v>
      </c>
    </row>
    <row r="127" spans="1:5" x14ac:dyDescent="0.25">
      <c r="A127" s="15">
        <v>29001</v>
      </c>
      <c r="B127" s="13" t="s">
        <v>1179</v>
      </c>
      <c r="C127" s="22">
        <v>26573567</v>
      </c>
      <c r="D127" s="14">
        <v>358.35500000000002</v>
      </c>
      <c r="E127" s="16">
        <f t="shared" si="1"/>
        <v>74154.30787905847</v>
      </c>
    </row>
    <row r="128" spans="1:5" x14ac:dyDescent="0.25">
      <c r="A128" s="15">
        <v>29002</v>
      </c>
      <c r="B128" s="13" t="s">
        <v>1180</v>
      </c>
      <c r="C128" s="22">
        <v>9586789</v>
      </c>
      <c r="D128" s="14">
        <v>144.72260000000003</v>
      </c>
      <c r="E128" s="16">
        <f t="shared" si="1"/>
        <v>66242.514990747804</v>
      </c>
    </row>
    <row r="129" spans="1:5" x14ac:dyDescent="0.25">
      <c r="A129" s="15">
        <v>29003</v>
      </c>
      <c r="B129" s="13" t="s">
        <v>1181</v>
      </c>
      <c r="C129" s="22">
        <v>9701580</v>
      </c>
      <c r="D129" s="14">
        <v>168.54980000000003</v>
      </c>
      <c r="E129" s="16">
        <f t="shared" si="1"/>
        <v>57559.130891878827</v>
      </c>
    </row>
    <row r="130" spans="1:5" x14ac:dyDescent="0.25">
      <c r="A130" s="15">
        <v>29004</v>
      </c>
      <c r="B130" s="13" t="s">
        <v>1182</v>
      </c>
      <c r="C130" s="22">
        <v>34393893</v>
      </c>
      <c r="D130" s="14">
        <v>447.80560000000003</v>
      </c>
      <c r="E130" s="16">
        <f t="shared" si="1"/>
        <v>76805.410651407656</v>
      </c>
    </row>
    <row r="131" spans="1:5" x14ac:dyDescent="0.25">
      <c r="A131" s="15">
        <v>30093</v>
      </c>
      <c r="B131" s="13" t="s">
        <v>1183</v>
      </c>
      <c r="C131" s="22">
        <v>108129288</v>
      </c>
      <c r="D131" s="14">
        <v>1693.6919</v>
      </c>
      <c r="E131" s="16">
        <f t="shared" ref="E131:E194" si="2">C131/D131</f>
        <v>63842.359994754654</v>
      </c>
    </row>
    <row r="132" spans="1:5" x14ac:dyDescent="0.25">
      <c r="A132" s="15">
        <v>31116</v>
      </c>
      <c r="B132" s="13" t="s">
        <v>1184</v>
      </c>
      <c r="C132" s="22">
        <v>12202867</v>
      </c>
      <c r="D132" s="14">
        <v>156.5445</v>
      </c>
      <c r="E132" s="16">
        <f t="shared" si="2"/>
        <v>77951.425952364982</v>
      </c>
    </row>
    <row r="133" spans="1:5" x14ac:dyDescent="0.25">
      <c r="A133" s="15">
        <v>31117</v>
      </c>
      <c r="B133" s="13" t="s">
        <v>1185</v>
      </c>
      <c r="C133" s="22">
        <v>20300216</v>
      </c>
      <c r="D133" s="14">
        <v>172.08820000000003</v>
      </c>
      <c r="E133" s="16">
        <f t="shared" si="2"/>
        <v>117964.02077539306</v>
      </c>
    </row>
    <row r="134" spans="1:5" x14ac:dyDescent="0.25">
      <c r="A134" s="15">
        <v>31118</v>
      </c>
      <c r="B134" s="13" t="s">
        <v>1186</v>
      </c>
      <c r="C134" s="22">
        <v>8924669</v>
      </c>
      <c r="D134" s="14">
        <v>74.322000000000003</v>
      </c>
      <c r="E134" s="16">
        <f t="shared" si="2"/>
        <v>120081.11999138881</v>
      </c>
    </row>
    <row r="135" spans="1:5" x14ac:dyDescent="0.25">
      <c r="A135" s="15">
        <v>31121</v>
      </c>
      <c r="B135" s="13" t="s">
        <v>1187</v>
      </c>
      <c r="C135" s="22">
        <v>35643849</v>
      </c>
      <c r="D135" s="14">
        <v>590.18119999999999</v>
      </c>
      <c r="E135" s="16">
        <f t="shared" si="2"/>
        <v>60394.755034555492</v>
      </c>
    </row>
    <row r="136" spans="1:5" x14ac:dyDescent="0.25">
      <c r="A136" s="15">
        <v>31122</v>
      </c>
      <c r="B136" s="13" t="s">
        <v>1188</v>
      </c>
      <c r="C136" s="22">
        <v>14684230</v>
      </c>
      <c r="D136" s="14">
        <v>154.8177</v>
      </c>
      <c r="E136" s="16">
        <f t="shared" si="2"/>
        <v>94848.521842140792</v>
      </c>
    </row>
    <row r="137" spans="1:5" x14ac:dyDescent="0.25">
      <c r="A137" s="15">
        <v>32054</v>
      </c>
      <c r="B137" s="13" t="s">
        <v>1189</v>
      </c>
      <c r="C137" s="22">
        <v>8902482</v>
      </c>
      <c r="D137" s="14">
        <v>130.51310000000001</v>
      </c>
      <c r="E137" s="16">
        <f t="shared" si="2"/>
        <v>68211.405598365222</v>
      </c>
    </row>
    <row r="138" spans="1:5" x14ac:dyDescent="0.25">
      <c r="A138" s="15">
        <v>32055</v>
      </c>
      <c r="B138" s="13" t="s">
        <v>1190</v>
      </c>
      <c r="C138" s="22">
        <v>41104979</v>
      </c>
      <c r="D138" s="14">
        <v>610.91160000000002</v>
      </c>
      <c r="E138" s="16">
        <f t="shared" si="2"/>
        <v>67284.659515386506</v>
      </c>
    </row>
    <row r="139" spans="1:5" x14ac:dyDescent="0.25">
      <c r="A139" s="15">
        <v>32056</v>
      </c>
      <c r="B139" s="13" t="s">
        <v>1191</v>
      </c>
      <c r="C139" s="22">
        <v>9447319</v>
      </c>
      <c r="D139" s="14">
        <v>132.66150000000002</v>
      </c>
      <c r="E139" s="16">
        <f t="shared" si="2"/>
        <v>71213.72063484884</v>
      </c>
    </row>
    <row r="140" spans="1:5" x14ac:dyDescent="0.25">
      <c r="A140" s="15">
        <v>32058</v>
      </c>
      <c r="B140" s="13" t="s">
        <v>1192</v>
      </c>
      <c r="C140" s="22">
        <v>13303290</v>
      </c>
      <c r="D140" s="14">
        <v>240.21890000000002</v>
      </c>
      <c r="E140" s="16">
        <f t="shared" si="2"/>
        <v>55379.863949089762</v>
      </c>
    </row>
    <row r="141" spans="1:5" x14ac:dyDescent="0.25">
      <c r="A141" s="15">
        <v>33090</v>
      </c>
      <c r="B141" s="13" t="s">
        <v>1193</v>
      </c>
      <c r="C141" s="22">
        <v>63949372</v>
      </c>
      <c r="D141" s="14">
        <v>1128.5865000000001</v>
      </c>
      <c r="E141" s="16">
        <f t="shared" si="2"/>
        <v>56663.243800984674</v>
      </c>
    </row>
    <row r="142" spans="1:5" x14ac:dyDescent="0.25">
      <c r="A142" s="15">
        <v>33091</v>
      </c>
      <c r="B142" s="13" t="s">
        <v>1194</v>
      </c>
      <c r="C142" s="22">
        <v>12738700</v>
      </c>
      <c r="D142" s="14">
        <v>160.26940000000002</v>
      </c>
      <c r="E142" s="16">
        <f t="shared" si="2"/>
        <v>79483.045422270239</v>
      </c>
    </row>
    <row r="143" spans="1:5" x14ac:dyDescent="0.25">
      <c r="A143" s="15">
        <v>33092</v>
      </c>
      <c r="B143" s="13" t="s">
        <v>1195</v>
      </c>
      <c r="C143" s="22">
        <v>17271750</v>
      </c>
      <c r="D143" s="14">
        <v>235.75919999999999</v>
      </c>
      <c r="E143" s="16">
        <f t="shared" si="2"/>
        <v>73260.13152402961</v>
      </c>
    </row>
    <row r="144" spans="1:5" x14ac:dyDescent="0.25">
      <c r="A144" s="15">
        <v>33093</v>
      </c>
      <c r="B144" s="13" t="s">
        <v>1196</v>
      </c>
      <c r="C144" s="22">
        <v>27757947</v>
      </c>
      <c r="D144" s="14">
        <v>362.74820000000005</v>
      </c>
      <c r="E144" s="16">
        <f t="shared" si="2"/>
        <v>76521.253585820683</v>
      </c>
    </row>
    <row r="145" spans="1:5" x14ac:dyDescent="0.25">
      <c r="A145" s="15">
        <v>33094</v>
      </c>
      <c r="B145" s="13" t="s">
        <v>1197</v>
      </c>
      <c r="C145" s="22">
        <v>17420483</v>
      </c>
      <c r="D145" s="14">
        <v>262.75120000000004</v>
      </c>
      <c r="E145" s="16">
        <f t="shared" si="2"/>
        <v>66300.298533365392</v>
      </c>
    </row>
    <row r="146" spans="1:5" x14ac:dyDescent="0.25">
      <c r="A146" s="15">
        <v>34121</v>
      </c>
      <c r="B146" s="13" t="s">
        <v>1198</v>
      </c>
      <c r="C146" s="22">
        <v>8329216</v>
      </c>
      <c r="D146" s="14">
        <v>122.04049999999999</v>
      </c>
      <c r="E146" s="16">
        <f t="shared" si="2"/>
        <v>68249.605663693612</v>
      </c>
    </row>
    <row r="147" spans="1:5" x14ac:dyDescent="0.25">
      <c r="A147" s="15">
        <v>34122</v>
      </c>
      <c r="B147" s="13" t="s">
        <v>1199</v>
      </c>
      <c r="C147" s="22">
        <v>5706122</v>
      </c>
      <c r="D147" s="14">
        <v>133.67749999999998</v>
      </c>
      <c r="E147" s="16">
        <f t="shared" si="2"/>
        <v>42685.732453105426</v>
      </c>
    </row>
    <row r="148" spans="1:5" x14ac:dyDescent="0.25">
      <c r="A148" s="15">
        <v>34124</v>
      </c>
      <c r="B148" s="13" t="s">
        <v>1200</v>
      </c>
      <c r="C148" s="22">
        <v>90302537</v>
      </c>
      <c r="D148" s="14">
        <v>1289.7729000000002</v>
      </c>
      <c r="E148" s="16">
        <f t="shared" si="2"/>
        <v>70014.292438614575</v>
      </c>
    </row>
    <row r="149" spans="1:5" x14ac:dyDescent="0.25">
      <c r="A149" s="15">
        <v>35092</v>
      </c>
      <c r="B149" s="13" t="s">
        <v>1201</v>
      </c>
      <c r="C149" s="22">
        <v>43919860</v>
      </c>
      <c r="D149" s="14">
        <v>977.6816</v>
      </c>
      <c r="E149" s="16">
        <f t="shared" si="2"/>
        <v>44922.457372625198</v>
      </c>
    </row>
    <row r="150" spans="1:5" x14ac:dyDescent="0.25">
      <c r="A150" s="15">
        <v>35093</v>
      </c>
      <c r="B150" s="13" t="s">
        <v>1202</v>
      </c>
      <c r="C150" s="22">
        <v>51298990</v>
      </c>
      <c r="D150" s="14">
        <v>579.45240000000001</v>
      </c>
      <c r="E150" s="16">
        <f t="shared" si="2"/>
        <v>88530.119126264733</v>
      </c>
    </row>
    <row r="151" spans="1:5" x14ac:dyDescent="0.25">
      <c r="A151" s="15">
        <v>35094</v>
      </c>
      <c r="B151" s="13" t="s">
        <v>1203</v>
      </c>
      <c r="C151" s="22">
        <v>20098740</v>
      </c>
      <c r="D151" s="14">
        <v>565.2518</v>
      </c>
      <c r="E151" s="16">
        <f t="shared" si="2"/>
        <v>35557.144621211293</v>
      </c>
    </row>
    <row r="152" spans="1:5" x14ac:dyDescent="0.25">
      <c r="A152" s="15">
        <v>35097</v>
      </c>
      <c r="B152" s="13" t="s">
        <v>1204</v>
      </c>
      <c r="C152" s="22">
        <v>11532490</v>
      </c>
      <c r="D152" s="14">
        <v>318.10380000000004</v>
      </c>
      <c r="E152" s="16">
        <f t="shared" si="2"/>
        <v>36253.858017414437</v>
      </c>
    </row>
    <row r="153" spans="1:5" x14ac:dyDescent="0.25">
      <c r="A153" s="15">
        <v>35098</v>
      </c>
      <c r="B153" s="13" t="s">
        <v>1205</v>
      </c>
      <c r="C153" s="22">
        <v>44137942</v>
      </c>
      <c r="D153" s="14">
        <v>777.71979999999996</v>
      </c>
      <c r="E153" s="16">
        <f t="shared" si="2"/>
        <v>56753.013103176752</v>
      </c>
    </row>
    <row r="154" spans="1:5" x14ac:dyDescent="0.25">
      <c r="A154" s="15">
        <v>35099</v>
      </c>
      <c r="B154" s="13" t="s">
        <v>1206</v>
      </c>
      <c r="C154" s="22">
        <v>15107840</v>
      </c>
      <c r="D154" s="14">
        <v>326.59739999999999</v>
      </c>
      <c r="E154" s="16">
        <f t="shared" si="2"/>
        <v>46258.298443282161</v>
      </c>
    </row>
    <row r="155" spans="1:5" x14ac:dyDescent="0.25">
      <c r="A155" s="15">
        <v>35102</v>
      </c>
      <c r="B155" s="13" t="s">
        <v>1207</v>
      </c>
      <c r="C155" s="22">
        <v>89181464</v>
      </c>
      <c r="D155" s="14">
        <v>1854.0678</v>
      </c>
      <c r="E155" s="16">
        <f t="shared" si="2"/>
        <v>48100.433004661427</v>
      </c>
    </row>
    <row r="156" spans="1:5" x14ac:dyDescent="0.25">
      <c r="A156" s="15">
        <v>36123</v>
      </c>
      <c r="B156" s="13" t="s">
        <v>1208</v>
      </c>
      <c r="C156" s="22">
        <v>28998013</v>
      </c>
      <c r="D156" s="14">
        <v>221.54359999999997</v>
      </c>
      <c r="E156" s="16">
        <f t="shared" si="2"/>
        <v>130890.77274179892</v>
      </c>
    </row>
    <row r="157" spans="1:5" x14ac:dyDescent="0.25">
      <c r="A157" s="15">
        <v>36126</v>
      </c>
      <c r="B157" s="13" t="s">
        <v>1209</v>
      </c>
      <c r="C157" s="22">
        <v>326655270</v>
      </c>
      <c r="D157" s="14">
        <v>3267.3706999999995</v>
      </c>
      <c r="E157" s="16">
        <f t="shared" si="2"/>
        <v>99974.964579317573</v>
      </c>
    </row>
    <row r="158" spans="1:5" x14ac:dyDescent="0.25">
      <c r="A158" s="15">
        <v>36131</v>
      </c>
      <c r="B158" s="13" t="s">
        <v>1210</v>
      </c>
      <c r="C158" s="22">
        <v>295085294</v>
      </c>
      <c r="D158" s="14">
        <v>2930.9034000000011</v>
      </c>
      <c r="E158" s="16">
        <f t="shared" si="2"/>
        <v>100680.66180550335</v>
      </c>
    </row>
    <row r="159" spans="1:5" x14ac:dyDescent="0.25">
      <c r="A159" s="15">
        <v>36133</v>
      </c>
      <c r="B159" s="13" t="s">
        <v>1211</v>
      </c>
      <c r="C159" s="22">
        <v>38122056</v>
      </c>
      <c r="D159" s="14">
        <v>500.15030000000013</v>
      </c>
      <c r="E159" s="16">
        <f t="shared" si="2"/>
        <v>76221.199907307848</v>
      </c>
    </row>
    <row r="160" spans="1:5" x14ac:dyDescent="0.25">
      <c r="A160" s="15">
        <v>36134</v>
      </c>
      <c r="B160" s="13" t="s">
        <v>1212</v>
      </c>
      <c r="C160" s="22">
        <v>23827923</v>
      </c>
      <c r="D160" s="14">
        <v>367.41919999999999</v>
      </c>
      <c r="E160" s="16">
        <f t="shared" si="2"/>
        <v>64852.144362624495</v>
      </c>
    </row>
    <row r="161" spans="1:5" x14ac:dyDescent="0.25">
      <c r="A161" s="15">
        <v>36135</v>
      </c>
      <c r="B161" s="13" t="s">
        <v>1213</v>
      </c>
      <c r="C161" s="22">
        <v>10834370</v>
      </c>
      <c r="D161" s="14">
        <v>107.98730000000002</v>
      </c>
      <c r="E161" s="16">
        <f t="shared" si="2"/>
        <v>100330.03881011932</v>
      </c>
    </row>
    <row r="162" spans="1:5" x14ac:dyDescent="0.25">
      <c r="A162" s="15">
        <v>36136</v>
      </c>
      <c r="B162" s="13" t="s">
        <v>1214</v>
      </c>
      <c r="C162" s="22">
        <v>145502341</v>
      </c>
      <c r="D162" s="14">
        <v>2142.9506000000001</v>
      </c>
      <c r="E162" s="16">
        <f t="shared" si="2"/>
        <v>67898.131202837802</v>
      </c>
    </row>
    <row r="163" spans="1:5" x14ac:dyDescent="0.25">
      <c r="A163" s="15">
        <v>36137</v>
      </c>
      <c r="B163" s="13" t="s">
        <v>1215</v>
      </c>
      <c r="C163" s="22">
        <v>158002539</v>
      </c>
      <c r="D163" s="14">
        <v>1964.7883000000002</v>
      </c>
      <c r="E163" s="16">
        <f t="shared" si="2"/>
        <v>80417.080557737441</v>
      </c>
    </row>
    <row r="164" spans="1:5" x14ac:dyDescent="0.25">
      <c r="A164" s="15">
        <v>36138</v>
      </c>
      <c r="B164" s="13" t="s">
        <v>1216</v>
      </c>
      <c r="C164" s="22">
        <v>36153756</v>
      </c>
      <c r="D164" s="14">
        <v>456.19690000000003</v>
      </c>
      <c r="E164" s="16">
        <f t="shared" si="2"/>
        <v>79250.332477051023</v>
      </c>
    </row>
    <row r="165" spans="1:5" x14ac:dyDescent="0.25">
      <c r="A165" s="15">
        <v>36139</v>
      </c>
      <c r="B165" s="13" t="s">
        <v>1217</v>
      </c>
      <c r="C165" s="22">
        <v>719892147</v>
      </c>
      <c r="D165" s="14">
        <v>3855.8806000000004</v>
      </c>
      <c r="E165" s="16">
        <f t="shared" si="2"/>
        <v>186699.80263393008</v>
      </c>
    </row>
    <row r="166" spans="1:5" x14ac:dyDescent="0.25">
      <c r="A166" s="15">
        <v>37037</v>
      </c>
      <c r="B166" s="13" t="s">
        <v>1218</v>
      </c>
      <c r="C166" s="22">
        <v>149230067</v>
      </c>
      <c r="D166" s="14">
        <v>1801.8552999999999</v>
      </c>
      <c r="E166" s="16">
        <f t="shared" si="2"/>
        <v>82820.228128196541</v>
      </c>
    </row>
    <row r="167" spans="1:5" x14ac:dyDescent="0.25">
      <c r="A167" s="15">
        <v>37039</v>
      </c>
      <c r="B167" s="13" t="s">
        <v>1219</v>
      </c>
      <c r="C167" s="22">
        <v>106772595</v>
      </c>
      <c r="D167" s="14">
        <v>1007.4549</v>
      </c>
      <c r="E167" s="16">
        <f t="shared" si="2"/>
        <v>105982.50601590205</v>
      </c>
    </row>
    <row r="168" spans="1:5" x14ac:dyDescent="0.25">
      <c r="A168" s="15">
        <v>38044</v>
      </c>
      <c r="B168" s="13" t="s">
        <v>1220</v>
      </c>
      <c r="C168" s="22">
        <v>29515368</v>
      </c>
      <c r="D168" s="14">
        <v>330.80189999999993</v>
      </c>
      <c r="E168" s="16">
        <f t="shared" si="2"/>
        <v>89223.695510817823</v>
      </c>
    </row>
    <row r="169" spans="1:5" x14ac:dyDescent="0.25">
      <c r="A169" s="15">
        <v>38045</v>
      </c>
      <c r="B169" s="13" t="s">
        <v>1221</v>
      </c>
      <c r="C169" s="22">
        <v>20808626</v>
      </c>
      <c r="D169" s="14">
        <v>322.87320000000005</v>
      </c>
      <c r="E169" s="16">
        <f t="shared" si="2"/>
        <v>64448.291155784987</v>
      </c>
    </row>
    <row r="170" spans="1:5" x14ac:dyDescent="0.25">
      <c r="A170" s="15">
        <v>38046</v>
      </c>
      <c r="B170" s="13" t="s">
        <v>1222</v>
      </c>
      <c r="C170" s="22">
        <v>32053131</v>
      </c>
      <c r="D170" s="14">
        <v>437.60699999999997</v>
      </c>
      <c r="E170" s="16">
        <f t="shared" si="2"/>
        <v>73246.385455442898</v>
      </c>
    </row>
    <row r="171" spans="1:5" x14ac:dyDescent="0.25">
      <c r="A171" s="15">
        <v>39133</v>
      </c>
      <c r="B171" s="13" t="s">
        <v>1223</v>
      </c>
      <c r="C171" s="22">
        <v>311515474</v>
      </c>
      <c r="D171" s="14">
        <v>4011.5535000000009</v>
      </c>
      <c r="E171" s="16">
        <f t="shared" si="2"/>
        <v>77654.572972789698</v>
      </c>
    </row>
    <row r="172" spans="1:5" x14ac:dyDescent="0.25">
      <c r="A172" s="15">
        <v>39134</v>
      </c>
      <c r="B172" s="13" t="s">
        <v>1224</v>
      </c>
      <c r="C172" s="22">
        <v>286366807</v>
      </c>
      <c r="D172" s="14">
        <v>4182.7883000000002</v>
      </c>
      <c r="E172" s="16">
        <f t="shared" si="2"/>
        <v>68463.136659342767</v>
      </c>
    </row>
    <row r="173" spans="1:5" x14ac:dyDescent="0.25">
      <c r="A173" s="15">
        <v>39135</v>
      </c>
      <c r="B173" s="13" t="s">
        <v>1225</v>
      </c>
      <c r="C173" s="22">
        <v>52355847</v>
      </c>
      <c r="D173" s="14">
        <v>833.13150000000007</v>
      </c>
      <c r="E173" s="16">
        <f t="shared" si="2"/>
        <v>62842.236789750474</v>
      </c>
    </row>
    <row r="174" spans="1:5" x14ac:dyDescent="0.25">
      <c r="A174" s="15">
        <v>39136</v>
      </c>
      <c r="B174" s="13" t="s">
        <v>1226</v>
      </c>
      <c r="C174" s="22">
        <v>17932305</v>
      </c>
      <c r="D174" s="14">
        <v>285.35720000000003</v>
      </c>
      <c r="E174" s="16">
        <f t="shared" si="2"/>
        <v>62841.606940354046</v>
      </c>
    </row>
    <row r="175" spans="1:5" x14ac:dyDescent="0.25">
      <c r="A175" s="15">
        <v>39137</v>
      </c>
      <c r="B175" s="13" t="s">
        <v>1227</v>
      </c>
      <c r="C175" s="22">
        <v>166184555</v>
      </c>
      <c r="D175" s="14">
        <v>1203.9242000000002</v>
      </c>
      <c r="E175" s="16">
        <f t="shared" si="2"/>
        <v>138035.72932581636</v>
      </c>
    </row>
    <row r="176" spans="1:5" x14ac:dyDescent="0.25">
      <c r="A176" s="15">
        <v>39139</v>
      </c>
      <c r="B176" s="13" t="s">
        <v>1228</v>
      </c>
      <c r="C176" s="22">
        <v>206020059</v>
      </c>
      <c r="D176" s="14">
        <v>2120.7121999999999</v>
      </c>
      <c r="E176" s="16">
        <f t="shared" si="2"/>
        <v>97146.637341926922</v>
      </c>
    </row>
    <row r="177" spans="1:5" x14ac:dyDescent="0.25">
      <c r="A177" s="15">
        <v>39141</v>
      </c>
      <c r="B177" s="13" t="s">
        <v>1229</v>
      </c>
      <c r="C177" s="22">
        <v>3135008164</v>
      </c>
      <c r="D177" s="14">
        <v>22197.777800000003</v>
      </c>
      <c r="E177" s="16">
        <f t="shared" si="2"/>
        <v>141230.72103190437</v>
      </c>
    </row>
    <row r="178" spans="1:5" x14ac:dyDescent="0.25">
      <c r="A178" s="15">
        <v>39142</v>
      </c>
      <c r="B178" s="13" t="s">
        <v>1230</v>
      </c>
      <c r="C178" s="22">
        <v>61836989</v>
      </c>
      <c r="D178" s="14">
        <v>1069.3555999999999</v>
      </c>
      <c r="E178" s="16">
        <f t="shared" si="2"/>
        <v>57826.40405118747</v>
      </c>
    </row>
    <row r="179" spans="1:5" x14ac:dyDescent="0.25">
      <c r="A179" s="15">
        <v>40100</v>
      </c>
      <c r="B179" s="13" t="s">
        <v>1231</v>
      </c>
      <c r="C179" s="22">
        <v>11235055</v>
      </c>
      <c r="D179" s="14">
        <v>154.80850000000001</v>
      </c>
      <c r="E179" s="16">
        <f t="shared" si="2"/>
        <v>72573.889676600447</v>
      </c>
    </row>
    <row r="180" spans="1:5" x14ac:dyDescent="0.25">
      <c r="A180" s="15">
        <v>40101</v>
      </c>
      <c r="B180" s="13" t="s">
        <v>1232</v>
      </c>
      <c r="C180" s="22">
        <v>3652185</v>
      </c>
      <c r="D180" s="14">
        <v>46.191800000000001</v>
      </c>
      <c r="E180" s="16">
        <f t="shared" si="2"/>
        <v>79065.656674994258</v>
      </c>
    </row>
    <row r="181" spans="1:5" x14ac:dyDescent="0.25">
      <c r="A181" s="15">
        <v>40103</v>
      </c>
      <c r="B181" s="13" t="s">
        <v>1233</v>
      </c>
      <c r="C181" s="22">
        <v>6365281</v>
      </c>
      <c r="D181" s="14">
        <v>67.191199999999995</v>
      </c>
      <c r="E181" s="16">
        <f t="shared" si="2"/>
        <v>94733.84907547418</v>
      </c>
    </row>
    <row r="182" spans="1:5" x14ac:dyDescent="0.25">
      <c r="A182" s="15">
        <v>40104</v>
      </c>
      <c r="B182" s="13" t="s">
        <v>1234</v>
      </c>
      <c r="C182" s="22">
        <v>4805650</v>
      </c>
      <c r="D182" s="14">
        <v>69.143899999999988</v>
      </c>
      <c r="E182" s="16">
        <f t="shared" si="2"/>
        <v>69502.154203046128</v>
      </c>
    </row>
    <row r="183" spans="1:5" x14ac:dyDescent="0.25">
      <c r="A183" s="15">
        <v>40107</v>
      </c>
      <c r="B183" s="13" t="s">
        <v>1235</v>
      </c>
      <c r="C183" s="22">
        <v>71628524</v>
      </c>
      <c r="D183" s="14">
        <v>1165.0353</v>
      </c>
      <c r="E183" s="16">
        <f t="shared" si="2"/>
        <v>61481.848661581324</v>
      </c>
    </row>
    <row r="184" spans="1:5" x14ac:dyDescent="0.25">
      <c r="A184" s="15">
        <v>41001</v>
      </c>
      <c r="B184" s="13" t="s">
        <v>1236</v>
      </c>
      <c r="C184" s="22">
        <v>5047265</v>
      </c>
      <c r="D184" s="14">
        <v>91.58720000000001</v>
      </c>
      <c r="E184" s="16">
        <f t="shared" si="2"/>
        <v>55108.847087802656</v>
      </c>
    </row>
    <row r="185" spans="1:5" x14ac:dyDescent="0.25">
      <c r="A185" s="15">
        <v>41002</v>
      </c>
      <c r="B185" s="13" t="s">
        <v>1237</v>
      </c>
      <c r="C185" s="22">
        <v>56063323</v>
      </c>
      <c r="D185" s="14">
        <v>848.04950000000031</v>
      </c>
      <c r="E185" s="16">
        <f t="shared" si="2"/>
        <v>66108.550267407714</v>
      </c>
    </row>
    <row r="186" spans="1:5" x14ac:dyDescent="0.25">
      <c r="A186" s="15">
        <v>41003</v>
      </c>
      <c r="B186" s="13" t="s">
        <v>1238</v>
      </c>
      <c r="C186" s="22">
        <v>15109950</v>
      </c>
      <c r="D186" s="14">
        <v>215.17690000000002</v>
      </c>
      <c r="E186" s="16">
        <f t="shared" si="2"/>
        <v>70221.05997437457</v>
      </c>
    </row>
    <row r="187" spans="1:5" x14ac:dyDescent="0.25">
      <c r="A187" s="15">
        <v>41004</v>
      </c>
      <c r="B187" s="13" t="s">
        <v>1239</v>
      </c>
      <c r="C187" s="22">
        <v>9267025</v>
      </c>
      <c r="D187" s="14">
        <v>119.31309999999999</v>
      </c>
      <c r="E187" s="16">
        <f t="shared" si="2"/>
        <v>77669.803232000515</v>
      </c>
    </row>
    <row r="188" spans="1:5" x14ac:dyDescent="0.25">
      <c r="A188" s="15">
        <v>41005</v>
      </c>
      <c r="B188" s="13" t="s">
        <v>1240</v>
      </c>
      <c r="C188" s="22">
        <v>6700855</v>
      </c>
      <c r="D188" s="14">
        <v>90.638500000000022</v>
      </c>
      <c r="E188" s="16">
        <f t="shared" si="2"/>
        <v>73929.456025860956</v>
      </c>
    </row>
    <row r="189" spans="1:5" x14ac:dyDescent="0.25">
      <c r="A189" s="15">
        <v>42111</v>
      </c>
      <c r="B189" s="13" t="s">
        <v>1241</v>
      </c>
      <c r="C189" s="22">
        <v>40107590</v>
      </c>
      <c r="D189" s="14">
        <v>641.43129999999996</v>
      </c>
      <c r="E189" s="16">
        <f t="shared" si="2"/>
        <v>62528.27075947183</v>
      </c>
    </row>
    <row r="190" spans="1:5" x14ac:dyDescent="0.25">
      <c r="A190" s="15">
        <v>42113</v>
      </c>
      <c r="B190" s="13" t="s">
        <v>1242</v>
      </c>
      <c r="C190" s="22">
        <v>8537989</v>
      </c>
      <c r="D190" s="14">
        <v>83.463700000000003</v>
      </c>
      <c r="E190" s="16">
        <f t="shared" si="2"/>
        <v>102295.83639354593</v>
      </c>
    </row>
    <row r="191" spans="1:5" x14ac:dyDescent="0.25">
      <c r="A191" s="15">
        <v>42117</v>
      </c>
      <c r="B191" s="13" t="s">
        <v>1243</v>
      </c>
      <c r="C191" s="22">
        <v>8953928</v>
      </c>
      <c r="D191" s="14">
        <v>156.2842</v>
      </c>
      <c r="E191" s="16">
        <f t="shared" si="2"/>
        <v>57292.598995931774</v>
      </c>
    </row>
    <row r="192" spans="1:5" x14ac:dyDescent="0.25">
      <c r="A192" s="15">
        <v>42118</v>
      </c>
      <c r="B192" s="13" t="s">
        <v>1244</v>
      </c>
      <c r="C192" s="22">
        <v>14378258</v>
      </c>
      <c r="D192" s="14">
        <v>120.78919999999999</v>
      </c>
      <c r="E192" s="16">
        <f t="shared" si="2"/>
        <v>119035.95685707001</v>
      </c>
    </row>
    <row r="193" spans="1:5" x14ac:dyDescent="0.25">
      <c r="A193" s="15">
        <v>42119</v>
      </c>
      <c r="B193" s="13" t="s">
        <v>1245</v>
      </c>
      <c r="C193" s="22">
        <v>15655642</v>
      </c>
      <c r="D193" s="14">
        <v>46.8414</v>
      </c>
      <c r="E193" s="16">
        <f t="shared" si="2"/>
        <v>334226.60296233674</v>
      </c>
    </row>
    <row r="194" spans="1:5" x14ac:dyDescent="0.25">
      <c r="A194" s="15">
        <v>42121</v>
      </c>
      <c r="B194" s="13" t="s">
        <v>1246</v>
      </c>
      <c r="C194" s="22">
        <v>9253564</v>
      </c>
      <c r="D194" s="14">
        <v>89.729500000000002</v>
      </c>
      <c r="E194" s="16">
        <f t="shared" si="2"/>
        <v>103127.33270552049</v>
      </c>
    </row>
    <row r="195" spans="1:5" x14ac:dyDescent="0.25">
      <c r="A195" s="15">
        <v>42124</v>
      </c>
      <c r="B195" s="13" t="s">
        <v>1247</v>
      </c>
      <c r="C195" s="22">
        <v>148252866</v>
      </c>
      <c r="D195" s="14">
        <v>1590.0957000000001</v>
      </c>
      <c r="E195" s="16">
        <f t="shared" ref="E195:E258" si="3">C195/D195</f>
        <v>93235.184523799413</v>
      </c>
    </row>
    <row r="196" spans="1:5" x14ac:dyDescent="0.25">
      <c r="A196" s="15">
        <v>43001</v>
      </c>
      <c r="B196" s="13" t="s">
        <v>1248</v>
      </c>
      <c r="C196" s="22">
        <v>38217148</v>
      </c>
      <c r="D196" s="14">
        <v>721.59379999999987</v>
      </c>
      <c r="E196" s="16">
        <f t="shared" si="3"/>
        <v>52962.134652487322</v>
      </c>
    </row>
    <row r="197" spans="1:5" x14ac:dyDescent="0.25">
      <c r="A197" s="15">
        <v>43002</v>
      </c>
      <c r="B197" s="13" t="s">
        <v>1249</v>
      </c>
      <c r="C197" s="22">
        <v>31933246</v>
      </c>
      <c r="D197" s="14">
        <v>280.75080000000003</v>
      </c>
      <c r="E197" s="16">
        <f t="shared" si="3"/>
        <v>113742.31524896811</v>
      </c>
    </row>
    <row r="198" spans="1:5" x14ac:dyDescent="0.25">
      <c r="A198" s="15">
        <v>43003</v>
      </c>
      <c r="B198" s="13" t="s">
        <v>1250</v>
      </c>
      <c r="C198" s="22">
        <v>20937053</v>
      </c>
      <c r="D198" s="14">
        <v>334.41449999999998</v>
      </c>
      <c r="E198" s="16">
        <f t="shared" si="3"/>
        <v>62608.089661183956</v>
      </c>
    </row>
    <row r="199" spans="1:5" x14ac:dyDescent="0.25">
      <c r="A199" s="15">
        <v>43004</v>
      </c>
      <c r="B199" s="13" t="s">
        <v>1251</v>
      </c>
      <c r="C199" s="22">
        <v>38014650</v>
      </c>
      <c r="D199" s="14">
        <v>270.34330000000006</v>
      </c>
      <c r="E199" s="16">
        <f t="shared" si="3"/>
        <v>140616.20909414065</v>
      </c>
    </row>
    <row r="200" spans="1:5" x14ac:dyDescent="0.25">
      <c r="A200" s="15">
        <v>44078</v>
      </c>
      <c r="B200" s="13" t="s">
        <v>1252</v>
      </c>
      <c r="C200" s="22">
        <v>19025106</v>
      </c>
      <c r="D200" s="14">
        <v>88.447100000000006</v>
      </c>
      <c r="E200" s="16">
        <f t="shared" si="3"/>
        <v>215101.52396178053</v>
      </c>
    </row>
    <row r="201" spans="1:5" x14ac:dyDescent="0.25">
      <c r="A201" s="15">
        <v>44083</v>
      </c>
      <c r="B201" s="13" t="s">
        <v>1253</v>
      </c>
      <c r="C201" s="22">
        <v>24792529</v>
      </c>
      <c r="D201" s="14">
        <v>254.77350000000001</v>
      </c>
      <c r="E201" s="16">
        <f t="shared" si="3"/>
        <v>97312.039909959232</v>
      </c>
    </row>
    <row r="202" spans="1:5" x14ac:dyDescent="0.25">
      <c r="A202" s="15">
        <v>44084</v>
      </c>
      <c r="B202" s="13" t="s">
        <v>1254</v>
      </c>
      <c r="C202" s="22">
        <v>26571590</v>
      </c>
      <c r="D202" s="14">
        <v>222.8279</v>
      </c>
      <c r="E202" s="16">
        <f t="shared" si="3"/>
        <v>119247.14095497018</v>
      </c>
    </row>
    <row r="203" spans="1:5" x14ac:dyDescent="0.25">
      <c r="A203" s="15">
        <v>45076</v>
      </c>
      <c r="B203" s="13" t="s">
        <v>1255</v>
      </c>
      <c r="C203" s="22">
        <v>24390135</v>
      </c>
      <c r="D203" s="14">
        <v>410.85760000000005</v>
      </c>
      <c r="E203" s="16">
        <f t="shared" si="3"/>
        <v>59363.96211242045</v>
      </c>
    </row>
    <row r="204" spans="1:5" x14ac:dyDescent="0.25">
      <c r="A204" s="15">
        <v>45077</v>
      </c>
      <c r="B204" s="13" t="s">
        <v>1256</v>
      </c>
      <c r="C204" s="22">
        <v>45509996</v>
      </c>
      <c r="D204" s="14">
        <v>629.27960000000007</v>
      </c>
      <c r="E204" s="16">
        <f t="shared" si="3"/>
        <v>72320.787135003251</v>
      </c>
    </row>
    <row r="205" spans="1:5" x14ac:dyDescent="0.25">
      <c r="A205" s="15">
        <v>45078</v>
      </c>
      <c r="B205" s="13" t="s">
        <v>1257</v>
      </c>
      <c r="C205" s="22">
        <v>22784869</v>
      </c>
      <c r="D205" s="14">
        <v>243.85119999999995</v>
      </c>
      <c r="E205" s="16">
        <f t="shared" si="3"/>
        <v>93437.592269383968</v>
      </c>
    </row>
    <row r="206" spans="1:5" x14ac:dyDescent="0.25">
      <c r="A206" s="15">
        <v>46128</v>
      </c>
      <c r="B206" s="13" t="s">
        <v>1258</v>
      </c>
      <c r="C206" s="22">
        <v>21169260</v>
      </c>
      <c r="D206" s="14">
        <v>298.43920000000003</v>
      </c>
      <c r="E206" s="16">
        <f t="shared" si="3"/>
        <v>70933.242013783703</v>
      </c>
    </row>
    <row r="207" spans="1:5" x14ac:dyDescent="0.25">
      <c r="A207" s="15">
        <v>46130</v>
      </c>
      <c r="B207" s="13" t="s">
        <v>1259</v>
      </c>
      <c r="C207" s="22">
        <v>60710441</v>
      </c>
      <c r="D207" s="14">
        <v>1278.4728000000002</v>
      </c>
      <c r="E207" s="16">
        <f t="shared" si="3"/>
        <v>47486.689587764391</v>
      </c>
    </row>
    <row r="208" spans="1:5" x14ac:dyDescent="0.25">
      <c r="A208" s="15">
        <v>46131</v>
      </c>
      <c r="B208" s="13" t="s">
        <v>1260</v>
      </c>
      <c r="C208" s="22">
        <v>61466170</v>
      </c>
      <c r="D208" s="14">
        <v>1251.0485000000001</v>
      </c>
      <c r="E208" s="16">
        <f t="shared" si="3"/>
        <v>49131.724309649064</v>
      </c>
    </row>
    <row r="209" spans="1:5" x14ac:dyDescent="0.25">
      <c r="A209" s="15">
        <v>46132</v>
      </c>
      <c r="B209" s="13" t="s">
        <v>1261</v>
      </c>
      <c r="C209" s="22">
        <v>35689230</v>
      </c>
      <c r="D209" s="14">
        <v>554.27890000000002</v>
      </c>
      <c r="E209" s="16">
        <f t="shared" si="3"/>
        <v>64388.577663699623</v>
      </c>
    </row>
    <row r="210" spans="1:5" x14ac:dyDescent="0.25">
      <c r="A210" s="15">
        <v>46134</v>
      </c>
      <c r="B210" s="13" t="s">
        <v>1262</v>
      </c>
      <c r="C210" s="22">
        <v>133389510</v>
      </c>
      <c r="D210" s="14">
        <v>1895.0992999999996</v>
      </c>
      <c r="E210" s="16">
        <f t="shared" si="3"/>
        <v>70386.554414325423</v>
      </c>
    </row>
    <row r="211" spans="1:5" x14ac:dyDescent="0.25">
      <c r="A211" s="15">
        <v>46135</v>
      </c>
      <c r="B211" s="13" t="s">
        <v>1263</v>
      </c>
      <c r="C211" s="22">
        <v>22767780</v>
      </c>
      <c r="D211" s="14">
        <v>348.57129999999995</v>
      </c>
      <c r="E211" s="16">
        <f t="shared" si="3"/>
        <v>65317.425731837371</v>
      </c>
    </row>
    <row r="212" spans="1:5" x14ac:dyDescent="0.25">
      <c r="A212" s="15">
        <v>46137</v>
      </c>
      <c r="B212" s="13" t="s">
        <v>1264</v>
      </c>
      <c r="C212" s="22">
        <v>15789610</v>
      </c>
      <c r="D212" s="14">
        <v>291.46859999999998</v>
      </c>
      <c r="E212" s="16">
        <f t="shared" si="3"/>
        <v>54172.593548670426</v>
      </c>
    </row>
    <row r="213" spans="1:5" x14ac:dyDescent="0.25">
      <c r="A213" s="15">
        <v>46140</v>
      </c>
      <c r="B213" s="13" t="s">
        <v>1265</v>
      </c>
      <c r="C213" s="22">
        <v>40392970</v>
      </c>
      <c r="D213" s="14">
        <v>693.61210000000005</v>
      </c>
      <c r="E213" s="16">
        <f t="shared" si="3"/>
        <v>58235.676684417696</v>
      </c>
    </row>
    <row r="214" spans="1:5" x14ac:dyDescent="0.25">
      <c r="A214" s="15">
        <v>47060</v>
      </c>
      <c r="B214" s="13" t="s">
        <v>1266</v>
      </c>
      <c r="C214" s="22">
        <v>27638524</v>
      </c>
      <c r="D214" s="14">
        <v>338.50230000000005</v>
      </c>
      <c r="E214" s="16">
        <f t="shared" si="3"/>
        <v>81649.44226376008</v>
      </c>
    </row>
    <row r="215" spans="1:5" x14ac:dyDescent="0.25">
      <c r="A215" s="15">
        <v>47062</v>
      </c>
      <c r="B215" s="13" t="s">
        <v>1267</v>
      </c>
      <c r="C215" s="22">
        <v>43233158</v>
      </c>
      <c r="D215" s="14">
        <v>1046.9144000000001</v>
      </c>
      <c r="E215" s="16">
        <f t="shared" si="3"/>
        <v>41295.790754239308</v>
      </c>
    </row>
    <row r="216" spans="1:5" x14ac:dyDescent="0.25">
      <c r="A216" s="15">
        <v>47064</v>
      </c>
      <c r="B216" s="13" t="s">
        <v>1268</v>
      </c>
      <c r="C216" s="22">
        <v>8865130</v>
      </c>
      <c r="D216" s="14">
        <v>151.12030000000001</v>
      </c>
      <c r="E216" s="16">
        <f t="shared" si="3"/>
        <v>58662.73425873294</v>
      </c>
    </row>
    <row r="217" spans="1:5" x14ac:dyDescent="0.25">
      <c r="A217" s="15">
        <v>47065</v>
      </c>
      <c r="B217" s="13" t="s">
        <v>1269</v>
      </c>
      <c r="C217" s="22">
        <v>79824156</v>
      </c>
      <c r="D217" s="14">
        <v>400.73940000000005</v>
      </c>
      <c r="E217" s="16">
        <f t="shared" si="3"/>
        <v>199192.1832492637</v>
      </c>
    </row>
    <row r="218" spans="1:5" x14ac:dyDescent="0.25">
      <c r="A218" s="15">
        <v>48066</v>
      </c>
      <c r="B218" s="13" t="s">
        <v>1270</v>
      </c>
      <c r="C218" s="22">
        <v>273935626</v>
      </c>
      <c r="D218" s="14">
        <v>4656.5034000000005</v>
      </c>
      <c r="E218" s="16">
        <f t="shared" si="3"/>
        <v>58828.61075544366</v>
      </c>
    </row>
    <row r="219" spans="1:5" x14ac:dyDescent="0.25">
      <c r="A219" s="15">
        <v>48068</v>
      </c>
      <c r="B219" s="13" t="s">
        <v>1271</v>
      </c>
      <c r="C219" s="22">
        <v>1239460479</v>
      </c>
      <c r="D219" s="14">
        <v>13381.296300000005</v>
      </c>
      <c r="E219" s="16">
        <f t="shared" si="3"/>
        <v>92626.338376499407</v>
      </c>
    </row>
    <row r="220" spans="1:5" x14ac:dyDescent="0.25">
      <c r="A220" s="15">
        <v>48069</v>
      </c>
      <c r="B220" s="13" t="s">
        <v>1272</v>
      </c>
      <c r="C220" s="22">
        <v>242160842</v>
      </c>
      <c r="D220" s="14">
        <v>3362.5499000000004</v>
      </c>
      <c r="E220" s="16">
        <f t="shared" si="3"/>
        <v>72017.025531725187</v>
      </c>
    </row>
    <row r="221" spans="1:5" x14ac:dyDescent="0.25">
      <c r="A221" s="15">
        <v>48070</v>
      </c>
      <c r="B221" s="13" t="s">
        <v>1273</v>
      </c>
      <c r="C221" s="22">
        <v>123663474</v>
      </c>
      <c r="D221" s="14">
        <v>1986.0090999999998</v>
      </c>
      <c r="E221" s="16">
        <f t="shared" si="3"/>
        <v>62267.324958380108</v>
      </c>
    </row>
    <row r="222" spans="1:5" x14ac:dyDescent="0.25">
      <c r="A222" s="15">
        <v>48071</v>
      </c>
      <c r="B222" s="13" t="s">
        <v>1274</v>
      </c>
      <c r="C222" s="22">
        <v>1662138812</v>
      </c>
      <c r="D222" s="14">
        <v>16529.252299999996</v>
      </c>
      <c r="E222" s="16">
        <f t="shared" si="3"/>
        <v>100557.41069425145</v>
      </c>
    </row>
    <row r="223" spans="1:5" x14ac:dyDescent="0.25">
      <c r="A223" s="15">
        <v>48072</v>
      </c>
      <c r="B223" s="13" t="s">
        <v>1275</v>
      </c>
      <c r="C223" s="22">
        <v>385795192</v>
      </c>
      <c r="D223" s="14">
        <v>6274.3693000000003</v>
      </c>
      <c r="E223" s="16">
        <f t="shared" si="3"/>
        <v>61487.485602736197</v>
      </c>
    </row>
    <row r="224" spans="1:5" x14ac:dyDescent="0.25">
      <c r="A224" s="15">
        <v>48073</v>
      </c>
      <c r="B224" s="13" t="s">
        <v>1276</v>
      </c>
      <c r="C224" s="22">
        <v>616337093</v>
      </c>
      <c r="D224" s="14">
        <v>8748.9308000000037</v>
      </c>
      <c r="E224" s="16">
        <f t="shared" si="3"/>
        <v>70447.133151401737</v>
      </c>
    </row>
    <row r="225" spans="1:5" x14ac:dyDescent="0.25">
      <c r="A225" s="15">
        <v>48074</v>
      </c>
      <c r="B225" s="13" t="s">
        <v>1277</v>
      </c>
      <c r="C225" s="22">
        <v>432120611</v>
      </c>
      <c r="D225" s="14">
        <v>3561.4253999999992</v>
      </c>
      <c r="E225" s="16">
        <f t="shared" si="3"/>
        <v>121333.61294048167</v>
      </c>
    </row>
    <row r="226" spans="1:5" x14ac:dyDescent="0.25">
      <c r="A226" s="15">
        <v>48075</v>
      </c>
      <c r="B226" s="13" t="s">
        <v>1278</v>
      </c>
      <c r="C226" s="22">
        <v>48311981</v>
      </c>
      <c r="D226" s="14">
        <v>522.5145</v>
      </c>
      <c r="E226" s="16">
        <f t="shared" si="3"/>
        <v>92460.555640082719</v>
      </c>
    </row>
    <row r="227" spans="1:5" x14ac:dyDescent="0.25">
      <c r="A227" s="15">
        <v>48077</v>
      </c>
      <c r="B227" s="13" t="s">
        <v>1279</v>
      </c>
      <c r="C227" s="22">
        <v>938203032</v>
      </c>
      <c r="D227" s="14">
        <v>13604.157300000006</v>
      </c>
      <c r="E227" s="16">
        <f t="shared" si="3"/>
        <v>68964.435746416988</v>
      </c>
    </row>
    <row r="228" spans="1:5" x14ac:dyDescent="0.25">
      <c r="A228" s="15">
        <v>48078</v>
      </c>
      <c r="B228" s="13" t="s">
        <v>1280</v>
      </c>
      <c r="C228" s="22">
        <v>2791766785</v>
      </c>
      <c r="D228" s="14">
        <v>16591.052899999999</v>
      </c>
      <c r="E228" s="16">
        <f t="shared" si="3"/>
        <v>168269.41616224972</v>
      </c>
    </row>
    <row r="229" spans="1:5" x14ac:dyDescent="0.25">
      <c r="A229" s="15">
        <v>48080</v>
      </c>
      <c r="B229" s="13" t="s">
        <v>1281</v>
      </c>
      <c r="C229" s="22">
        <v>403461917</v>
      </c>
      <c r="D229" s="14">
        <v>2194.838600000001</v>
      </c>
      <c r="E229" s="16">
        <f t="shared" si="3"/>
        <v>183823.04603172181</v>
      </c>
    </row>
    <row r="230" spans="1:5" x14ac:dyDescent="0.25">
      <c r="A230" s="15">
        <v>49132</v>
      </c>
      <c r="B230" s="13" t="s">
        <v>1282</v>
      </c>
      <c r="C230" s="22">
        <v>215061145</v>
      </c>
      <c r="D230" s="14">
        <v>3211.3944000000001</v>
      </c>
      <c r="E230" s="16">
        <f t="shared" si="3"/>
        <v>66968.150968937349</v>
      </c>
    </row>
    <row r="231" spans="1:5" x14ac:dyDescent="0.25">
      <c r="A231" s="15">
        <v>49135</v>
      </c>
      <c r="B231" s="13" t="s">
        <v>1283</v>
      </c>
      <c r="C231" s="22">
        <v>19465450</v>
      </c>
      <c r="D231" s="14">
        <v>200.10720000000001</v>
      </c>
      <c r="E231" s="16">
        <f t="shared" si="3"/>
        <v>97275.11054075016</v>
      </c>
    </row>
    <row r="232" spans="1:5" x14ac:dyDescent="0.25">
      <c r="A232" s="15">
        <v>49137</v>
      </c>
      <c r="B232" s="13" t="s">
        <v>1284</v>
      </c>
      <c r="C232" s="22">
        <v>33337522</v>
      </c>
      <c r="D232" s="14">
        <v>496.20820000000009</v>
      </c>
      <c r="E232" s="16">
        <f t="shared" si="3"/>
        <v>67184.544713287672</v>
      </c>
    </row>
    <row r="233" spans="1:5" x14ac:dyDescent="0.25">
      <c r="A233" s="15">
        <v>49140</v>
      </c>
      <c r="B233" s="13" t="s">
        <v>1285</v>
      </c>
      <c r="C233" s="22">
        <v>33131252</v>
      </c>
      <c r="D233" s="14">
        <v>815.20930000000021</v>
      </c>
      <c r="E233" s="16">
        <f t="shared" si="3"/>
        <v>40641.405832833349</v>
      </c>
    </row>
    <row r="234" spans="1:5" x14ac:dyDescent="0.25">
      <c r="A234" s="15">
        <v>49142</v>
      </c>
      <c r="B234" s="13" t="s">
        <v>1286</v>
      </c>
      <c r="C234" s="22">
        <v>294850620</v>
      </c>
      <c r="D234" s="14">
        <v>4140.9497000000001</v>
      </c>
      <c r="E234" s="16">
        <f t="shared" si="3"/>
        <v>71203.622685878072</v>
      </c>
    </row>
    <row r="235" spans="1:5" x14ac:dyDescent="0.25">
      <c r="A235" s="15">
        <v>49144</v>
      </c>
      <c r="B235" s="13" t="s">
        <v>1287</v>
      </c>
      <c r="C235" s="22">
        <v>207311800</v>
      </c>
      <c r="D235" s="14">
        <v>3912.4618999999993</v>
      </c>
      <c r="E235" s="16">
        <f t="shared" si="3"/>
        <v>52987.557527397272</v>
      </c>
    </row>
    <row r="236" spans="1:5" x14ac:dyDescent="0.25">
      <c r="A236" s="15">
        <v>49148</v>
      </c>
      <c r="B236" s="13" t="s">
        <v>1288</v>
      </c>
      <c r="C236" s="22">
        <v>890415476</v>
      </c>
      <c r="D236" s="14">
        <v>7361.7780000000021</v>
      </c>
      <c r="E236" s="16">
        <f t="shared" si="3"/>
        <v>120951.14468271112</v>
      </c>
    </row>
    <row r="237" spans="1:5" x14ac:dyDescent="0.25">
      <c r="A237" s="15">
        <v>50001</v>
      </c>
      <c r="B237" s="13" t="s">
        <v>1289</v>
      </c>
      <c r="C237" s="22">
        <v>535852429</v>
      </c>
      <c r="D237" s="14">
        <v>6668.0695000000005</v>
      </c>
      <c r="E237" s="16">
        <f t="shared" si="3"/>
        <v>80360.954396171175</v>
      </c>
    </row>
    <row r="238" spans="1:5" x14ac:dyDescent="0.25">
      <c r="A238" s="15">
        <v>50002</v>
      </c>
      <c r="B238" s="13" t="s">
        <v>1290</v>
      </c>
      <c r="C238" s="22">
        <v>49012046</v>
      </c>
      <c r="D238" s="14">
        <v>737.50950000000012</v>
      </c>
      <c r="E238" s="16">
        <f t="shared" si="3"/>
        <v>66456.155480031099</v>
      </c>
    </row>
    <row r="239" spans="1:5" x14ac:dyDescent="0.25">
      <c r="A239" s="15">
        <v>50003</v>
      </c>
      <c r="B239" s="13" t="s">
        <v>1291</v>
      </c>
      <c r="C239" s="22">
        <v>234006702</v>
      </c>
      <c r="D239" s="14">
        <v>3529.7647999999999</v>
      </c>
      <c r="E239" s="16">
        <f t="shared" si="3"/>
        <v>66295.267605365661</v>
      </c>
    </row>
    <row r="240" spans="1:5" x14ac:dyDescent="0.25">
      <c r="A240" s="15">
        <v>50005</v>
      </c>
      <c r="B240" s="13" t="s">
        <v>1292</v>
      </c>
      <c r="C240" s="22">
        <v>164135917</v>
      </c>
      <c r="D240" s="14">
        <v>1332.8446999999996</v>
      </c>
      <c r="E240" s="16">
        <f t="shared" si="3"/>
        <v>123147.06807177163</v>
      </c>
    </row>
    <row r="241" spans="1:5" x14ac:dyDescent="0.25">
      <c r="A241" s="15">
        <v>50006</v>
      </c>
      <c r="B241" s="13" t="s">
        <v>1293</v>
      </c>
      <c r="C241" s="22">
        <v>234522817</v>
      </c>
      <c r="D241" s="14">
        <v>2945.2239</v>
      </c>
      <c r="E241" s="16">
        <f t="shared" si="3"/>
        <v>79628.179372033483</v>
      </c>
    </row>
    <row r="242" spans="1:5" x14ac:dyDescent="0.25">
      <c r="A242" s="15">
        <v>50007</v>
      </c>
      <c r="B242" s="13" t="s">
        <v>1294</v>
      </c>
      <c r="C242" s="22">
        <v>157929532</v>
      </c>
      <c r="D242" s="14">
        <v>952.75550000000021</v>
      </c>
      <c r="E242" s="16">
        <f t="shared" si="3"/>
        <v>165760.81901390228</v>
      </c>
    </row>
    <row r="243" spans="1:5" x14ac:dyDescent="0.25">
      <c r="A243" s="15">
        <v>50009</v>
      </c>
      <c r="B243" s="13" t="s">
        <v>1295</v>
      </c>
      <c r="C243" s="22">
        <v>32891916</v>
      </c>
      <c r="D243" s="14">
        <v>468.23540000000008</v>
      </c>
      <c r="E243" s="16">
        <f t="shared" si="3"/>
        <v>70246.53838646115</v>
      </c>
    </row>
    <row r="244" spans="1:5" x14ac:dyDescent="0.25">
      <c r="A244" s="15">
        <v>50010</v>
      </c>
      <c r="B244" s="13" t="s">
        <v>1296</v>
      </c>
      <c r="C244" s="22">
        <v>201711585</v>
      </c>
      <c r="D244" s="14">
        <v>2953.0135000000005</v>
      </c>
      <c r="E244" s="16">
        <f t="shared" si="3"/>
        <v>68307.03110568237</v>
      </c>
    </row>
    <row r="245" spans="1:5" x14ac:dyDescent="0.25">
      <c r="A245" s="15">
        <v>50012</v>
      </c>
      <c r="B245" s="13" t="s">
        <v>1297</v>
      </c>
      <c r="C245" s="22">
        <v>831848352</v>
      </c>
      <c r="D245" s="14">
        <v>11383.106600000001</v>
      </c>
      <c r="E245" s="16">
        <f t="shared" si="3"/>
        <v>73077.44548399467</v>
      </c>
    </row>
    <row r="246" spans="1:5" x14ac:dyDescent="0.25">
      <c r="A246" s="15">
        <v>50013</v>
      </c>
      <c r="B246" s="13" t="s">
        <v>1298</v>
      </c>
      <c r="C246" s="22">
        <v>58752682</v>
      </c>
      <c r="D246" s="14">
        <v>627.19950000000017</v>
      </c>
      <c r="E246" s="16">
        <f t="shared" si="3"/>
        <v>93674.631437046715</v>
      </c>
    </row>
    <row r="247" spans="1:5" x14ac:dyDescent="0.25">
      <c r="A247" s="15">
        <v>50014</v>
      </c>
      <c r="B247" s="13" t="s">
        <v>1299</v>
      </c>
      <c r="C247" s="22">
        <v>180162287</v>
      </c>
      <c r="D247" s="14">
        <v>2833.7458999999999</v>
      </c>
      <c r="E247" s="16">
        <f t="shared" si="3"/>
        <v>63577.431907356266</v>
      </c>
    </row>
    <row r="248" spans="1:5" x14ac:dyDescent="0.25">
      <c r="A248" s="15">
        <v>51150</v>
      </c>
      <c r="B248" s="13" t="s">
        <v>1300</v>
      </c>
      <c r="C248" s="22">
        <v>22312476</v>
      </c>
      <c r="D248" s="14">
        <v>272.35550000000006</v>
      </c>
      <c r="E248" s="16">
        <f t="shared" si="3"/>
        <v>81924.088186212481</v>
      </c>
    </row>
    <row r="249" spans="1:5" x14ac:dyDescent="0.25">
      <c r="A249" s="15">
        <v>51152</v>
      </c>
      <c r="B249" s="13" t="s">
        <v>1301</v>
      </c>
      <c r="C249" s="22">
        <v>87241289</v>
      </c>
      <c r="D249" s="14">
        <v>1344.6205000000002</v>
      </c>
      <c r="E249" s="16">
        <f t="shared" si="3"/>
        <v>64881.718670807102</v>
      </c>
    </row>
    <row r="250" spans="1:5" x14ac:dyDescent="0.25">
      <c r="A250" s="15">
        <v>51153</v>
      </c>
      <c r="B250" s="13" t="s">
        <v>1302</v>
      </c>
      <c r="C250" s="22">
        <v>8846113</v>
      </c>
      <c r="D250" s="14">
        <v>166.3638</v>
      </c>
      <c r="E250" s="16">
        <f t="shared" si="3"/>
        <v>53173.304528990084</v>
      </c>
    </row>
    <row r="251" spans="1:5" x14ac:dyDescent="0.25">
      <c r="A251" s="15">
        <v>51154</v>
      </c>
      <c r="B251" s="13" t="s">
        <v>1303</v>
      </c>
      <c r="C251" s="22">
        <v>34608384</v>
      </c>
      <c r="D251" s="14">
        <v>615.9978000000001</v>
      </c>
      <c r="E251" s="16">
        <f t="shared" si="3"/>
        <v>56182.642210735161</v>
      </c>
    </row>
    <row r="252" spans="1:5" x14ac:dyDescent="0.25">
      <c r="A252" s="15">
        <v>51155</v>
      </c>
      <c r="B252" s="13" t="s">
        <v>1304</v>
      </c>
      <c r="C252" s="22">
        <v>55106919</v>
      </c>
      <c r="D252" s="14">
        <v>965.79700000000014</v>
      </c>
      <c r="E252" s="16">
        <f t="shared" si="3"/>
        <v>57058.490552362447</v>
      </c>
    </row>
    <row r="253" spans="1:5" x14ac:dyDescent="0.25">
      <c r="A253" s="15">
        <v>51156</v>
      </c>
      <c r="B253" s="13" t="s">
        <v>1305</v>
      </c>
      <c r="C253" s="22">
        <v>14423276</v>
      </c>
      <c r="D253" s="14">
        <v>309.17290000000008</v>
      </c>
      <c r="E253" s="16">
        <f t="shared" si="3"/>
        <v>46651.165092412681</v>
      </c>
    </row>
    <row r="254" spans="1:5" x14ac:dyDescent="0.25">
      <c r="A254" s="15">
        <v>51159</v>
      </c>
      <c r="B254" s="13" t="s">
        <v>1306</v>
      </c>
      <c r="C254" s="22">
        <v>247013696</v>
      </c>
      <c r="D254" s="14">
        <v>3136.4736999999996</v>
      </c>
      <c r="E254" s="16">
        <f t="shared" si="3"/>
        <v>78755.226291232742</v>
      </c>
    </row>
    <row r="255" spans="1:5" x14ac:dyDescent="0.25">
      <c r="A255" s="15">
        <v>52096</v>
      </c>
      <c r="B255" s="13" t="s">
        <v>1307</v>
      </c>
      <c r="C255" s="22">
        <v>56389412</v>
      </c>
      <c r="D255" s="14">
        <v>513.93449999999996</v>
      </c>
      <c r="E255" s="16">
        <f t="shared" si="3"/>
        <v>109721.00919475147</v>
      </c>
    </row>
    <row r="256" spans="1:5" x14ac:dyDescent="0.25">
      <c r="A256" s="15">
        <v>53111</v>
      </c>
      <c r="B256" s="13" t="s">
        <v>1308</v>
      </c>
      <c r="C256" s="22">
        <v>31954227</v>
      </c>
      <c r="D256" s="14">
        <v>841.74040000000014</v>
      </c>
      <c r="E256" s="16">
        <f t="shared" si="3"/>
        <v>37962.092588166131</v>
      </c>
    </row>
    <row r="257" spans="1:5" x14ac:dyDescent="0.25">
      <c r="A257" s="15">
        <v>53112</v>
      </c>
      <c r="B257" s="13" t="s">
        <v>1309</v>
      </c>
      <c r="C257" s="22">
        <v>7917352</v>
      </c>
      <c r="D257" s="14">
        <v>121.63749999999999</v>
      </c>
      <c r="E257" s="16">
        <f t="shared" si="3"/>
        <v>65089.729729729734</v>
      </c>
    </row>
    <row r="258" spans="1:5" x14ac:dyDescent="0.25">
      <c r="A258" s="15">
        <v>53113</v>
      </c>
      <c r="B258" s="13" t="s">
        <v>1310</v>
      </c>
      <c r="C258" s="22">
        <v>281329304</v>
      </c>
      <c r="D258" s="14">
        <v>4092.6736000000005</v>
      </c>
      <c r="E258" s="16">
        <f t="shared" si="3"/>
        <v>68739.736293654089</v>
      </c>
    </row>
    <row r="259" spans="1:5" x14ac:dyDescent="0.25">
      <c r="A259" s="15">
        <v>53114</v>
      </c>
      <c r="B259" s="13" t="s">
        <v>1311</v>
      </c>
      <c r="C259" s="22">
        <v>26760397</v>
      </c>
      <c r="D259" s="14">
        <v>631.71300000000008</v>
      </c>
      <c r="E259" s="16">
        <f t="shared" ref="E259:E322" si="4">C259/D259</f>
        <v>42361.637325810923</v>
      </c>
    </row>
    <row r="260" spans="1:5" x14ac:dyDescent="0.25">
      <c r="A260" s="15">
        <v>54037</v>
      </c>
      <c r="B260" s="13" t="s">
        <v>1312</v>
      </c>
      <c r="C260" s="22">
        <v>47281549</v>
      </c>
      <c r="D260" s="14">
        <v>458.86250000000001</v>
      </c>
      <c r="E260" s="16">
        <f t="shared" si="4"/>
        <v>103040.77801084203</v>
      </c>
    </row>
    <row r="261" spans="1:5" x14ac:dyDescent="0.25">
      <c r="A261" s="15">
        <v>54039</v>
      </c>
      <c r="B261" s="13" t="s">
        <v>1313</v>
      </c>
      <c r="C261" s="22">
        <v>66556750</v>
      </c>
      <c r="D261" s="14">
        <v>944.50150000000008</v>
      </c>
      <c r="E261" s="16">
        <f t="shared" si="4"/>
        <v>70467.595869355413</v>
      </c>
    </row>
    <row r="262" spans="1:5" x14ac:dyDescent="0.25">
      <c r="A262" s="15">
        <v>54041</v>
      </c>
      <c r="B262" s="13" t="s">
        <v>1314</v>
      </c>
      <c r="C262" s="22">
        <v>130040176</v>
      </c>
      <c r="D262" s="14">
        <v>2050.6233999999999</v>
      </c>
      <c r="E262" s="16">
        <f t="shared" si="4"/>
        <v>63414.947864147071</v>
      </c>
    </row>
    <row r="263" spans="1:5" x14ac:dyDescent="0.25">
      <c r="A263" s="15">
        <v>54042</v>
      </c>
      <c r="B263" s="13" t="s">
        <v>1315</v>
      </c>
      <c r="C263" s="22">
        <v>27650171</v>
      </c>
      <c r="D263" s="14">
        <v>389.64400000000006</v>
      </c>
      <c r="E263" s="16">
        <f t="shared" si="4"/>
        <v>70962.650522014956</v>
      </c>
    </row>
    <row r="264" spans="1:5" x14ac:dyDescent="0.25">
      <c r="A264" s="15">
        <v>54043</v>
      </c>
      <c r="B264" s="13" t="s">
        <v>1316</v>
      </c>
      <c r="C264" s="22">
        <v>25413058</v>
      </c>
      <c r="D264" s="14">
        <v>387.07299999999998</v>
      </c>
      <c r="E264" s="16">
        <f t="shared" si="4"/>
        <v>65654.432109705405</v>
      </c>
    </row>
    <row r="265" spans="1:5" x14ac:dyDescent="0.25">
      <c r="A265" s="15">
        <v>54045</v>
      </c>
      <c r="B265" s="13" t="s">
        <v>1317</v>
      </c>
      <c r="C265" s="22">
        <v>55040870</v>
      </c>
      <c r="D265" s="14">
        <v>896.37750000000005</v>
      </c>
      <c r="E265" s="16">
        <f t="shared" si="4"/>
        <v>61403.672002030391</v>
      </c>
    </row>
    <row r="266" spans="1:5" x14ac:dyDescent="0.25">
      <c r="A266" s="15">
        <v>55104</v>
      </c>
      <c r="B266" s="13" t="s">
        <v>1318</v>
      </c>
      <c r="C266" s="22">
        <v>42316720</v>
      </c>
      <c r="D266" s="14">
        <v>576.34929999999997</v>
      </c>
      <c r="E266" s="16">
        <f t="shared" si="4"/>
        <v>73422.002941618921</v>
      </c>
    </row>
    <row r="267" spans="1:5" x14ac:dyDescent="0.25">
      <c r="A267" s="15">
        <v>55105</v>
      </c>
      <c r="B267" s="13" t="s">
        <v>1319</v>
      </c>
      <c r="C267" s="22">
        <v>34982706</v>
      </c>
      <c r="D267" s="14">
        <v>702.90839999999992</v>
      </c>
      <c r="E267" s="16">
        <f t="shared" si="4"/>
        <v>49768.513223060079</v>
      </c>
    </row>
    <row r="268" spans="1:5" x14ac:dyDescent="0.25">
      <c r="A268" s="15">
        <v>55106</v>
      </c>
      <c r="B268" s="13" t="s">
        <v>1320</v>
      </c>
      <c r="C268" s="22">
        <v>35902297</v>
      </c>
      <c r="D268" s="14">
        <v>705.73699999999997</v>
      </c>
      <c r="E268" s="16">
        <f t="shared" si="4"/>
        <v>50872.062822269487</v>
      </c>
    </row>
    <row r="269" spans="1:5" x14ac:dyDescent="0.25">
      <c r="A269" s="15">
        <v>55108</v>
      </c>
      <c r="B269" s="13" t="s">
        <v>1321</v>
      </c>
      <c r="C269" s="22">
        <v>100917280</v>
      </c>
      <c r="D269" s="14">
        <v>1441.1595000000002</v>
      </c>
      <c r="E269" s="16">
        <f t="shared" si="4"/>
        <v>70025.059682845647</v>
      </c>
    </row>
    <row r="270" spans="1:5" x14ac:dyDescent="0.25">
      <c r="A270" s="15">
        <v>55110</v>
      </c>
      <c r="B270" s="13" t="s">
        <v>1322</v>
      </c>
      <c r="C270" s="22">
        <v>106186576</v>
      </c>
      <c r="D270" s="14">
        <v>2065.3404000000005</v>
      </c>
      <c r="E270" s="16">
        <f t="shared" si="4"/>
        <v>51413.595550641425</v>
      </c>
    </row>
    <row r="271" spans="1:5" x14ac:dyDescent="0.25">
      <c r="A271" s="15">
        <v>55111</v>
      </c>
      <c r="B271" s="13" t="s">
        <v>1323</v>
      </c>
      <c r="C271" s="22">
        <v>23221919</v>
      </c>
      <c r="D271" s="14">
        <v>388.55880000000002</v>
      </c>
      <c r="E271" s="16">
        <f t="shared" si="4"/>
        <v>59764.233881718799</v>
      </c>
    </row>
    <row r="272" spans="1:5" x14ac:dyDescent="0.25">
      <c r="A272" s="15">
        <v>56015</v>
      </c>
      <c r="B272" s="13" t="s">
        <v>1324</v>
      </c>
      <c r="C272" s="22">
        <v>30225195</v>
      </c>
      <c r="D272" s="14">
        <v>507.22070000000014</v>
      </c>
      <c r="E272" s="16">
        <f t="shared" si="4"/>
        <v>59589.829437166096</v>
      </c>
    </row>
    <row r="273" spans="1:5" x14ac:dyDescent="0.25">
      <c r="A273" s="15">
        <v>56017</v>
      </c>
      <c r="B273" s="13" t="s">
        <v>1325</v>
      </c>
      <c r="C273" s="22">
        <v>63499498</v>
      </c>
      <c r="D273" s="14">
        <v>1039.7954</v>
      </c>
      <c r="E273" s="16">
        <f t="shared" si="4"/>
        <v>61069.223810761236</v>
      </c>
    </row>
    <row r="274" spans="1:5" x14ac:dyDescent="0.25">
      <c r="A274" s="15">
        <v>57001</v>
      </c>
      <c r="B274" s="13" t="s">
        <v>1326</v>
      </c>
      <c r="C274" s="22">
        <v>27865533</v>
      </c>
      <c r="D274" s="14">
        <v>390.88600000000008</v>
      </c>
      <c r="E274" s="16">
        <f t="shared" si="4"/>
        <v>71288.132601321093</v>
      </c>
    </row>
    <row r="275" spans="1:5" x14ac:dyDescent="0.25">
      <c r="A275" s="15">
        <v>57002</v>
      </c>
      <c r="B275" s="13" t="s">
        <v>1327</v>
      </c>
      <c r="C275" s="22">
        <v>42438233</v>
      </c>
      <c r="D275" s="14">
        <v>812.49360000000024</v>
      </c>
      <c r="E275" s="16">
        <f t="shared" si="4"/>
        <v>52232.08281271383</v>
      </c>
    </row>
    <row r="276" spans="1:5" x14ac:dyDescent="0.25">
      <c r="A276" s="15">
        <v>57003</v>
      </c>
      <c r="B276" s="13" t="s">
        <v>1328</v>
      </c>
      <c r="C276" s="22">
        <v>412325952</v>
      </c>
      <c r="D276" s="14">
        <v>5783.3304999999991</v>
      </c>
      <c r="E276" s="16">
        <f t="shared" si="4"/>
        <v>71295.588588616898</v>
      </c>
    </row>
    <row r="277" spans="1:5" x14ac:dyDescent="0.25">
      <c r="A277" s="15">
        <v>57004</v>
      </c>
      <c r="B277" s="13" t="s">
        <v>1329</v>
      </c>
      <c r="C277" s="22">
        <v>91577879</v>
      </c>
      <c r="D277" s="14">
        <v>1469.6384</v>
      </c>
      <c r="E277" s="16">
        <f t="shared" si="4"/>
        <v>62313.205071397155</v>
      </c>
    </row>
    <row r="278" spans="1:5" x14ac:dyDescent="0.25">
      <c r="A278" s="15">
        <v>58106</v>
      </c>
      <c r="B278" s="13" t="s">
        <v>1330</v>
      </c>
      <c r="C278" s="22">
        <v>15194538</v>
      </c>
      <c r="D278" s="14">
        <v>253.27450000000005</v>
      </c>
      <c r="E278" s="16">
        <f t="shared" si="4"/>
        <v>59992.371912687609</v>
      </c>
    </row>
    <row r="279" spans="1:5" x14ac:dyDescent="0.25">
      <c r="A279" s="15">
        <v>58107</v>
      </c>
      <c r="B279" s="13" t="s">
        <v>1331</v>
      </c>
      <c r="C279" s="22">
        <v>9734485</v>
      </c>
      <c r="D279" s="14">
        <v>150.03919999999999</v>
      </c>
      <c r="E279" s="16">
        <f t="shared" si="4"/>
        <v>64879.611461538057</v>
      </c>
    </row>
    <row r="280" spans="1:5" x14ac:dyDescent="0.25">
      <c r="A280" s="15">
        <v>58108</v>
      </c>
      <c r="B280" s="13" t="s">
        <v>1332</v>
      </c>
      <c r="C280" s="22">
        <v>13799113</v>
      </c>
      <c r="D280" s="14">
        <v>222.01899999999998</v>
      </c>
      <c r="E280" s="16">
        <f t="shared" si="4"/>
        <v>62152.847278836503</v>
      </c>
    </row>
    <row r="281" spans="1:5" x14ac:dyDescent="0.25">
      <c r="A281" s="15">
        <v>58109</v>
      </c>
      <c r="B281" s="13" t="s">
        <v>1333</v>
      </c>
      <c r="C281" s="22">
        <v>36601586</v>
      </c>
      <c r="D281" s="14">
        <v>634.6726000000001</v>
      </c>
      <c r="E281" s="16">
        <f t="shared" si="4"/>
        <v>57670.02703441112</v>
      </c>
    </row>
    <row r="282" spans="1:5" x14ac:dyDescent="0.25">
      <c r="A282" s="15">
        <v>58112</v>
      </c>
      <c r="B282" s="13" t="s">
        <v>1334</v>
      </c>
      <c r="C282" s="22">
        <v>56685239</v>
      </c>
      <c r="D282" s="14">
        <v>1048.8650000000002</v>
      </c>
      <c r="E282" s="16">
        <f t="shared" si="4"/>
        <v>54044.361285770799</v>
      </c>
    </row>
    <row r="283" spans="1:5" x14ac:dyDescent="0.25">
      <c r="A283" s="15">
        <v>59113</v>
      </c>
      <c r="B283" s="13" t="s">
        <v>1335</v>
      </c>
      <c r="C283" s="22">
        <v>9943175</v>
      </c>
      <c r="D283" s="14">
        <v>174.80720000000005</v>
      </c>
      <c r="E283" s="16">
        <f t="shared" si="4"/>
        <v>56880.809257284578</v>
      </c>
    </row>
    <row r="284" spans="1:5" x14ac:dyDescent="0.25">
      <c r="A284" s="15">
        <v>59114</v>
      </c>
      <c r="B284" s="13" t="s">
        <v>1336</v>
      </c>
      <c r="C284" s="22">
        <v>5876307</v>
      </c>
      <c r="D284" s="14">
        <v>85.85029999999999</v>
      </c>
      <c r="E284" s="16">
        <f t="shared" si="4"/>
        <v>68448.298957604115</v>
      </c>
    </row>
    <row r="285" spans="1:5" x14ac:dyDescent="0.25">
      <c r="A285" s="15">
        <v>59117</v>
      </c>
      <c r="B285" s="13" t="s">
        <v>1337</v>
      </c>
      <c r="C285" s="22">
        <v>128238598</v>
      </c>
      <c r="D285" s="14">
        <v>1898.2593000000002</v>
      </c>
      <c r="E285" s="16">
        <f t="shared" si="4"/>
        <v>67555.890810070036</v>
      </c>
    </row>
    <row r="286" spans="1:5" x14ac:dyDescent="0.25">
      <c r="A286" s="15">
        <v>60077</v>
      </c>
      <c r="B286" s="13" t="s">
        <v>1338</v>
      </c>
      <c r="C286" s="22">
        <v>222590863</v>
      </c>
      <c r="D286" s="14">
        <v>3664.1298999999999</v>
      </c>
      <c r="E286" s="16">
        <f t="shared" si="4"/>
        <v>60748.627661917773</v>
      </c>
    </row>
    <row r="287" spans="1:5" x14ac:dyDescent="0.25">
      <c r="A287" s="15">
        <v>61150</v>
      </c>
      <c r="B287" s="13" t="s">
        <v>1339</v>
      </c>
      <c r="C287" s="22">
        <v>12881261</v>
      </c>
      <c r="D287" s="14">
        <v>214.73159999999999</v>
      </c>
      <c r="E287" s="16">
        <f t="shared" si="4"/>
        <v>59987.728867106664</v>
      </c>
    </row>
    <row r="288" spans="1:5" x14ac:dyDescent="0.25">
      <c r="A288" s="15">
        <v>61151</v>
      </c>
      <c r="B288" s="13" t="s">
        <v>1340</v>
      </c>
      <c r="C288" s="22">
        <v>11347017</v>
      </c>
      <c r="D288" s="14">
        <v>236.5463</v>
      </c>
      <c r="E288" s="16">
        <f t="shared" si="4"/>
        <v>47969.539155759361</v>
      </c>
    </row>
    <row r="289" spans="1:5" x14ac:dyDescent="0.25">
      <c r="A289" s="15">
        <v>61154</v>
      </c>
      <c r="B289" s="13" t="s">
        <v>1341</v>
      </c>
      <c r="C289" s="22">
        <v>23133431</v>
      </c>
      <c r="D289" s="14">
        <v>301.86049999999994</v>
      </c>
      <c r="E289" s="16">
        <f t="shared" si="4"/>
        <v>76636.164718470958</v>
      </c>
    </row>
    <row r="290" spans="1:5" x14ac:dyDescent="0.25">
      <c r="A290" s="15">
        <v>61156</v>
      </c>
      <c r="B290" s="13" t="s">
        <v>1342</v>
      </c>
      <c r="C290" s="22">
        <v>91068476</v>
      </c>
      <c r="D290" s="14">
        <v>1318.2895000000001</v>
      </c>
      <c r="E290" s="16">
        <f t="shared" si="4"/>
        <v>69080.786883305977</v>
      </c>
    </row>
    <row r="291" spans="1:5" x14ac:dyDescent="0.25">
      <c r="A291" s="15">
        <v>61157</v>
      </c>
      <c r="B291" s="13" t="s">
        <v>1343</v>
      </c>
      <c r="C291" s="22">
        <v>5225704</v>
      </c>
      <c r="D291" s="14">
        <v>91.131100000000004</v>
      </c>
      <c r="E291" s="16">
        <f t="shared" si="4"/>
        <v>57342.707374321166</v>
      </c>
    </row>
    <row r="292" spans="1:5" x14ac:dyDescent="0.25">
      <c r="A292" s="15">
        <v>61158</v>
      </c>
      <c r="B292" s="13" t="s">
        <v>1344</v>
      </c>
      <c r="C292" s="22">
        <v>10480605</v>
      </c>
      <c r="D292" s="14">
        <v>125.54830000000001</v>
      </c>
      <c r="E292" s="16">
        <f t="shared" si="4"/>
        <v>83478.669165572122</v>
      </c>
    </row>
    <row r="293" spans="1:5" x14ac:dyDescent="0.25">
      <c r="A293" s="15">
        <v>62070</v>
      </c>
      <c r="B293" s="13" t="s">
        <v>1345</v>
      </c>
      <c r="C293" s="22">
        <v>9983916</v>
      </c>
      <c r="D293" s="14">
        <v>170.34700000000001</v>
      </c>
      <c r="E293" s="16">
        <f t="shared" si="4"/>
        <v>58609.28575202381</v>
      </c>
    </row>
    <row r="294" spans="1:5" x14ac:dyDescent="0.25">
      <c r="A294" s="15">
        <v>62072</v>
      </c>
      <c r="B294" s="13" t="s">
        <v>1346</v>
      </c>
      <c r="C294" s="22">
        <v>93698634</v>
      </c>
      <c r="D294" s="14">
        <v>1748.5072999999998</v>
      </c>
      <c r="E294" s="16">
        <f t="shared" si="4"/>
        <v>53587.785421313376</v>
      </c>
    </row>
    <row r="295" spans="1:5" x14ac:dyDescent="0.25">
      <c r="A295" s="15">
        <v>63066</v>
      </c>
      <c r="B295" s="13" t="s">
        <v>1347</v>
      </c>
      <c r="C295" s="22">
        <v>43111650</v>
      </c>
      <c r="D295" s="14">
        <v>502.72900000000004</v>
      </c>
      <c r="E295" s="16">
        <f t="shared" si="4"/>
        <v>85755.247857195427</v>
      </c>
    </row>
    <row r="296" spans="1:5" x14ac:dyDescent="0.25">
      <c r="A296" s="15">
        <v>63067</v>
      </c>
      <c r="B296" s="13" t="s">
        <v>1348</v>
      </c>
      <c r="C296" s="22">
        <v>55902904</v>
      </c>
      <c r="D296" s="14">
        <v>799.4100000000002</v>
      </c>
      <c r="E296" s="16">
        <f t="shared" si="4"/>
        <v>69930.203525099743</v>
      </c>
    </row>
    <row r="297" spans="1:5" x14ac:dyDescent="0.25">
      <c r="A297" s="15">
        <v>64072</v>
      </c>
      <c r="B297" s="13" t="s">
        <v>1349</v>
      </c>
      <c r="C297" s="22">
        <v>12402220</v>
      </c>
      <c r="D297" s="14">
        <v>225.9409</v>
      </c>
      <c r="E297" s="16">
        <f t="shared" si="4"/>
        <v>54891.433998890861</v>
      </c>
    </row>
    <row r="298" spans="1:5" x14ac:dyDescent="0.25">
      <c r="A298" s="15">
        <v>64074</v>
      </c>
      <c r="B298" s="13" t="s">
        <v>1350</v>
      </c>
      <c r="C298" s="22">
        <v>106760950</v>
      </c>
      <c r="D298" s="14">
        <v>1138.0592000000004</v>
      </c>
      <c r="E298" s="16">
        <f t="shared" si="4"/>
        <v>93809.662977110478</v>
      </c>
    </row>
    <row r="299" spans="1:5" x14ac:dyDescent="0.25">
      <c r="A299" s="15">
        <v>64075</v>
      </c>
      <c r="B299" s="13" t="s">
        <v>1351</v>
      </c>
      <c r="C299" s="22">
        <v>264383885</v>
      </c>
      <c r="D299" s="14">
        <v>3312.0119000000004</v>
      </c>
      <c r="E299" s="16">
        <f t="shared" si="4"/>
        <v>79825.765420709984</v>
      </c>
    </row>
    <row r="300" spans="1:5" x14ac:dyDescent="0.25">
      <c r="A300" s="15">
        <v>65096</v>
      </c>
      <c r="B300" s="13" t="s">
        <v>1352</v>
      </c>
      <c r="C300" s="22">
        <v>12466070</v>
      </c>
      <c r="D300" s="14">
        <v>179.49190000000002</v>
      </c>
      <c r="E300" s="16">
        <f t="shared" si="4"/>
        <v>69451.991984039385</v>
      </c>
    </row>
    <row r="301" spans="1:5" x14ac:dyDescent="0.25">
      <c r="A301" s="15">
        <v>65098</v>
      </c>
      <c r="B301" s="13" t="s">
        <v>1353</v>
      </c>
      <c r="C301" s="22">
        <v>33359355</v>
      </c>
      <c r="D301" s="14">
        <v>343.44440000000003</v>
      </c>
      <c r="E301" s="16">
        <f t="shared" si="4"/>
        <v>97131.748253865822</v>
      </c>
    </row>
    <row r="302" spans="1:5" x14ac:dyDescent="0.25">
      <c r="A302" s="15">
        <v>66102</v>
      </c>
      <c r="B302" s="13" t="s">
        <v>1354</v>
      </c>
      <c r="C302" s="22">
        <v>174997378</v>
      </c>
      <c r="D302" s="14">
        <v>1801.8000000000002</v>
      </c>
      <c r="E302" s="16">
        <f t="shared" si="4"/>
        <v>97123.641913641899</v>
      </c>
    </row>
    <row r="303" spans="1:5" x14ac:dyDescent="0.25">
      <c r="A303" s="15">
        <v>66103</v>
      </c>
      <c r="B303" s="13" t="s">
        <v>1355</v>
      </c>
      <c r="C303" s="22">
        <v>10460157</v>
      </c>
      <c r="D303" s="14">
        <v>242.15190000000001</v>
      </c>
      <c r="E303" s="16">
        <f t="shared" si="4"/>
        <v>43196.675310001694</v>
      </c>
    </row>
    <row r="304" spans="1:5" x14ac:dyDescent="0.25">
      <c r="A304" s="15">
        <v>66104</v>
      </c>
      <c r="B304" s="13" t="s">
        <v>1356</v>
      </c>
      <c r="C304" s="22">
        <v>13880023</v>
      </c>
      <c r="D304" s="14">
        <v>255.91900000000001</v>
      </c>
      <c r="E304" s="16">
        <f t="shared" si="4"/>
        <v>54236.000453268418</v>
      </c>
    </row>
    <row r="305" spans="1:5" x14ac:dyDescent="0.25">
      <c r="A305" s="15">
        <v>66105</v>
      </c>
      <c r="B305" s="13" t="s">
        <v>1357</v>
      </c>
      <c r="C305" s="22">
        <v>529516809</v>
      </c>
      <c r="D305" s="14">
        <v>1832.1998000000003</v>
      </c>
      <c r="E305" s="16">
        <f t="shared" si="4"/>
        <v>289006.04017094639</v>
      </c>
    </row>
    <row r="306" spans="1:5" x14ac:dyDescent="0.25">
      <c r="A306" s="15">
        <v>66107</v>
      </c>
      <c r="B306" s="13" t="s">
        <v>1358</v>
      </c>
      <c r="C306" s="22">
        <v>31522068</v>
      </c>
      <c r="D306" s="14">
        <v>759.20450000000017</v>
      </c>
      <c r="E306" s="16">
        <f t="shared" si="4"/>
        <v>41519.864542425647</v>
      </c>
    </row>
    <row r="307" spans="1:5" x14ac:dyDescent="0.25">
      <c r="A307" s="15">
        <v>67055</v>
      </c>
      <c r="B307" s="13" t="s">
        <v>1359</v>
      </c>
      <c r="C307" s="22">
        <v>54834237</v>
      </c>
      <c r="D307" s="14">
        <v>1030.5275999999999</v>
      </c>
      <c r="E307" s="16">
        <f t="shared" si="4"/>
        <v>53209.867450420548</v>
      </c>
    </row>
    <row r="308" spans="1:5" x14ac:dyDescent="0.25">
      <c r="A308" s="15">
        <v>67061</v>
      </c>
      <c r="B308" s="13" t="s">
        <v>1360</v>
      </c>
      <c r="C308" s="22">
        <v>69682453</v>
      </c>
      <c r="D308" s="14">
        <v>1027.6804</v>
      </c>
      <c r="E308" s="16">
        <f t="shared" si="4"/>
        <v>67805.567762117484</v>
      </c>
    </row>
    <row r="309" spans="1:5" x14ac:dyDescent="0.25">
      <c r="A309" s="15">
        <v>68070</v>
      </c>
      <c r="B309" s="13" t="s">
        <v>1361</v>
      </c>
      <c r="C309" s="22">
        <v>77528308</v>
      </c>
      <c r="D309" s="14">
        <v>1258.2625</v>
      </c>
      <c r="E309" s="16">
        <f t="shared" si="4"/>
        <v>61615.368812151675</v>
      </c>
    </row>
    <row r="310" spans="1:5" x14ac:dyDescent="0.25">
      <c r="A310" s="15">
        <v>68071</v>
      </c>
      <c r="B310" s="13" t="s">
        <v>1362</v>
      </c>
      <c r="C310" s="22">
        <v>8921922</v>
      </c>
      <c r="D310" s="14">
        <v>108.11300000000001</v>
      </c>
      <c r="E310" s="16">
        <f t="shared" si="4"/>
        <v>82524.04428699601</v>
      </c>
    </row>
    <row r="311" spans="1:5" x14ac:dyDescent="0.25">
      <c r="A311" s="15">
        <v>68072</v>
      </c>
      <c r="B311" s="13" t="s">
        <v>1363</v>
      </c>
      <c r="C311" s="22">
        <v>7805972</v>
      </c>
      <c r="D311" s="14">
        <v>78.597099999999998</v>
      </c>
      <c r="E311" s="16">
        <f t="shared" si="4"/>
        <v>99316.285206451634</v>
      </c>
    </row>
    <row r="312" spans="1:5" x14ac:dyDescent="0.25">
      <c r="A312" s="15">
        <v>68073</v>
      </c>
      <c r="B312" s="13" t="s">
        <v>1364</v>
      </c>
      <c r="C312" s="22">
        <v>41935505</v>
      </c>
      <c r="D312" s="14">
        <v>558.94889999999998</v>
      </c>
      <c r="E312" s="16">
        <f t="shared" si="4"/>
        <v>75025.650824252458</v>
      </c>
    </row>
    <row r="313" spans="1:5" x14ac:dyDescent="0.25">
      <c r="A313" s="15">
        <v>68074</v>
      </c>
      <c r="B313" s="13" t="s">
        <v>1365</v>
      </c>
      <c r="C313" s="22">
        <v>13815554</v>
      </c>
      <c r="D313" s="14">
        <v>214.90049999999999</v>
      </c>
      <c r="E313" s="16">
        <f t="shared" si="4"/>
        <v>64288.142652064562</v>
      </c>
    </row>
    <row r="314" spans="1:5" x14ac:dyDescent="0.25">
      <c r="A314" s="15">
        <v>68075</v>
      </c>
      <c r="B314" s="13" t="s">
        <v>1366</v>
      </c>
      <c r="C314" s="22">
        <v>6117688</v>
      </c>
      <c r="D314" s="14">
        <v>138.22969999999998</v>
      </c>
      <c r="E314" s="16">
        <f t="shared" si="4"/>
        <v>44257.406331634957</v>
      </c>
    </row>
    <row r="315" spans="1:5" x14ac:dyDescent="0.25">
      <c r="A315" s="15">
        <v>69104</v>
      </c>
      <c r="B315" s="13" t="s">
        <v>1367</v>
      </c>
      <c r="C315" s="22">
        <v>3569976</v>
      </c>
      <c r="D315" s="14">
        <v>47.016499999999994</v>
      </c>
      <c r="E315" s="16">
        <f t="shared" si="4"/>
        <v>75930.27979539099</v>
      </c>
    </row>
    <row r="316" spans="1:5" x14ac:dyDescent="0.25">
      <c r="A316" s="15">
        <v>69106</v>
      </c>
      <c r="B316" s="13" t="s">
        <v>1368</v>
      </c>
      <c r="C316" s="22">
        <v>73112772</v>
      </c>
      <c r="D316" s="14">
        <v>650.30529999999999</v>
      </c>
      <c r="E316" s="16">
        <f t="shared" si="4"/>
        <v>112428.38094661078</v>
      </c>
    </row>
    <row r="317" spans="1:5" x14ac:dyDescent="0.25">
      <c r="A317" s="15">
        <v>69107</v>
      </c>
      <c r="B317" s="13" t="s">
        <v>1369</v>
      </c>
      <c r="C317" s="22">
        <v>6313777</v>
      </c>
      <c r="D317" s="14">
        <v>86.16810000000001</v>
      </c>
      <c r="E317" s="16">
        <f t="shared" si="4"/>
        <v>73272.78888591021</v>
      </c>
    </row>
    <row r="318" spans="1:5" x14ac:dyDescent="0.25">
      <c r="A318" s="15">
        <v>69108</v>
      </c>
      <c r="B318" s="13" t="s">
        <v>1370</v>
      </c>
      <c r="C318" s="22">
        <v>11833151</v>
      </c>
      <c r="D318" s="14">
        <v>225.36189999999999</v>
      </c>
      <c r="E318" s="16">
        <f t="shared" si="4"/>
        <v>52507.327103649732</v>
      </c>
    </row>
    <row r="319" spans="1:5" x14ac:dyDescent="0.25">
      <c r="A319" s="15">
        <v>69109</v>
      </c>
      <c r="B319" s="13" t="s">
        <v>1371</v>
      </c>
      <c r="C319" s="22">
        <v>35514982</v>
      </c>
      <c r="D319" s="14">
        <v>433.78670000000005</v>
      </c>
      <c r="E319" s="16">
        <f t="shared" si="4"/>
        <v>81871.993770210102</v>
      </c>
    </row>
    <row r="320" spans="1:5" x14ac:dyDescent="0.25">
      <c r="A320" s="15">
        <v>70092</v>
      </c>
      <c r="B320" s="13" t="s">
        <v>1372</v>
      </c>
      <c r="C320" s="22">
        <v>27834659</v>
      </c>
      <c r="D320" s="14">
        <v>430.96</v>
      </c>
      <c r="E320" s="16">
        <f t="shared" si="4"/>
        <v>64587.569612028965</v>
      </c>
    </row>
    <row r="321" spans="1:5" x14ac:dyDescent="0.25">
      <c r="A321" s="15">
        <v>70093</v>
      </c>
      <c r="B321" s="13" t="s">
        <v>1373</v>
      </c>
      <c r="C321" s="22">
        <v>116241638</v>
      </c>
      <c r="D321" s="14">
        <v>1223.3491000000004</v>
      </c>
      <c r="E321" s="16">
        <f t="shared" si="4"/>
        <v>95019.187899839846</v>
      </c>
    </row>
    <row r="322" spans="1:5" x14ac:dyDescent="0.25">
      <c r="A322" s="15">
        <v>71091</v>
      </c>
      <c r="B322" s="13" t="s">
        <v>1374</v>
      </c>
      <c r="C322" s="22">
        <v>79292792</v>
      </c>
      <c r="D322" s="14">
        <v>598.11460000000011</v>
      </c>
      <c r="E322" s="16">
        <f t="shared" si="4"/>
        <v>132571.23634835196</v>
      </c>
    </row>
    <row r="323" spans="1:5" x14ac:dyDescent="0.25">
      <c r="A323" s="15">
        <v>71092</v>
      </c>
      <c r="B323" s="13" t="s">
        <v>1375</v>
      </c>
      <c r="C323" s="22">
        <v>243903737</v>
      </c>
      <c r="D323" s="14">
        <v>1301.5720999999999</v>
      </c>
      <c r="E323" s="16">
        <f t="shared" ref="E323:E386" si="5">C323/D323</f>
        <v>187391.6450729084</v>
      </c>
    </row>
    <row r="324" spans="1:5" x14ac:dyDescent="0.25">
      <c r="A324" s="15">
        <v>72066</v>
      </c>
      <c r="B324" s="13" t="s">
        <v>1376</v>
      </c>
      <c r="C324" s="22">
        <v>9104929</v>
      </c>
      <c r="D324" s="14">
        <v>141.30780000000001</v>
      </c>
      <c r="E324" s="16">
        <f t="shared" si="5"/>
        <v>64433.30799856766</v>
      </c>
    </row>
    <row r="325" spans="1:5" x14ac:dyDescent="0.25">
      <c r="A325" s="15">
        <v>72068</v>
      </c>
      <c r="B325" s="13" t="s">
        <v>1377</v>
      </c>
      <c r="C325" s="22">
        <v>45978276</v>
      </c>
      <c r="D325" s="14">
        <v>698.09449999999993</v>
      </c>
      <c r="E325" s="16">
        <f t="shared" si="5"/>
        <v>65862.538667759174</v>
      </c>
    </row>
    <row r="326" spans="1:5" x14ac:dyDescent="0.25">
      <c r="A326" s="15">
        <v>72073</v>
      </c>
      <c r="B326" s="13" t="s">
        <v>1378</v>
      </c>
      <c r="C326" s="22">
        <v>13058133</v>
      </c>
      <c r="D326" s="14">
        <v>313.39069999999998</v>
      </c>
      <c r="E326" s="16">
        <f t="shared" si="5"/>
        <v>41667.263897748082</v>
      </c>
    </row>
    <row r="327" spans="1:5" x14ac:dyDescent="0.25">
      <c r="A327" s="15">
        <v>72074</v>
      </c>
      <c r="B327" s="13" t="s">
        <v>1379</v>
      </c>
      <c r="C327" s="22">
        <v>260195090</v>
      </c>
      <c r="D327" s="14">
        <v>1413.1640000000002</v>
      </c>
      <c r="E327" s="16">
        <f t="shared" si="5"/>
        <v>184122.35947137061</v>
      </c>
    </row>
    <row r="328" spans="1:5" x14ac:dyDescent="0.25">
      <c r="A328" s="15">
        <v>73099</v>
      </c>
      <c r="B328" s="13" t="s">
        <v>1380</v>
      </c>
      <c r="C328" s="22">
        <v>62307855</v>
      </c>
      <c r="D328" s="14">
        <v>1574.6096</v>
      </c>
      <c r="E328" s="16">
        <f t="shared" si="5"/>
        <v>39570.351279453651</v>
      </c>
    </row>
    <row r="329" spans="1:5" x14ac:dyDescent="0.25">
      <c r="A329" s="15">
        <v>73102</v>
      </c>
      <c r="B329" s="13" t="s">
        <v>1381</v>
      </c>
      <c r="C329" s="22">
        <v>55463608</v>
      </c>
      <c r="D329" s="14">
        <v>901.35230000000001</v>
      </c>
      <c r="E329" s="16">
        <f t="shared" si="5"/>
        <v>61533.773198337651</v>
      </c>
    </row>
    <row r="330" spans="1:5" x14ac:dyDescent="0.25">
      <c r="A330" s="15">
        <v>73105</v>
      </c>
      <c r="B330" s="13" t="s">
        <v>1382</v>
      </c>
      <c r="C330" s="22">
        <v>7351026</v>
      </c>
      <c r="D330" s="14">
        <v>182.53779999999998</v>
      </c>
      <c r="E330" s="16">
        <f t="shared" si="5"/>
        <v>40271.253406143827</v>
      </c>
    </row>
    <row r="331" spans="1:5" x14ac:dyDescent="0.25">
      <c r="A331" s="15">
        <v>73106</v>
      </c>
      <c r="B331" s="13" t="s">
        <v>1383</v>
      </c>
      <c r="C331" s="22">
        <v>76991304</v>
      </c>
      <c r="D331" s="14">
        <v>1569.5813000000003</v>
      </c>
      <c r="E331" s="16">
        <f t="shared" si="5"/>
        <v>49052.128742869187</v>
      </c>
    </row>
    <row r="332" spans="1:5" x14ac:dyDescent="0.25">
      <c r="A332" s="15">
        <v>73108</v>
      </c>
      <c r="B332" s="13" t="s">
        <v>1384</v>
      </c>
      <c r="C332" s="22">
        <v>251217967</v>
      </c>
      <c r="D332" s="14">
        <v>4039.747100000001</v>
      </c>
      <c r="E332" s="16">
        <f t="shared" si="5"/>
        <v>62186.557915964579</v>
      </c>
    </row>
    <row r="333" spans="1:5" x14ac:dyDescent="0.25">
      <c r="A333" s="15">
        <v>74187</v>
      </c>
      <c r="B333" s="13" t="s">
        <v>1385</v>
      </c>
      <c r="C333" s="22">
        <v>22271048</v>
      </c>
      <c r="D333" s="14">
        <v>223.52980000000002</v>
      </c>
      <c r="E333" s="16">
        <f t="shared" si="5"/>
        <v>99633.462741880488</v>
      </c>
    </row>
    <row r="334" spans="1:5" x14ac:dyDescent="0.25">
      <c r="A334" s="15">
        <v>74190</v>
      </c>
      <c r="B334" s="13" t="s">
        <v>1386</v>
      </c>
      <c r="C334" s="22">
        <v>20097540</v>
      </c>
      <c r="D334" s="14">
        <v>222.00409999999999</v>
      </c>
      <c r="E334" s="16">
        <f t="shared" si="5"/>
        <v>90527.787549869579</v>
      </c>
    </row>
    <row r="335" spans="1:5" x14ac:dyDescent="0.25">
      <c r="A335" s="15">
        <v>74194</v>
      </c>
      <c r="B335" s="13" t="s">
        <v>1387</v>
      </c>
      <c r="C335" s="22">
        <v>13415368</v>
      </c>
      <c r="D335" s="14">
        <v>208.23840000000001</v>
      </c>
      <c r="E335" s="16">
        <f t="shared" si="5"/>
        <v>64423.122728564951</v>
      </c>
    </row>
    <row r="336" spans="1:5" x14ac:dyDescent="0.25">
      <c r="A336" s="15">
        <v>74195</v>
      </c>
      <c r="B336" s="13" t="s">
        <v>1388</v>
      </c>
      <c r="C336" s="22">
        <v>12362245</v>
      </c>
      <c r="D336" s="14">
        <v>138.48390000000001</v>
      </c>
      <c r="E336" s="16">
        <f t="shared" si="5"/>
        <v>89268.463698668216</v>
      </c>
    </row>
    <row r="337" spans="1:5" x14ac:dyDescent="0.25">
      <c r="A337" s="15">
        <v>74197</v>
      </c>
      <c r="B337" s="13" t="s">
        <v>1389</v>
      </c>
      <c r="C337" s="22">
        <v>13522340</v>
      </c>
      <c r="D337" s="14">
        <v>207.15760000000003</v>
      </c>
      <c r="E337" s="16">
        <f t="shared" si="5"/>
        <v>65275.616245795463</v>
      </c>
    </row>
    <row r="338" spans="1:5" x14ac:dyDescent="0.25">
      <c r="A338" s="15">
        <v>74201</v>
      </c>
      <c r="B338" s="13" t="s">
        <v>1390</v>
      </c>
      <c r="C338" s="22">
        <v>185767616</v>
      </c>
      <c r="D338" s="14">
        <v>1341.6968000000002</v>
      </c>
      <c r="E338" s="16">
        <f t="shared" si="5"/>
        <v>138457.22520915305</v>
      </c>
    </row>
    <row r="339" spans="1:5" x14ac:dyDescent="0.25">
      <c r="A339" s="15">
        <v>74202</v>
      </c>
      <c r="B339" s="13" t="s">
        <v>1391</v>
      </c>
      <c r="C339" s="22">
        <v>12316022</v>
      </c>
      <c r="D339" s="14">
        <v>170.77700000000002</v>
      </c>
      <c r="E339" s="16">
        <f t="shared" si="5"/>
        <v>72117.56852503556</v>
      </c>
    </row>
    <row r="340" spans="1:5" x14ac:dyDescent="0.25">
      <c r="A340" s="15">
        <v>75084</v>
      </c>
      <c r="B340" s="13" t="s">
        <v>1392</v>
      </c>
      <c r="C340" s="22">
        <v>9482761</v>
      </c>
      <c r="D340" s="14">
        <v>174.2568</v>
      </c>
      <c r="E340" s="16">
        <f t="shared" si="5"/>
        <v>54418.312513485842</v>
      </c>
    </row>
    <row r="341" spans="1:5" x14ac:dyDescent="0.25">
      <c r="A341" s="15">
        <v>75085</v>
      </c>
      <c r="B341" s="13" t="s">
        <v>1393</v>
      </c>
      <c r="C341" s="22">
        <v>27059514</v>
      </c>
      <c r="D341" s="14">
        <v>661.45169999999996</v>
      </c>
      <c r="E341" s="16">
        <f t="shared" si="5"/>
        <v>40909.281811506422</v>
      </c>
    </row>
    <row r="342" spans="1:5" x14ac:dyDescent="0.25">
      <c r="A342" s="15">
        <v>75086</v>
      </c>
      <c r="B342" s="13" t="s">
        <v>1394</v>
      </c>
      <c r="C342" s="22">
        <v>11790649</v>
      </c>
      <c r="D342" s="14">
        <v>206.88629999999998</v>
      </c>
      <c r="E342" s="16">
        <f t="shared" si="5"/>
        <v>56990.96073543778</v>
      </c>
    </row>
    <row r="343" spans="1:5" x14ac:dyDescent="0.25">
      <c r="A343" s="15">
        <v>75087</v>
      </c>
      <c r="B343" s="13" t="s">
        <v>1395</v>
      </c>
      <c r="C343" s="22">
        <v>30396103</v>
      </c>
      <c r="D343" s="14">
        <v>712.19310000000007</v>
      </c>
      <c r="E343" s="16">
        <f t="shared" si="5"/>
        <v>42679.580860864837</v>
      </c>
    </row>
    <row r="344" spans="1:5" x14ac:dyDescent="0.25">
      <c r="A344" s="15">
        <v>76081</v>
      </c>
      <c r="B344" s="13" t="s">
        <v>1396</v>
      </c>
      <c r="C344" s="22">
        <v>13440699</v>
      </c>
      <c r="D344" s="14">
        <v>204.72550000000004</v>
      </c>
      <c r="E344" s="16">
        <f t="shared" si="5"/>
        <v>65652.295390657237</v>
      </c>
    </row>
    <row r="345" spans="1:5" x14ac:dyDescent="0.25">
      <c r="A345" s="15">
        <v>76082</v>
      </c>
      <c r="B345" s="13" t="s">
        <v>1397</v>
      </c>
      <c r="C345" s="22">
        <v>55313971</v>
      </c>
      <c r="D345" s="14">
        <v>615.78960000000006</v>
      </c>
      <c r="E345" s="16">
        <f t="shared" si="5"/>
        <v>89826.088326272467</v>
      </c>
    </row>
    <row r="346" spans="1:5" x14ac:dyDescent="0.25">
      <c r="A346" s="15">
        <v>76083</v>
      </c>
      <c r="B346" s="13" t="s">
        <v>1398</v>
      </c>
      <c r="C346" s="22">
        <v>76876496</v>
      </c>
      <c r="D346" s="14">
        <v>745.02660000000003</v>
      </c>
      <c r="E346" s="16">
        <f t="shared" si="5"/>
        <v>103186.24328312573</v>
      </c>
    </row>
    <row r="347" spans="1:5" x14ac:dyDescent="0.25">
      <c r="A347" s="15">
        <v>77100</v>
      </c>
      <c r="B347" s="13" t="s">
        <v>1399</v>
      </c>
      <c r="C347" s="22">
        <v>5907983</v>
      </c>
      <c r="D347" s="14">
        <v>98.962500000000006</v>
      </c>
      <c r="E347" s="16">
        <f t="shared" si="5"/>
        <v>59699.209296450674</v>
      </c>
    </row>
    <row r="348" spans="1:5" x14ac:dyDescent="0.25">
      <c r="A348" s="15">
        <v>77101</v>
      </c>
      <c r="B348" s="13" t="s">
        <v>1400</v>
      </c>
      <c r="C348" s="22">
        <v>12451364</v>
      </c>
      <c r="D348" s="14">
        <v>343.39789999999999</v>
      </c>
      <c r="E348" s="16">
        <f t="shared" si="5"/>
        <v>36259.28987917515</v>
      </c>
    </row>
    <row r="349" spans="1:5" x14ac:dyDescent="0.25">
      <c r="A349" s="15">
        <v>77102</v>
      </c>
      <c r="B349" s="13" t="s">
        <v>1401</v>
      </c>
      <c r="C349" s="22">
        <v>45154267</v>
      </c>
      <c r="D349" s="14">
        <v>584.86630000000014</v>
      </c>
      <c r="E349" s="16">
        <f t="shared" si="5"/>
        <v>77204.426037198573</v>
      </c>
    </row>
    <row r="350" spans="1:5" x14ac:dyDescent="0.25">
      <c r="A350" s="15">
        <v>77103</v>
      </c>
      <c r="B350" s="13" t="s">
        <v>1402</v>
      </c>
      <c r="C350" s="22">
        <v>14189135</v>
      </c>
      <c r="D350" s="14">
        <v>295.45519999999999</v>
      </c>
      <c r="E350" s="16">
        <f t="shared" si="5"/>
        <v>48024.658222295635</v>
      </c>
    </row>
    <row r="351" spans="1:5" x14ac:dyDescent="0.25">
      <c r="A351" s="15">
        <v>77104</v>
      </c>
      <c r="B351" s="13" t="s">
        <v>1403</v>
      </c>
      <c r="C351" s="22">
        <v>21241610</v>
      </c>
      <c r="D351" s="14">
        <v>179.58289999999997</v>
      </c>
      <c r="E351" s="16">
        <f t="shared" si="5"/>
        <v>118283.03251590214</v>
      </c>
    </row>
    <row r="352" spans="1:5" x14ac:dyDescent="0.25">
      <c r="A352" s="15">
        <v>78001</v>
      </c>
      <c r="B352" s="13" t="s">
        <v>1404</v>
      </c>
      <c r="C352" s="22">
        <v>17553493</v>
      </c>
      <c r="D352" s="14">
        <v>294.31100000000004</v>
      </c>
      <c r="E352" s="16">
        <f t="shared" si="5"/>
        <v>59642.667110641458</v>
      </c>
    </row>
    <row r="353" spans="1:5" x14ac:dyDescent="0.25">
      <c r="A353" s="15">
        <v>78002</v>
      </c>
      <c r="B353" s="13" t="s">
        <v>1405</v>
      </c>
      <c r="C353" s="22">
        <v>26755682</v>
      </c>
      <c r="D353" s="14">
        <v>778.4117</v>
      </c>
      <c r="E353" s="16">
        <f t="shared" si="5"/>
        <v>34372.147797881247</v>
      </c>
    </row>
    <row r="354" spans="1:5" x14ac:dyDescent="0.25">
      <c r="A354" s="15">
        <v>78003</v>
      </c>
      <c r="B354" s="13" t="s">
        <v>1406</v>
      </c>
      <c r="C354" s="22">
        <v>10120627</v>
      </c>
      <c r="D354" s="14">
        <v>148.10499999999999</v>
      </c>
      <c r="E354" s="16">
        <f t="shared" si="5"/>
        <v>68334.134566692548</v>
      </c>
    </row>
    <row r="355" spans="1:5" x14ac:dyDescent="0.25">
      <c r="A355" s="15">
        <v>78004</v>
      </c>
      <c r="B355" s="13" t="s">
        <v>1407</v>
      </c>
      <c r="C355" s="22">
        <v>7314887</v>
      </c>
      <c r="D355" s="14">
        <v>222.79329999999999</v>
      </c>
      <c r="E355" s="16">
        <f t="shared" si="5"/>
        <v>32832.6166002299</v>
      </c>
    </row>
    <row r="356" spans="1:5" x14ac:dyDescent="0.25">
      <c r="A356" s="15">
        <v>78005</v>
      </c>
      <c r="B356" s="13" t="s">
        <v>1408</v>
      </c>
      <c r="C356" s="22">
        <v>27365703</v>
      </c>
      <c r="D356" s="14">
        <v>678.29809999999998</v>
      </c>
      <c r="E356" s="16">
        <f t="shared" si="5"/>
        <v>40344.655248186602</v>
      </c>
    </row>
    <row r="357" spans="1:5" x14ac:dyDescent="0.25">
      <c r="A357" s="15">
        <v>78009</v>
      </c>
      <c r="B357" s="13" t="s">
        <v>1409</v>
      </c>
      <c r="C357" s="22">
        <v>10493091</v>
      </c>
      <c r="D357" s="14">
        <v>211.5889</v>
      </c>
      <c r="E357" s="16">
        <f t="shared" si="5"/>
        <v>49591.878401938855</v>
      </c>
    </row>
    <row r="358" spans="1:5" x14ac:dyDescent="0.25">
      <c r="A358" s="15">
        <v>78012</v>
      </c>
      <c r="B358" s="13" t="s">
        <v>1410</v>
      </c>
      <c r="C358" s="22">
        <v>46107098</v>
      </c>
      <c r="D358" s="14">
        <v>1190.3906999999999</v>
      </c>
      <c r="E358" s="16">
        <f t="shared" si="5"/>
        <v>38732.743795797469</v>
      </c>
    </row>
    <row r="359" spans="1:5" x14ac:dyDescent="0.25">
      <c r="A359" s="15">
        <v>79077</v>
      </c>
      <c r="B359" s="13" t="s">
        <v>1411</v>
      </c>
      <c r="C359" s="22">
        <v>260113253</v>
      </c>
      <c r="D359" s="14">
        <v>2146.5942</v>
      </c>
      <c r="E359" s="16">
        <f t="shared" si="5"/>
        <v>121174.86062340054</v>
      </c>
    </row>
    <row r="360" spans="1:5" x14ac:dyDescent="0.25">
      <c r="A360" s="15">
        <v>79078</v>
      </c>
      <c r="B360" s="13" t="s">
        <v>1412</v>
      </c>
      <c r="C360" s="22">
        <v>16168006</v>
      </c>
      <c r="D360" s="14">
        <v>137.52900000000005</v>
      </c>
      <c r="E360" s="16">
        <f t="shared" si="5"/>
        <v>117560.70356070352</v>
      </c>
    </row>
    <row r="361" spans="1:5" x14ac:dyDescent="0.25">
      <c r="A361" s="15">
        <v>80116</v>
      </c>
      <c r="B361" s="13" t="s">
        <v>1413</v>
      </c>
      <c r="C361" s="22">
        <v>22214082</v>
      </c>
      <c r="D361" s="14">
        <v>334.20730000000003</v>
      </c>
      <c r="E361" s="16">
        <f t="shared" si="5"/>
        <v>66467.973619965807</v>
      </c>
    </row>
    <row r="362" spans="1:5" x14ac:dyDescent="0.25">
      <c r="A362" s="15">
        <v>80118</v>
      </c>
      <c r="B362" s="13" t="s">
        <v>1414</v>
      </c>
      <c r="C362" s="22">
        <v>18140064</v>
      </c>
      <c r="D362" s="14">
        <v>329.69870000000003</v>
      </c>
      <c r="E362" s="16">
        <f t="shared" si="5"/>
        <v>55020.125951361042</v>
      </c>
    </row>
    <row r="363" spans="1:5" x14ac:dyDescent="0.25">
      <c r="A363" s="15">
        <v>80119</v>
      </c>
      <c r="B363" s="13" t="s">
        <v>1415</v>
      </c>
      <c r="C363" s="22">
        <v>34464265</v>
      </c>
      <c r="D363" s="14">
        <v>598.22160000000008</v>
      </c>
      <c r="E363" s="16">
        <f t="shared" si="5"/>
        <v>57611.201267222707</v>
      </c>
    </row>
    <row r="364" spans="1:5" x14ac:dyDescent="0.25">
      <c r="A364" s="15">
        <v>80121</v>
      </c>
      <c r="B364" s="13" t="s">
        <v>1416</v>
      </c>
      <c r="C364" s="22">
        <v>20860790</v>
      </c>
      <c r="D364" s="14">
        <v>398.50250000000017</v>
      </c>
      <c r="E364" s="16">
        <f t="shared" si="5"/>
        <v>52347.952647724895</v>
      </c>
    </row>
    <row r="365" spans="1:5" x14ac:dyDescent="0.25">
      <c r="A365" s="15">
        <v>80122</v>
      </c>
      <c r="B365" s="13" t="s">
        <v>1417</v>
      </c>
      <c r="C365" s="22">
        <v>55957316</v>
      </c>
      <c r="D365" s="14">
        <v>179.3563</v>
      </c>
      <c r="E365" s="16">
        <f t="shared" si="5"/>
        <v>311989.68756603473</v>
      </c>
    </row>
    <row r="366" spans="1:5" x14ac:dyDescent="0.25">
      <c r="A366" s="15">
        <v>80125</v>
      </c>
      <c r="B366" s="13" t="s">
        <v>1418</v>
      </c>
      <c r="C366" s="22">
        <v>322364523</v>
      </c>
      <c r="D366" s="14">
        <v>4213.8439000000008</v>
      </c>
      <c r="E366" s="16">
        <f t="shared" si="5"/>
        <v>76501.296832566572</v>
      </c>
    </row>
    <row r="367" spans="1:5" x14ac:dyDescent="0.25">
      <c r="A367" s="15">
        <v>81094</v>
      </c>
      <c r="B367" s="13" t="s">
        <v>1419</v>
      </c>
      <c r="C367" s="22">
        <v>110364329</v>
      </c>
      <c r="D367" s="14">
        <v>1782.4999000000003</v>
      </c>
      <c r="E367" s="16">
        <f t="shared" si="5"/>
        <v>61915.475563280525</v>
      </c>
    </row>
    <row r="368" spans="1:5" x14ac:dyDescent="0.25">
      <c r="A368" s="15">
        <v>81095</v>
      </c>
      <c r="B368" s="13" t="s">
        <v>1420</v>
      </c>
      <c r="C368" s="22">
        <v>25097582</v>
      </c>
      <c r="D368" s="14">
        <v>436.03379999999999</v>
      </c>
      <c r="E368" s="16">
        <f t="shared" si="5"/>
        <v>57558.799340785052</v>
      </c>
    </row>
    <row r="369" spans="1:5" x14ac:dyDescent="0.25">
      <c r="A369" s="15">
        <v>81096</v>
      </c>
      <c r="B369" s="13" t="s">
        <v>1421</v>
      </c>
      <c r="C369" s="22">
        <v>369054034</v>
      </c>
      <c r="D369" s="14">
        <v>3669.0437000000006</v>
      </c>
      <c r="E369" s="16">
        <f t="shared" si="5"/>
        <v>100585.89217675438</v>
      </c>
    </row>
    <row r="370" spans="1:5" x14ac:dyDescent="0.25">
      <c r="A370" s="15">
        <v>81097</v>
      </c>
      <c r="B370" s="13" t="s">
        <v>1422</v>
      </c>
      <c r="C370" s="22">
        <v>17066341</v>
      </c>
      <c r="D370" s="14">
        <v>243.93010000000001</v>
      </c>
      <c r="E370" s="16">
        <f t="shared" si="5"/>
        <v>69964.063475561241</v>
      </c>
    </row>
    <row r="371" spans="1:5" x14ac:dyDescent="0.25">
      <c r="A371" s="15">
        <v>82100</v>
      </c>
      <c r="B371" s="13" t="s">
        <v>1423</v>
      </c>
      <c r="C371" s="22">
        <v>89903044</v>
      </c>
      <c r="D371" s="14">
        <v>1319.8168000000003</v>
      </c>
      <c r="E371" s="16">
        <f t="shared" si="5"/>
        <v>68117.820594494609</v>
      </c>
    </row>
    <row r="372" spans="1:5" x14ac:dyDescent="0.25">
      <c r="A372" s="15">
        <v>82101</v>
      </c>
      <c r="B372" s="13" t="s">
        <v>1424</v>
      </c>
      <c r="C372" s="22">
        <v>48135086</v>
      </c>
      <c r="D372" s="14">
        <v>497.27499999999998</v>
      </c>
      <c r="E372" s="16">
        <f t="shared" si="5"/>
        <v>96797.719571665584</v>
      </c>
    </row>
    <row r="373" spans="1:5" x14ac:dyDescent="0.25">
      <c r="A373" s="15">
        <v>82105</v>
      </c>
      <c r="B373" s="13" t="s">
        <v>1425</v>
      </c>
      <c r="C373" s="22">
        <v>9757955</v>
      </c>
      <c r="D373" s="14">
        <v>51.936000000000007</v>
      </c>
      <c r="E373" s="16">
        <f t="shared" si="5"/>
        <v>187884.22288971039</v>
      </c>
    </row>
    <row r="374" spans="1:5" x14ac:dyDescent="0.25">
      <c r="A374" s="15">
        <v>82108</v>
      </c>
      <c r="B374" s="13" t="s">
        <v>1426</v>
      </c>
      <c r="C374" s="22">
        <v>49081128</v>
      </c>
      <c r="D374" s="14">
        <v>676.88040000000012</v>
      </c>
      <c r="E374" s="16">
        <f t="shared" si="5"/>
        <v>72510.783293473985</v>
      </c>
    </row>
    <row r="375" spans="1:5" x14ac:dyDescent="0.25">
      <c r="A375" s="15">
        <v>83001</v>
      </c>
      <c r="B375" s="13" t="s">
        <v>1427</v>
      </c>
      <c r="C375" s="22">
        <v>52033009</v>
      </c>
      <c r="D375" s="14">
        <v>626.41770000000008</v>
      </c>
      <c r="E375" s="16">
        <f t="shared" si="5"/>
        <v>83064.397765261092</v>
      </c>
    </row>
    <row r="376" spans="1:5" x14ac:dyDescent="0.25">
      <c r="A376" s="15">
        <v>83002</v>
      </c>
      <c r="B376" s="13" t="s">
        <v>1428</v>
      </c>
      <c r="C376" s="22">
        <v>328887343</v>
      </c>
      <c r="D376" s="14">
        <v>589.06950000000006</v>
      </c>
      <c r="E376" s="16">
        <f t="shared" si="5"/>
        <v>558316.70626301307</v>
      </c>
    </row>
    <row r="377" spans="1:5" x14ac:dyDescent="0.25">
      <c r="A377" s="15">
        <v>83003</v>
      </c>
      <c r="B377" s="13" t="s">
        <v>1429</v>
      </c>
      <c r="C377" s="22">
        <v>424232105</v>
      </c>
      <c r="D377" s="14">
        <v>3192.2743000000005</v>
      </c>
      <c r="E377" s="16">
        <f t="shared" si="5"/>
        <v>132893.37479551803</v>
      </c>
    </row>
    <row r="378" spans="1:5" x14ac:dyDescent="0.25">
      <c r="A378" s="15">
        <v>83005</v>
      </c>
      <c r="B378" s="13" t="s">
        <v>1430</v>
      </c>
      <c r="C378" s="22">
        <v>1429656794</v>
      </c>
      <c r="D378" s="14">
        <v>9576.3691000000017</v>
      </c>
      <c r="E378" s="16">
        <f t="shared" si="5"/>
        <v>149290.06798620571</v>
      </c>
    </row>
    <row r="379" spans="1:5" x14ac:dyDescent="0.25">
      <c r="A379" s="15">
        <v>84001</v>
      </c>
      <c r="B379" s="13" t="s">
        <v>1431</v>
      </c>
      <c r="C379" s="22">
        <v>151940221</v>
      </c>
      <c r="D379" s="14">
        <v>2435.2127</v>
      </c>
      <c r="E379" s="16">
        <f t="shared" si="5"/>
        <v>62392.99795044597</v>
      </c>
    </row>
    <row r="380" spans="1:5" x14ac:dyDescent="0.25">
      <c r="A380" s="15">
        <v>84002</v>
      </c>
      <c r="B380" s="13" t="s">
        <v>1432</v>
      </c>
      <c r="C380" s="22">
        <v>16268470</v>
      </c>
      <c r="D380" s="14">
        <v>394.46899999999999</v>
      </c>
      <c r="E380" s="16">
        <f t="shared" si="5"/>
        <v>41241.441025784028</v>
      </c>
    </row>
    <row r="381" spans="1:5" x14ac:dyDescent="0.25">
      <c r="A381" s="15">
        <v>84003</v>
      </c>
      <c r="B381" s="13" t="s">
        <v>1433</v>
      </c>
      <c r="C381" s="22">
        <v>16236440</v>
      </c>
      <c r="D381" s="14">
        <v>287.83789999999999</v>
      </c>
      <c r="E381" s="16">
        <f t="shared" si="5"/>
        <v>56408.277019808724</v>
      </c>
    </row>
    <row r="382" spans="1:5" x14ac:dyDescent="0.25">
      <c r="A382" s="15">
        <v>84004</v>
      </c>
      <c r="B382" s="13" t="s">
        <v>1434</v>
      </c>
      <c r="C382" s="22">
        <v>19470557</v>
      </c>
      <c r="D382" s="14">
        <v>349.54240000000004</v>
      </c>
      <c r="E382" s="16">
        <f t="shared" si="5"/>
        <v>55702.990538486883</v>
      </c>
    </row>
    <row r="383" spans="1:5" x14ac:dyDescent="0.25">
      <c r="A383" s="15">
        <v>84005</v>
      </c>
      <c r="B383" s="13" t="s">
        <v>1435</v>
      </c>
      <c r="C383" s="22">
        <v>32119750</v>
      </c>
      <c r="D383" s="14">
        <v>642.35350000000005</v>
      </c>
      <c r="E383" s="16">
        <f t="shared" si="5"/>
        <v>50003.230308545055</v>
      </c>
    </row>
    <row r="384" spans="1:5" x14ac:dyDescent="0.25">
      <c r="A384" s="15">
        <v>84006</v>
      </c>
      <c r="B384" s="13" t="s">
        <v>1436</v>
      </c>
      <c r="C384" s="22">
        <v>41239090</v>
      </c>
      <c r="D384" s="14">
        <v>876.12739999999974</v>
      </c>
      <c r="E384" s="16">
        <f t="shared" si="5"/>
        <v>47069.74122713205</v>
      </c>
    </row>
    <row r="385" spans="1:5" x14ac:dyDescent="0.25">
      <c r="A385" s="15">
        <v>85043</v>
      </c>
      <c r="B385" s="13" t="s">
        <v>1437</v>
      </c>
      <c r="C385" s="22">
        <v>5085602</v>
      </c>
      <c r="D385" s="14">
        <v>67.636200000000002</v>
      </c>
      <c r="E385" s="16">
        <f t="shared" si="5"/>
        <v>75190.534063120038</v>
      </c>
    </row>
    <row r="386" spans="1:5" x14ac:dyDescent="0.25">
      <c r="A386" s="15">
        <v>85044</v>
      </c>
      <c r="B386" s="13" t="s">
        <v>1438</v>
      </c>
      <c r="C386" s="22">
        <v>29885485</v>
      </c>
      <c r="D386" s="14">
        <v>608.03580000000011</v>
      </c>
      <c r="E386" s="16">
        <f t="shared" si="5"/>
        <v>49150.864143196821</v>
      </c>
    </row>
    <row r="387" spans="1:5" x14ac:dyDescent="0.25">
      <c r="A387" s="15">
        <v>85045</v>
      </c>
      <c r="B387" s="13" t="s">
        <v>1439</v>
      </c>
      <c r="C387" s="22">
        <v>29911956</v>
      </c>
      <c r="D387" s="14">
        <v>653.84820000000025</v>
      </c>
      <c r="E387" s="16">
        <f t="shared" ref="E387:E450" si="6">C387/D387</f>
        <v>45747.554248830216</v>
      </c>
    </row>
    <row r="388" spans="1:5" x14ac:dyDescent="0.25">
      <c r="A388" s="15">
        <v>85046</v>
      </c>
      <c r="B388" s="13" t="s">
        <v>1440</v>
      </c>
      <c r="C388" s="22">
        <v>255432206</v>
      </c>
      <c r="D388" s="14">
        <v>4203.6094000000003</v>
      </c>
      <c r="E388" s="16">
        <f t="shared" si="6"/>
        <v>60764.971645557736</v>
      </c>
    </row>
    <row r="389" spans="1:5" x14ac:dyDescent="0.25">
      <c r="A389" s="15">
        <v>85048</v>
      </c>
      <c r="B389" s="13" t="s">
        <v>1441</v>
      </c>
      <c r="C389" s="22">
        <v>57210690</v>
      </c>
      <c r="D389" s="14">
        <v>987.53399999999999</v>
      </c>
      <c r="E389" s="16">
        <f t="shared" si="6"/>
        <v>57932.881298264161</v>
      </c>
    </row>
    <row r="390" spans="1:5" x14ac:dyDescent="0.25">
      <c r="A390" s="15">
        <v>85049</v>
      </c>
      <c r="B390" s="13" t="s">
        <v>1442</v>
      </c>
      <c r="C390" s="22">
        <v>27445046</v>
      </c>
      <c r="D390" s="14">
        <v>511.89090000000004</v>
      </c>
      <c r="E390" s="16">
        <f t="shared" si="6"/>
        <v>53615.030077698189</v>
      </c>
    </row>
    <row r="391" spans="1:5" x14ac:dyDescent="0.25">
      <c r="A391" s="15">
        <v>86100</v>
      </c>
      <c r="B391" s="13" t="s">
        <v>1443</v>
      </c>
      <c r="C391" s="22">
        <v>67078598</v>
      </c>
      <c r="D391" s="14">
        <v>734.255</v>
      </c>
      <c r="E391" s="16">
        <f t="shared" si="6"/>
        <v>91355.99757577409</v>
      </c>
    </row>
    <row r="392" spans="1:5" x14ac:dyDescent="0.25">
      <c r="A392" s="15">
        <v>87083</v>
      </c>
      <c r="B392" s="13" t="s">
        <v>1444</v>
      </c>
      <c r="C392" s="22">
        <v>63601956</v>
      </c>
      <c r="D392" s="14">
        <v>723.54190000000017</v>
      </c>
      <c r="E392" s="16">
        <f t="shared" si="6"/>
        <v>87903.625208160011</v>
      </c>
    </row>
    <row r="393" spans="1:5" x14ac:dyDescent="0.25">
      <c r="A393" s="15">
        <v>88072</v>
      </c>
      <c r="B393" s="13" t="s">
        <v>1445</v>
      </c>
      <c r="C393" s="22">
        <v>20661335</v>
      </c>
      <c r="D393" s="14">
        <v>397.40100000000001</v>
      </c>
      <c r="E393" s="16">
        <f t="shared" si="6"/>
        <v>51991.149997106193</v>
      </c>
    </row>
    <row r="394" spans="1:5" x14ac:dyDescent="0.25">
      <c r="A394" s="15">
        <v>88073</v>
      </c>
      <c r="B394" s="13" t="s">
        <v>1446</v>
      </c>
      <c r="C394" s="22">
        <v>12361151</v>
      </c>
      <c r="D394" s="14">
        <v>177.68280000000001</v>
      </c>
      <c r="E394" s="16">
        <f t="shared" si="6"/>
        <v>69568.641421679524</v>
      </c>
    </row>
    <row r="395" spans="1:5" x14ac:dyDescent="0.25">
      <c r="A395" s="15">
        <v>88075</v>
      </c>
      <c r="B395" s="13" t="s">
        <v>1447</v>
      </c>
      <c r="C395" s="22">
        <v>9990825</v>
      </c>
      <c r="D395" s="14">
        <v>227.12239999999997</v>
      </c>
      <c r="E395" s="16">
        <f t="shared" si="6"/>
        <v>43988.725902861195</v>
      </c>
    </row>
    <row r="396" spans="1:5" x14ac:dyDescent="0.25">
      <c r="A396" s="15">
        <v>88080</v>
      </c>
      <c r="B396" s="13" t="s">
        <v>1448</v>
      </c>
      <c r="C396" s="22">
        <v>151849891</v>
      </c>
      <c r="D396" s="14">
        <v>573.39930000000004</v>
      </c>
      <c r="E396" s="16">
        <f t="shared" si="6"/>
        <v>264823.9908908155</v>
      </c>
    </row>
    <row r="397" spans="1:5" x14ac:dyDescent="0.25">
      <c r="A397" s="15">
        <v>88081</v>
      </c>
      <c r="B397" s="13" t="s">
        <v>1449</v>
      </c>
      <c r="C397" s="22">
        <v>159870232</v>
      </c>
      <c r="D397" s="14">
        <v>2317.5257999999999</v>
      </c>
      <c r="E397" s="16">
        <f t="shared" si="6"/>
        <v>68983.150910337223</v>
      </c>
    </row>
    <row r="398" spans="1:5" x14ac:dyDescent="0.25">
      <c r="A398" s="15">
        <v>89077</v>
      </c>
      <c r="B398" s="13" t="s">
        <v>1450</v>
      </c>
      <c r="C398" s="22">
        <v>7342190</v>
      </c>
      <c r="D398" s="14">
        <v>74.182100000000005</v>
      </c>
      <c r="E398" s="16">
        <f t="shared" si="6"/>
        <v>98975.224481377576</v>
      </c>
    </row>
    <row r="399" spans="1:5" x14ac:dyDescent="0.25">
      <c r="A399" s="15">
        <v>89080</v>
      </c>
      <c r="B399" s="13" t="s">
        <v>1451</v>
      </c>
      <c r="C399" s="22">
        <v>65437930</v>
      </c>
      <c r="D399" s="14">
        <v>1258.3584000000001</v>
      </c>
      <c r="E399" s="16">
        <f t="shared" si="6"/>
        <v>52002.617060449549</v>
      </c>
    </row>
    <row r="400" spans="1:5" x14ac:dyDescent="0.25">
      <c r="A400" s="15">
        <v>89087</v>
      </c>
      <c r="B400" s="13" t="s">
        <v>1452</v>
      </c>
      <c r="C400" s="22">
        <v>21513994</v>
      </c>
      <c r="D400" s="14">
        <v>405.87270000000007</v>
      </c>
      <c r="E400" s="16">
        <f t="shared" si="6"/>
        <v>53006.753102635375</v>
      </c>
    </row>
    <row r="401" spans="1:5" x14ac:dyDescent="0.25">
      <c r="A401" s="15">
        <v>89088</v>
      </c>
      <c r="B401" s="13" t="s">
        <v>1453</v>
      </c>
      <c r="C401" s="22">
        <v>12043888</v>
      </c>
      <c r="D401" s="14">
        <v>195.23239999999998</v>
      </c>
      <c r="E401" s="16">
        <f t="shared" si="6"/>
        <v>61690.006371893192</v>
      </c>
    </row>
    <row r="402" spans="1:5" x14ac:dyDescent="0.25">
      <c r="A402" s="15">
        <v>89089</v>
      </c>
      <c r="B402" s="13" t="s">
        <v>1454</v>
      </c>
      <c r="C402" s="22">
        <v>102999688</v>
      </c>
      <c r="D402" s="14">
        <v>1523.0641999999998</v>
      </c>
      <c r="E402" s="16">
        <f t="shared" si="6"/>
        <v>67626.622699161351</v>
      </c>
    </row>
    <row r="403" spans="1:5" x14ac:dyDescent="0.25">
      <c r="A403" s="15">
        <v>90075</v>
      </c>
      <c r="B403" s="13" t="s">
        <v>1455</v>
      </c>
      <c r="C403" s="22">
        <v>5843241</v>
      </c>
      <c r="D403" s="14">
        <v>83.6126</v>
      </c>
      <c r="E403" s="16">
        <f t="shared" si="6"/>
        <v>69884.694412086217</v>
      </c>
    </row>
    <row r="404" spans="1:5" x14ac:dyDescent="0.25">
      <c r="A404" s="15">
        <v>90076</v>
      </c>
      <c r="B404" s="13" t="s">
        <v>1456</v>
      </c>
      <c r="C404" s="22">
        <v>27561487</v>
      </c>
      <c r="D404" s="14">
        <v>463.94990000000007</v>
      </c>
      <c r="E404" s="16">
        <f t="shared" si="6"/>
        <v>59406.17079559667</v>
      </c>
    </row>
    <row r="405" spans="1:5" x14ac:dyDescent="0.25">
      <c r="A405" s="15">
        <v>90077</v>
      </c>
      <c r="B405" s="13" t="s">
        <v>1457</v>
      </c>
      <c r="C405" s="22">
        <v>56275232</v>
      </c>
      <c r="D405" s="14">
        <v>227.86779999999999</v>
      </c>
      <c r="E405" s="16">
        <f t="shared" si="6"/>
        <v>246964.38900099095</v>
      </c>
    </row>
    <row r="406" spans="1:5" x14ac:dyDescent="0.25">
      <c r="A406" s="15">
        <v>90078</v>
      </c>
      <c r="B406" s="13" t="s">
        <v>1458</v>
      </c>
      <c r="C406" s="22">
        <v>85704839</v>
      </c>
      <c r="D406" s="14">
        <v>218.2737000000001</v>
      </c>
      <c r="E406" s="16">
        <f t="shared" si="6"/>
        <v>392648.491320759</v>
      </c>
    </row>
    <row r="407" spans="1:5" x14ac:dyDescent="0.25">
      <c r="A407" s="15">
        <v>91091</v>
      </c>
      <c r="B407" s="13" t="s">
        <v>1459</v>
      </c>
      <c r="C407" s="22">
        <v>9494274</v>
      </c>
      <c r="D407" s="14">
        <v>435.90630000000004</v>
      </c>
      <c r="E407" s="16">
        <f t="shared" si="6"/>
        <v>21780.538615752972</v>
      </c>
    </row>
    <row r="408" spans="1:5" x14ac:dyDescent="0.25">
      <c r="A408" s="15">
        <v>91092</v>
      </c>
      <c r="B408" s="13" t="s">
        <v>1460</v>
      </c>
      <c r="C408" s="22">
        <v>63084448</v>
      </c>
      <c r="D408" s="14">
        <v>1405.4382000000001</v>
      </c>
      <c r="E408" s="16">
        <f t="shared" si="6"/>
        <v>44885.963680224428</v>
      </c>
    </row>
    <row r="409" spans="1:5" x14ac:dyDescent="0.25">
      <c r="A409" s="15">
        <v>91093</v>
      </c>
      <c r="B409" s="13" t="s">
        <v>1461</v>
      </c>
      <c r="C409" s="22">
        <v>5028853</v>
      </c>
      <c r="D409" s="14">
        <v>237.53580000000002</v>
      </c>
      <c r="E409" s="16">
        <f t="shared" si="6"/>
        <v>21170.926656108255</v>
      </c>
    </row>
    <row r="410" spans="1:5" x14ac:dyDescent="0.25">
      <c r="A410" s="15">
        <v>91095</v>
      </c>
      <c r="B410" s="13" t="s">
        <v>1462</v>
      </c>
      <c r="C410" s="22">
        <v>4970830</v>
      </c>
      <c r="D410" s="14">
        <v>160.63030000000003</v>
      </c>
      <c r="E410" s="16">
        <f t="shared" si="6"/>
        <v>30945.780466076445</v>
      </c>
    </row>
    <row r="411" spans="1:5" x14ac:dyDescent="0.25">
      <c r="A411" s="15">
        <v>92087</v>
      </c>
      <c r="B411" s="13" t="s">
        <v>1463</v>
      </c>
      <c r="C411" s="22">
        <v>2049930390</v>
      </c>
      <c r="D411" s="14">
        <v>17252.805800000002</v>
      </c>
      <c r="E411" s="16">
        <f t="shared" si="6"/>
        <v>118817.21812460208</v>
      </c>
    </row>
    <row r="412" spans="1:5" x14ac:dyDescent="0.25">
      <c r="A412" s="15">
        <v>92088</v>
      </c>
      <c r="B412" s="13" t="s">
        <v>1464</v>
      </c>
      <c r="C412" s="22">
        <v>2295565661</v>
      </c>
      <c r="D412" s="14">
        <v>16633.959800000001</v>
      </c>
      <c r="E412" s="16">
        <f t="shared" si="6"/>
        <v>138004.76186073263</v>
      </c>
    </row>
    <row r="413" spans="1:5" x14ac:dyDescent="0.25">
      <c r="A413" s="15">
        <v>92089</v>
      </c>
      <c r="B413" s="13" t="s">
        <v>1465</v>
      </c>
      <c r="C413" s="22">
        <v>1505878632</v>
      </c>
      <c r="D413" s="14">
        <v>10941.520399999998</v>
      </c>
      <c r="E413" s="16">
        <f t="shared" si="6"/>
        <v>137629.74220657675</v>
      </c>
    </row>
    <row r="414" spans="1:5" x14ac:dyDescent="0.25">
      <c r="A414" s="15">
        <v>92090</v>
      </c>
      <c r="B414" s="13" t="s">
        <v>1466</v>
      </c>
      <c r="C414" s="22">
        <v>940197880</v>
      </c>
      <c r="D414" s="14">
        <v>4736.1916999999994</v>
      </c>
      <c r="E414" s="16">
        <f t="shared" si="6"/>
        <v>198513.47655543592</v>
      </c>
    </row>
    <row r="415" spans="1:5" x14ac:dyDescent="0.25">
      <c r="A415" s="15">
        <v>92091</v>
      </c>
      <c r="B415" s="13" t="s">
        <v>1467</v>
      </c>
      <c r="C415" s="22">
        <v>327354215</v>
      </c>
      <c r="D415" s="14">
        <v>1367.0099000000002</v>
      </c>
      <c r="E415" s="16">
        <f t="shared" si="6"/>
        <v>239467.33304564943</v>
      </c>
    </row>
    <row r="416" spans="1:5" x14ac:dyDescent="0.25">
      <c r="A416" s="15">
        <v>93120</v>
      </c>
      <c r="B416" s="13" t="s">
        <v>1468</v>
      </c>
      <c r="C416" s="22">
        <v>23112939</v>
      </c>
      <c r="D416" s="14">
        <v>306.57319999999999</v>
      </c>
      <c r="E416" s="16">
        <f t="shared" si="6"/>
        <v>75391.257291896356</v>
      </c>
    </row>
    <row r="417" spans="1:5" x14ac:dyDescent="0.25">
      <c r="A417" s="15">
        <v>93121</v>
      </c>
      <c r="B417" s="13" t="s">
        <v>1469</v>
      </c>
      <c r="C417" s="22">
        <v>7016264</v>
      </c>
      <c r="D417" s="14">
        <v>77.533299999999997</v>
      </c>
      <c r="E417" s="16">
        <f t="shared" si="6"/>
        <v>90493.555672207949</v>
      </c>
    </row>
    <row r="418" spans="1:5" x14ac:dyDescent="0.25">
      <c r="A418" s="15">
        <v>93123</v>
      </c>
      <c r="B418" s="13" t="s">
        <v>1470</v>
      </c>
      <c r="C418" s="22">
        <v>28652335</v>
      </c>
      <c r="D418" s="14">
        <v>408.28770000000009</v>
      </c>
      <c r="E418" s="16">
        <f t="shared" si="6"/>
        <v>70176.826291852514</v>
      </c>
    </row>
    <row r="419" spans="1:5" x14ac:dyDescent="0.25">
      <c r="A419" s="15">
        <v>93124</v>
      </c>
      <c r="B419" s="13" t="s">
        <v>1471</v>
      </c>
      <c r="C419" s="22">
        <v>28187106</v>
      </c>
      <c r="D419" s="14">
        <v>466.79480000000001</v>
      </c>
      <c r="E419" s="16">
        <f t="shared" si="6"/>
        <v>60384.361608141306</v>
      </c>
    </row>
    <row r="420" spans="1:5" x14ac:dyDescent="0.25">
      <c r="A420" s="15">
        <v>94076</v>
      </c>
      <c r="B420" s="13" t="s">
        <v>1472</v>
      </c>
      <c r="C420" s="22">
        <v>24402972</v>
      </c>
      <c r="D420" s="14">
        <v>546.01220000000001</v>
      </c>
      <c r="E420" s="16">
        <f t="shared" si="6"/>
        <v>44693.08927529458</v>
      </c>
    </row>
    <row r="421" spans="1:5" x14ac:dyDescent="0.25">
      <c r="A421" s="15">
        <v>94078</v>
      </c>
      <c r="B421" s="13" t="s">
        <v>1473</v>
      </c>
      <c r="C421" s="22">
        <v>304763434</v>
      </c>
      <c r="D421" s="14">
        <v>3689.4245000000005</v>
      </c>
      <c r="E421" s="16">
        <f t="shared" si="6"/>
        <v>82604.599714670941</v>
      </c>
    </row>
    <row r="422" spans="1:5" x14ac:dyDescent="0.25">
      <c r="A422" s="15">
        <v>94083</v>
      </c>
      <c r="B422" s="13" t="s">
        <v>1474</v>
      </c>
      <c r="C422" s="22">
        <v>157752416</v>
      </c>
      <c r="D422" s="14">
        <v>3098.1487999999999</v>
      </c>
      <c r="E422" s="16">
        <f t="shared" si="6"/>
        <v>50918.282556344617</v>
      </c>
    </row>
    <row r="423" spans="1:5" x14ac:dyDescent="0.25">
      <c r="A423" s="15">
        <v>94086</v>
      </c>
      <c r="B423" s="13" t="s">
        <v>1475</v>
      </c>
      <c r="C423" s="22">
        <v>94026434</v>
      </c>
      <c r="D423" s="14">
        <v>2055.9014000000002</v>
      </c>
      <c r="E423" s="16">
        <f t="shared" si="6"/>
        <v>45734.89467928763</v>
      </c>
    </row>
    <row r="424" spans="1:5" x14ac:dyDescent="0.25">
      <c r="A424" s="15">
        <v>94087</v>
      </c>
      <c r="B424" s="13" t="s">
        <v>1476</v>
      </c>
      <c r="C424" s="22">
        <v>41893679</v>
      </c>
      <c r="D424" s="14">
        <v>1043.1378</v>
      </c>
      <c r="E424" s="16">
        <f t="shared" si="6"/>
        <v>40161.212641321217</v>
      </c>
    </row>
    <row r="425" spans="1:5" x14ac:dyDescent="0.25">
      <c r="A425" s="15">
        <v>95059</v>
      </c>
      <c r="B425" s="13" t="s">
        <v>1477</v>
      </c>
      <c r="C425" s="22">
        <v>330844041</v>
      </c>
      <c r="D425" s="14">
        <v>1894.1745999999998</v>
      </c>
      <c r="E425" s="16">
        <f t="shared" si="6"/>
        <v>174663.96234011377</v>
      </c>
    </row>
    <row r="426" spans="1:5" x14ac:dyDescent="0.25">
      <c r="A426" s="15">
        <v>96088</v>
      </c>
      <c r="B426" s="13" t="s">
        <v>1478</v>
      </c>
      <c r="C426" s="22">
        <v>1931441590</v>
      </c>
      <c r="D426" s="14">
        <v>17343.276900000012</v>
      </c>
      <c r="E426" s="16">
        <f t="shared" si="6"/>
        <v>111365.43579028013</v>
      </c>
    </row>
    <row r="427" spans="1:5" x14ac:dyDescent="0.25">
      <c r="A427" s="15">
        <v>96089</v>
      </c>
      <c r="B427" s="13" t="s">
        <v>1479</v>
      </c>
      <c r="C427" s="22">
        <v>1079611000</v>
      </c>
      <c r="D427" s="14">
        <v>11085.418000000003</v>
      </c>
      <c r="E427" s="16">
        <f t="shared" si="6"/>
        <v>97390.193134801026</v>
      </c>
    </row>
    <row r="428" spans="1:5" x14ac:dyDescent="0.25">
      <c r="A428" s="15">
        <v>96090</v>
      </c>
      <c r="B428" s="13" t="s">
        <v>1480</v>
      </c>
      <c r="C428" s="22">
        <v>1419428410</v>
      </c>
      <c r="D428" s="14">
        <v>5540.7175999999999</v>
      </c>
      <c r="E428" s="16">
        <f t="shared" si="6"/>
        <v>256181.33109689617</v>
      </c>
    </row>
    <row r="429" spans="1:5" x14ac:dyDescent="0.25">
      <c r="A429" s="15">
        <v>96091</v>
      </c>
      <c r="B429" s="13" t="s">
        <v>1481</v>
      </c>
      <c r="C429" s="22">
        <v>3515636323</v>
      </c>
      <c r="D429" s="14">
        <v>20788.386500000004</v>
      </c>
      <c r="E429" s="16">
        <f t="shared" si="6"/>
        <v>169115.40118806236</v>
      </c>
    </row>
    <row r="430" spans="1:5" x14ac:dyDescent="0.25">
      <c r="A430" s="15">
        <v>96092</v>
      </c>
      <c r="B430" s="13" t="s">
        <v>1482</v>
      </c>
      <c r="C430" s="22">
        <v>1242098790</v>
      </c>
      <c r="D430" s="14">
        <v>4517.7894000000015</v>
      </c>
      <c r="E430" s="16">
        <f t="shared" si="6"/>
        <v>274935.07997517538</v>
      </c>
    </row>
    <row r="431" spans="1:5" x14ac:dyDescent="0.25">
      <c r="A431" s="15">
        <v>96093</v>
      </c>
      <c r="B431" s="13" t="s">
        <v>1483</v>
      </c>
      <c r="C431" s="22">
        <v>1300553490</v>
      </c>
      <c r="D431" s="14">
        <v>5186.6585000000005</v>
      </c>
      <c r="E431" s="16">
        <f t="shared" si="6"/>
        <v>250749.78235023568</v>
      </c>
    </row>
    <row r="432" spans="1:5" x14ac:dyDescent="0.25">
      <c r="A432" s="15">
        <v>96094</v>
      </c>
      <c r="B432" s="13" t="s">
        <v>1484</v>
      </c>
      <c r="C432" s="22">
        <v>1777204260</v>
      </c>
      <c r="D432" s="14">
        <v>9749.1094000000012</v>
      </c>
      <c r="E432" s="16">
        <f t="shared" si="6"/>
        <v>182294.01138938905</v>
      </c>
    </row>
    <row r="433" spans="1:5" x14ac:dyDescent="0.25">
      <c r="A433" s="15">
        <v>96095</v>
      </c>
      <c r="B433" s="13" t="s">
        <v>1485</v>
      </c>
      <c r="C433" s="22">
        <v>4448004710</v>
      </c>
      <c r="D433" s="14">
        <v>16226.142900000001</v>
      </c>
      <c r="E433" s="16">
        <f t="shared" si="6"/>
        <v>274125.81889686181</v>
      </c>
    </row>
    <row r="434" spans="1:5" x14ac:dyDescent="0.25">
      <c r="A434" s="15">
        <v>96098</v>
      </c>
      <c r="B434" s="13" t="s">
        <v>1486</v>
      </c>
      <c r="C434" s="22">
        <v>404957950</v>
      </c>
      <c r="D434" s="14">
        <v>2316.9388999999996</v>
      </c>
      <c r="E434" s="16">
        <f t="shared" si="6"/>
        <v>174781.45409876801</v>
      </c>
    </row>
    <row r="435" spans="1:5" x14ac:dyDescent="0.25">
      <c r="A435" s="15">
        <v>96099</v>
      </c>
      <c r="B435" s="13" t="s">
        <v>1487</v>
      </c>
      <c r="C435" s="22">
        <v>159569310</v>
      </c>
      <c r="D435" s="14">
        <v>1494.8847000000001</v>
      </c>
      <c r="E435" s="16">
        <f t="shared" si="6"/>
        <v>106743.5568776642</v>
      </c>
    </row>
    <row r="436" spans="1:5" x14ac:dyDescent="0.25">
      <c r="A436" s="15">
        <v>96101</v>
      </c>
      <c r="B436" s="13" t="s">
        <v>1488</v>
      </c>
      <c r="C436" s="22">
        <v>323996590</v>
      </c>
      <c r="D436" s="14">
        <v>752.49259999999992</v>
      </c>
      <c r="E436" s="16">
        <f t="shared" si="6"/>
        <v>430564.48661422054</v>
      </c>
    </row>
    <row r="437" spans="1:5" x14ac:dyDescent="0.25">
      <c r="A437" s="15">
        <v>96102</v>
      </c>
      <c r="B437" s="13" t="s">
        <v>1489</v>
      </c>
      <c r="C437" s="22">
        <v>1050174880</v>
      </c>
      <c r="D437" s="14">
        <v>2343.0627000000004</v>
      </c>
      <c r="E437" s="16">
        <f t="shared" si="6"/>
        <v>448206.05099470867</v>
      </c>
    </row>
    <row r="438" spans="1:5" x14ac:dyDescent="0.25">
      <c r="A438" s="15">
        <v>96103</v>
      </c>
      <c r="B438" s="13" t="s">
        <v>1490</v>
      </c>
      <c r="C438" s="22">
        <v>73400400</v>
      </c>
      <c r="D438" s="14">
        <v>1521.3429999999998</v>
      </c>
      <c r="E438" s="16">
        <f t="shared" si="6"/>
        <v>48247.107982880923</v>
      </c>
    </row>
    <row r="439" spans="1:5" x14ac:dyDescent="0.25">
      <c r="A439" s="15">
        <v>96104</v>
      </c>
      <c r="B439" s="13" t="s">
        <v>1491</v>
      </c>
      <c r="C439" s="22">
        <v>124133260</v>
      </c>
      <c r="D439" s="14">
        <v>2824.4592000000002</v>
      </c>
      <c r="E439" s="16">
        <f t="shared" si="6"/>
        <v>43949.390382413731</v>
      </c>
    </row>
    <row r="440" spans="1:5" x14ac:dyDescent="0.25">
      <c r="A440" s="15">
        <v>96106</v>
      </c>
      <c r="B440" s="13" t="s">
        <v>1492</v>
      </c>
      <c r="C440" s="22">
        <v>1482073350</v>
      </c>
      <c r="D440" s="14">
        <v>3602.1980000000003</v>
      </c>
      <c r="E440" s="16">
        <f t="shared" si="6"/>
        <v>411435.83723049093</v>
      </c>
    </row>
    <row r="441" spans="1:5" x14ac:dyDescent="0.25">
      <c r="A441" s="15">
        <v>96107</v>
      </c>
      <c r="B441" s="13" t="s">
        <v>1493</v>
      </c>
      <c r="C441" s="22">
        <v>293023740</v>
      </c>
      <c r="D441" s="14">
        <v>954.66010000000006</v>
      </c>
      <c r="E441" s="16">
        <f t="shared" si="6"/>
        <v>306940.38642654067</v>
      </c>
    </row>
    <row r="442" spans="1:5" x14ac:dyDescent="0.25">
      <c r="A442" s="15">
        <v>96109</v>
      </c>
      <c r="B442" s="13" t="s">
        <v>1494</v>
      </c>
      <c r="C442" s="22">
        <v>274904240</v>
      </c>
      <c r="D442" s="14">
        <v>4013.0016000000005</v>
      </c>
      <c r="E442" s="16">
        <f t="shared" si="6"/>
        <v>68503.396559821951</v>
      </c>
    </row>
    <row r="443" spans="1:5" x14ac:dyDescent="0.25">
      <c r="A443" s="15">
        <v>96110</v>
      </c>
      <c r="B443" s="13" t="s">
        <v>1495</v>
      </c>
      <c r="C443" s="22">
        <v>593331120</v>
      </c>
      <c r="D443" s="14">
        <v>5925.1772000000019</v>
      </c>
      <c r="E443" s="16">
        <f t="shared" si="6"/>
        <v>100137.27859480723</v>
      </c>
    </row>
    <row r="444" spans="1:5" x14ac:dyDescent="0.25">
      <c r="A444" s="15">
        <v>96111</v>
      </c>
      <c r="B444" s="13" t="s">
        <v>1496</v>
      </c>
      <c r="C444" s="22">
        <v>258480090</v>
      </c>
      <c r="D444" s="14">
        <v>5874.3941000000004</v>
      </c>
      <c r="E444" s="16">
        <f t="shared" si="6"/>
        <v>44001.148986582288</v>
      </c>
    </row>
    <row r="445" spans="1:5" x14ac:dyDescent="0.25">
      <c r="A445" s="15">
        <v>96112</v>
      </c>
      <c r="B445" s="13" t="s">
        <v>1497</v>
      </c>
      <c r="C445" s="22">
        <v>613640010</v>
      </c>
      <c r="D445" s="14">
        <v>2976.0887999999991</v>
      </c>
      <c r="E445" s="16">
        <f t="shared" si="6"/>
        <v>206190.08747319641</v>
      </c>
    </row>
    <row r="446" spans="1:5" x14ac:dyDescent="0.25">
      <c r="A446" s="15">
        <v>96113</v>
      </c>
      <c r="B446" s="13" t="s">
        <v>1498</v>
      </c>
      <c r="C446" s="22">
        <v>173490950</v>
      </c>
      <c r="D446" s="14">
        <v>963.27110000000016</v>
      </c>
      <c r="E446" s="16">
        <f t="shared" si="6"/>
        <v>180106.04698926394</v>
      </c>
    </row>
    <row r="447" spans="1:5" x14ac:dyDescent="0.25">
      <c r="A447" s="15">
        <v>96114</v>
      </c>
      <c r="B447" s="13" t="s">
        <v>1499</v>
      </c>
      <c r="C447" s="22">
        <v>728663570</v>
      </c>
      <c r="D447" s="14">
        <v>3881.1103000000007</v>
      </c>
      <c r="E447" s="16">
        <f t="shared" si="6"/>
        <v>187746.16377174333</v>
      </c>
    </row>
    <row r="448" spans="1:5" x14ac:dyDescent="0.25">
      <c r="A448" s="15">
        <v>96115</v>
      </c>
      <c r="B448" s="13" t="s">
        <v>1575</v>
      </c>
      <c r="C448" s="22">
        <v>18793960</v>
      </c>
      <c r="D448" s="14">
        <v>421.71439999999996</v>
      </c>
      <c r="E448" s="16">
        <f t="shared" si="6"/>
        <v>44565.611228831651</v>
      </c>
    </row>
    <row r="449" spans="1:5" x14ac:dyDescent="0.25">
      <c r="A449" s="15">
        <v>97116</v>
      </c>
      <c r="B449" s="13" t="s">
        <v>1076</v>
      </c>
      <c r="C449" s="22">
        <v>8639343</v>
      </c>
      <c r="D449" s="14">
        <v>58.207999999999998</v>
      </c>
      <c r="E449" s="16">
        <f t="shared" si="6"/>
        <v>148421.91794942276</v>
      </c>
    </row>
    <row r="450" spans="1:5" x14ac:dyDescent="0.25">
      <c r="A450" s="15">
        <v>97118</v>
      </c>
      <c r="B450" s="13" t="s">
        <v>1500</v>
      </c>
      <c r="C450" s="22">
        <v>5144223</v>
      </c>
      <c r="D450" s="14">
        <v>58.198600000000006</v>
      </c>
      <c r="E450" s="16">
        <f t="shared" si="6"/>
        <v>88390.837580285428</v>
      </c>
    </row>
    <row r="451" spans="1:5" x14ac:dyDescent="0.25">
      <c r="A451" s="15">
        <v>97119</v>
      </c>
      <c r="B451" s="13" t="s">
        <v>1501</v>
      </c>
      <c r="C451" s="22">
        <v>9318559</v>
      </c>
      <c r="D451" s="14">
        <v>92.359099999999998</v>
      </c>
      <c r="E451" s="16">
        <f t="shared" ref="E451:E514" si="7">C451/D451</f>
        <v>100894.86580098767</v>
      </c>
    </row>
    <row r="452" spans="1:5" x14ac:dyDescent="0.25">
      <c r="A452" s="15">
        <v>97122</v>
      </c>
      <c r="B452" s="13" t="s">
        <v>1502</v>
      </c>
      <c r="C452" s="22">
        <v>6763296</v>
      </c>
      <c r="D452" s="14">
        <v>68.543600000000012</v>
      </c>
      <c r="E452" s="16">
        <f t="shared" si="7"/>
        <v>98671.444161088686</v>
      </c>
    </row>
    <row r="453" spans="1:5" x14ac:dyDescent="0.25">
      <c r="A453" s="15">
        <v>97127</v>
      </c>
      <c r="B453" s="13" t="s">
        <v>1503</v>
      </c>
      <c r="C453" s="22">
        <v>2840873</v>
      </c>
      <c r="D453" s="14">
        <v>59.090300000000013</v>
      </c>
      <c r="E453" s="16">
        <f t="shared" si="7"/>
        <v>48076.80786863494</v>
      </c>
    </row>
    <row r="454" spans="1:5" x14ac:dyDescent="0.25">
      <c r="A454" s="15">
        <v>97129</v>
      </c>
      <c r="B454" s="13" t="s">
        <v>1504</v>
      </c>
      <c r="C454" s="22">
        <v>146723729</v>
      </c>
      <c r="D454" s="14">
        <v>2380.6637000000001</v>
      </c>
      <c r="E454" s="16">
        <f t="shared" si="7"/>
        <v>61631.438745422129</v>
      </c>
    </row>
    <row r="455" spans="1:5" x14ac:dyDescent="0.25">
      <c r="A455" s="15">
        <v>97130</v>
      </c>
      <c r="B455" s="13" t="s">
        <v>1505</v>
      </c>
      <c r="C455" s="22">
        <v>17695445</v>
      </c>
      <c r="D455" s="14">
        <v>317.49250000000001</v>
      </c>
      <c r="E455" s="16">
        <f t="shared" si="7"/>
        <v>55735.00161421136</v>
      </c>
    </row>
    <row r="456" spans="1:5" x14ac:dyDescent="0.25">
      <c r="A456" s="15">
        <v>97131</v>
      </c>
      <c r="B456" s="13" t="s">
        <v>1506</v>
      </c>
      <c r="C456" s="22">
        <v>26964405</v>
      </c>
      <c r="D456" s="14">
        <v>447.79310000000004</v>
      </c>
      <c r="E456" s="16">
        <f t="shared" si="7"/>
        <v>60216.213693332924</v>
      </c>
    </row>
    <row r="457" spans="1:5" x14ac:dyDescent="0.25">
      <c r="A457" s="15">
        <v>98080</v>
      </c>
      <c r="B457" s="13" t="s">
        <v>1507</v>
      </c>
      <c r="C457" s="22">
        <v>34617250</v>
      </c>
      <c r="D457" s="14">
        <v>665.27970000000005</v>
      </c>
      <c r="E457" s="16">
        <f t="shared" si="7"/>
        <v>52034.129404519626</v>
      </c>
    </row>
    <row r="458" spans="1:5" x14ac:dyDescent="0.25">
      <c r="A458" s="15">
        <v>99078</v>
      </c>
      <c r="B458" s="13" t="s">
        <v>1508</v>
      </c>
      <c r="C458" s="22">
        <v>3961877</v>
      </c>
      <c r="D458" s="14">
        <v>35.620700000000006</v>
      </c>
      <c r="E458" s="16">
        <f t="shared" si="7"/>
        <v>111224.00738896201</v>
      </c>
    </row>
    <row r="459" spans="1:5" x14ac:dyDescent="0.25">
      <c r="A459" s="15">
        <v>99082</v>
      </c>
      <c r="B459" s="13" t="s">
        <v>1509</v>
      </c>
      <c r="C459" s="22">
        <v>47320514</v>
      </c>
      <c r="D459" s="14">
        <v>568.19310000000007</v>
      </c>
      <c r="E459" s="16">
        <f t="shared" si="7"/>
        <v>83282.450983653252</v>
      </c>
    </row>
    <row r="460" spans="1:5" x14ac:dyDescent="0.25">
      <c r="A460" s="15">
        <v>100059</v>
      </c>
      <c r="B460" s="13" t="s">
        <v>1510</v>
      </c>
      <c r="C460" s="22">
        <v>50697310</v>
      </c>
      <c r="D460" s="14">
        <v>897.35960000000011</v>
      </c>
      <c r="E460" s="16">
        <f t="shared" si="7"/>
        <v>56496.091421989571</v>
      </c>
    </row>
    <row r="461" spans="1:5" x14ac:dyDescent="0.25">
      <c r="A461" s="15">
        <v>100060</v>
      </c>
      <c r="B461" s="13" t="s">
        <v>1511</v>
      </c>
      <c r="C461" s="22">
        <v>22623059</v>
      </c>
      <c r="D461" s="14">
        <v>514.97410000000002</v>
      </c>
      <c r="E461" s="16">
        <f t="shared" si="7"/>
        <v>43930.479222158938</v>
      </c>
    </row>
    <row r="462" spans="1:5" x14ac:dyDescent="0.25">
      <c r="A462" s="15">
        <v>100061</v>
      </c>
      <c r="B462" s="13" t="s">
        <v>1512</v>
      </c>
      <c r="C462" s="22">
        <v>52009469</v>
      </c>
      <c r="D462" s="14">
        <v>888.81360000000018</v>
      </c>
      <c r="E462" s="16">
        <f t="shared" si="7"/>
        <v>58515.608897073573</v>
      </c>
    </row>
    <row r="463" spans="1:5" x14ac:dyDescent="0.25">
      <c r="A463" s="15">
        <v>100062</v>
      </c>
      <c r="B463" s="13" t="s">
        <v>1513</v>
      </c>
      <c r="C463" s="22">
        <v>13842160</v>
      </c>
      <c r="D463" s="14">
        <v>319.54109999999997</v>
      </c>
      <c r="E463" s="16">
        <f t="shared" si="7"/>
        <v>43318.871969834247</v>
      </c>
    </row>
    <row r="464" spans="1:5" x14ac:dyDescent="0.25">
      <c r="A464" s="15">
        <v>100063</v>
      </c>
      <c r="B464" s="13" t="s">
        <v>1514</v>
      </c>
      <c r="C464" s="22">
        <v>207528178</v>
      </c>
      <c r="D464" s="14">
        <v>3312.0390000000002</v>
      </c>
      <c r="E464" s="16">
        <f t="shared" si="7"/>
        <v>62658.736204495173</v>
      </c>
    </row>
    <row r="465" spans="1:5" x14ac:dyDescent="0.25">
      <c r="A465" s="15">
        <v>100064</v>
      </c>
      <c r="B465" s="13" t="s">
        <v>1515</v>
      </c>
      <c r="C465" s="22">
        <v>22330490</v>
      </c>
      <c r="D465" s="14">
        <v>152.61240000000001</v>
      </c>
      <c r="E465" s="16">
        <f t="shared" si="7"/>
        <v>146321.59641025236</v>
      </c>
    </row>
    <row r="466" spans="1:5" x14ac:dyDescent="0.25">
      <c r="A466" s="15">
        <v>100065</v>
      </c>
      <c r="B466" s="13" t="s">
        <v>1516</v>
      </c>
      <c r="C466" s="22">
        <v>18621970</v>
      </c>
      <c r="D466" s="14">
        <v>369.49440000000004</v>
      </c>
      <c r="E466" s="16">
        <f t="shared" si="7"/>
        <v>50398.517541808476</v>
      </c>
    </row>
    <row r="467" spans="1:5" x14ac:dyDescent="0.25">
      <c r="A467" s="15">
        <v>101105</v>
      </c>
      <c r="B467" s="13" t="s">
        <v>1517</v>
      </c>
      <c r="C467" s="22">
        <v>15691537</v>
      </c>
      <c r="D467" s="14">
        <v>512.50570000000005</v>
      </c>
      <c r="E467" s="16">
        <f t="shared" si="7"/>
        <v>30617.292646696413</v>
      </c>
    </row>
    <row r="468" spans="1:5" x14ac:dyDescent="0.25">
      <c r="A468" s="15">
        <v>101107</v>
      </c>
      <c r="B468" s="13" t="s">
        <v>1518</v>
      </c>
      <c r="C468" s="22">
        <v>18463748</v>
      </c>
      <c r="D468" s="14">
        <v>280.26280000000003</v>
      </c>
      <c r="E468" s="16">
        <f t="shared" si="7"/>
        <v>65880.123940815538</v>
      </c>
    </row>
    <row r="469" spans="1:5" x14ac:dyDescent="0.25">
      <c r="A469" s="15">
        <v>102081</v>
      </c>
      <c r="B469" s="13" t="s">
        <v>1519</v>
      </c>
      <c r="C469" s="22">
        <v>29002616</v>
      </c>
      <c r="D469" s="14">
        <v>288.81389999999999</v>
      </c>
      <c r="E469" s="16">
        <f t="shared" si="7"/>
        <v>100419.73741568533</v>
      </c>
    </row>
    <row r="470" spans="1:5" x14ac:dyDescent="0.25">
      <c r="A470" s="15">
        <v>102085</v>
      </c>
      <c r="B470" s="13" t="s">
        <v>1520</v>
      </c>
      <c r="C470" s="22">
        <v>56110964</v>
      </c>
      <c r="D470" s="14">
        <v>735.40349999999989</v>
      </c>
      <c r="E470" s="16">
        <f t="shared" si="7"/>
        <v>76299.560717347704</v>
      </c>
    </row>
    <row r="471" spans="1:5" x14ac:dyDescent="0.25">
      <c r="A471" s="15">
        <v>103127</v>
      </c>
      <c r="B471" s="13" t="s">
        <v>1521</v>
      </c>
      <c r="C471" s="22">
        <v>21913756</v>
      </c>
      <c r="D471" s="14">
        <v>249.90430000000006</v>
      </c>
      <c r="E471" s="16">
        <f t="shared" si="7"/>
        <v>87688.59119270854</v>
      </c>
    </row>
    <row r="472" spans="1:5" x14ac:dyDescent="0.25">
      <c r="A472" s="15">
        <v>103128</v>
      </c>
      <c r="B472" s="13" t="s">
        <v>1522</v>
      </c>
      <c r="C472" s="22">
        <v>27699525</v>
      </c>
      <c r="D472" s="14">
        <v>229.15110000000004</v>
      </c>
      <c r="E472" s="16">
        <f t="shared" si="7"/>
        <v>120878.86551711947</v>
      </c>
    </row>
    <row r="473" spans="1:5" x14ac:dyDescent="0.25">
      <c r="A473" s="15">
        <v>103129</v>
      </c>
      <c r="B473" s="13" t="s">
        <v>1523</v>
      </c>
      <c r="C473" s="22">
        <v>28376517</v>
      </c>
      <c r="D473" s="14">
        <v>419.00609999999995</v>
      </c>
      <c r="E473" s="16">
        <f t="shared" si="7"/>
        <v>67723.398298974658</v>
      </c>
    </row>
    <row r="474" spans="1:5" x14ac:dyDescent="0.25">
      <c r="A474" s="15">
        <v>103130</v>
      </c>
      <c r="B474" s="13" t="s">
        <v>1524</v>
      </c>
      <c r="C474" s="22">
        <v>38521533</v>
      </c>
      <c r="D474" s="14">
        <v>894.43040000000019</v>
      </c>
      <c r="E474" s="16">
        <f t="shared" si="7"/>
        <v>43068.228673801779</v>
      </c>
    </row>
    <row r="475" spans="1:5" x14ac:dyDescent="0.25">
      <c r="A475" s="15">
        <v>103131</v>
      </c>
      <c r="B475" s="13" t="s">
        <v>1525</v>
      </c>
      <c r="C475" s="22">
        <v>40145705</v>
      </c>
      <c r="D475" s="14">
        <v>717.01419999999996</v>
      </c>
      <c r="E475" s="16">
        <f t="shared" si="7"/>
        <v>55990.111492910466</v>
      </c>
    </row>
    <row r="476" spans="1:5" x14ac:dyDescent="0.25">
      <c r="A476" s="15">
        <v>103132</v>
      </c>
      <c r="B476" s="13" t="s">
        <v>1526</v>
      </c>
      <c r="C476" s="22">
        <v>164460687</v>
      </c>
      <c r="D476" s="14">
        <v>1966.9921999999997</v>
      </c>
      <c r="E476" s="16">
        <f t="shared" si="7"/>
        <v>83610.238515434903</v>
      </c>
    </row>
    <row r="477" spans="1:5" x14ac:dyDescent="0.25">
      <c r="A477" s="15">
        <v>103135</v>
      </c>
      <c r="B477" s="13" t="s">
        <v>1527</v>
      </c>
      <c r="C477" s="22">
        <v>30250322</v>
      </c>
      <c r="D477" s="14">
        <v>516.49919999999997</v>
      </c>
      <c r="E477" s="16">
        <f t="shared" si="7"/>
        <v>58567.993909767916</v>
      </c>
    </row>
    <row r="478" spans="1:5" x14ac:dyDescent="0.25">
      <c r="A478" s="15">
        <v>104041</v>
      </c>
      <c r="B478" s="13" t="s">
        <v>1528</v>
      </c>
      <c r="C478" s="22">
        <v>9672931</v>
      </c>
      <c r="D478" s="14">
        <v>266.02539999999999</v>
      </c>
      <c r="E478" s="16">
        <f t="shared" si="7"/>
        <v>36360.930196890971</v>
      </c>
    </row>
    <row r="479" spans="1:5" x14ac:dyDescent="0.25">
      <c r="A479" s="15">
        <v>104042</v>
      </c>
      <c r="B479" s="13" t="s">
        <v>1529</v>
      </c>
      <c r="C479" s="22">
        <v>26603099</v>
      </c>
      <c r="D479" s="14">
        <v>516.85540000000003</v>
      </c>
      <c r="E479" s="16">
        <f t="shared" si="7"/>
        <v>51471.06714953544</v>
      </c>
    </row>
    <row r="480" spans="1:5" x14ac:dyDescent="0.25">
      <c r="A480" s="15">
        <v>104043</v>
      </c>
      <c r="B480" s="13" t="s">
        <v>1530</v>
      </c>
      <c r="C480" s="22">
        <v>23303651</v>
      </c>
      <c r="D480" s="14">
        <v>678.02479999999991</v>
      </c>
      <c r="E480" s="16">
        <f t="shared" si="7"/>
        <v>34369.90947823738</v>
      </c>
    </row>
    <row r="481" spans="1:5" x14ac:dyDescent="0.25">
      <c r="A481" s="15">
        <v>104044</v>
      </c>
      <c r="B481" s="13" t="s">
        <v>1531</v>
      </c>
      <c r="C481" s="22">
        <v>326920806</v>
      </c>
      <c r="D481" s="14">
        <v>1955.2097999999999</v>
      </c>
      <c r="E481" s="16">
        <f t="shared" si="7"/>
        <v>167204.97513872938</v>
      </c>
    </row>
    <row r="482" spans="1:5" x14ac:dyDescent="0.25">
      <c r="A482" s="15">
        <v>104045</v>
      </c>
      <c r="B482" s="13" t="s">
        <v>1532</v>
      </c>
      <c r="C482" s="22">
        <v>89372844</v>
      </c>
      <c r="D482" s="14">
        <v>614.3279</v>
      </c>
      <c r="E482" s="16">
        <f t="shared" si="7"/>
        <v>145480.68547757639</v>
      </c>
    </row>
    <row r="483" spans="1:5" x14ac:dyDescent="0.25">
      <c r="A483" s="15">
        <v>105123</v>
      </c>
      <c r="B483" s="13" t="s">
        <v>1533</v>
      </c>
      <c r="C483" s="22">
        <v>21270986</v>
      </c>
      <c r="D483" s="14">
        <v>279.02670000000001</v>
      </c>
      <c r="E483" s="16">
        <f t="shared" si="7"/>
        <v>76232.797793186095</v>
      </c>
    </row>
    <row r="484" spans="1:5" x14ac:dyDescent="0.25">
      <c r="A484" s="15">
        <v>105124</v>
      </c>
      <c r="B484" s="13" t="s">
        <v>1534</v>
      </c>
      <c r="C484" s="22">
        <v>39328101</v>
      </c>
      <c r="D484" s="14">
        <v>682.98419999999999</v>
      </c>
      <c r="E484" s="16">
        <f t="shared" si="7"/>
        <v>57582.739102895794</v>
      </c>
    </row>
    <row r="485" spans="1:5" x14ac:dyDescent="0.25">
      <c r="A485" s="15">
        <v>105125</v>
      </c>
      <c r="B485" s="13" t="s">
        <v>1535</v>
      </c>
      <c r="C485" s="22">
        <v>10654488</v>
      </c>
      <c r="D485" s="14">
        <v>105.373</v>
      </c>
      <c r="E485" s="16">
        <f t="shared" si="7"/>
        <v>101112.12549704383</v>
      </c>
    </row>
    <row r="486" spans="1:5" x14ac:dyDescent="0.25">
      <c r="A486" s="15">
        <v>106001</v>
      </c>
      <c r="B486" s="13" t="s">
        <v>1536</v>
      </c>
      <c r="C486" s="22">
        <v>7690975</v>
      </c>
      <c r="D486" s="14">
        <v>180.10569999999998</v>
      </c>
      <c r="E486" s="16">
        <f t="shared" si="7"/>
        <v>42702.562994952415</v>
      </c>
    </row>
    <row r="487" spans="1:5" x14ac:dyDescent="0.25">
      <c r="A487" s="15">
        <v>106002</v>
      </c>
      <c r="B487" s="13" t="s">
        <v>1537</v>
      </c>
      <c r="C487" s="22">
        <v>10368991</v>
      </c>
      <c r="D487" s="14">
        <v>290.6574</v>
      </c>
      <c r="E487" s="16">
        <f t="shared" si="7"/>
        <v>35674.271496270179</v>
      </c>
    </row>
    <row r="488" spans="1:5" x14ac:dyDescent="0.25">
      <c r="A488" s="15">
        <v>106003</v>
      </c>
      <c r="B488" s="13" t="s">
        <v>1538</v>
      </c>
      <c r="C488" s="22">
        <v>72547499</v>
      </c>
      <c r="D488" s="14">
        <v>1094.9105999999999</v>
      </c>
      <c r="E488" s="16">
        <f t="shared" si="7"/>
        <v>66258.833369592001</v>
      </c>
    </row>
    <row r="489" spans="1:5" x14ac:dyDescent="0.25">
      <c r="A489" s="15">
        <v>106004</v>
      </c>
      <c r="B489" s="13" t="s">
        <v>1539</v>
      </c>
      <c r="C489" s="22">
        <v>663034312</v>
      </c>
      <c r="D489" s="14">
        <v>3948.1953000000003</v>
      </c>
      <c r="E489" s="16">
        <f t="shared" si="7"/>
        <v>167933.51433248501</v>
      </c>
    </row>
    <row r="490" spans="1:5" x14ac:dyDescent="0.25">
      <c r="A490" s="15">
        <v>106005</v>
      </c>
      <c r="B490" s="13" t="s">
        <v>1540</v>
      </c>
      <c r="C490" s="22">
        <v>171577543</v>
      </c>
      <c r="D490" s="14">
        <v>1263.0922</v>
      </c>
      <c r="E490" s="16">
        <f t="shared" si="7"/>
        <v>135839.28631654917</v>
      </c>
    </row>
    <row r="491" spans="1:5" x14ac:dyDescent="0.25">
      <c r="A491" s="15">
        <v>106006</v>
      </c>
      <c r="B491" s="13" t="s">
        <v>1541</v>
      </c>
      <c r="C491" s="22">
        <v>34662228</v>
      </c>
      <c r="D491" s="14">
        <v>435.74389999999994</v>
      </c>
      <c r="E491" s="16">
        <f t="shared" si="7"/>
        <v>79547.247821484139</v>
      </c>
    </row>
    <row r="492" spans="1:5" x14ac:dyDescent="0.25">
      <c r="A492" s="15">
        <v>106008</v>
      </c>
      <c r="B492" s="13" t="s">
        <v>1542</v>
      </c>
      <c r="C492" s="22">
        <v>6423486</v>
      </c>
      <c r="D492" s="14">
        <v>77.55210000000001</v>
      </c>
      <c r="E492" s="16">
        <f t="shared" si="7"/>
        <v>82828.008525881305</v>
      </c>
    </row>
    <row r="493" spans="1:5" x14ac:dyDescent="0.25">
      <c r="A493" s="15">
        <v>107151</v>
      </c>
      <c r="B493" s="13" t="s">
        <v>1543</v>
      </c>
      <c r="C493" s="22">
        <v>7123822</v>
      </c>
      <c r="D493" s="14">
        <v>125.12119999999999</v>
      </c>
      <c r="E493" s="16">
        <f t="shared" si="7"/>
        <v>56935.371463828676</v>
      </c>
    </row>
    <row r="494" spans="1:5" x14ac:dyDescent="0.25">
      <c r="A494" s="15">
        <v>107152</v>
      </c>
      <c r="B494" s="13" t="s">
        <v>1544</v>
      </c>
      <c r="C494" s="22">
        <v>50072402</v>
      </c>
      <c r="D494" s="14">
        <v>923.77040000000011</v>
      </c>
      <c r="E494" s="16">
        <f t="shared" si="7"/>
        <v>54204.380222618078</v>
      </c>
    </row>
    <row r="495" spans="1:5" x14ac:dyDescent="0.25">
      <c r="A495" s="15">
        <v>107153</v>
      </c>
      <c r="B495" s="13" t="s">
        <v>1545</v>
      </c>
      <c r="C495" s="22">
        <v>23738413</v>
      </c>
      <c r="D495" s="14">
        <v>378.42400000000009</v>
      </c>
      <c r="E495" s="16">
        <f t="shared" si="7"/>
        <v>62729.670951102453</v>
      </c>
    </row>
    <row r="496" spans="1:5" x14ac:dyDescent="0.25">
      <c r="A496" s="15">
        <v>107154</v>
      </c>
      <c r="B496" s="13" t="s">
        <v>1546</v>
      </c>
      <c r="C496" s="22">
        <v>33617980</v>
      </c>
      <c r="D496" s="14">
        <v>809.1694</v>
      </c>
      <c r="E496" s="16">
        <f t="shared" si="7"/>
        <v>41546.281903393778</v>
      </c>
    </row>
    <row r="497" spans="1:5" x14ac:dyDescent="0.25">
      <c r="A497" s="15">
        <v>107155</v>
      </c>
      <c r="B497" s="13" t="s">
        <v>1547</v>
      </c>
      <c r="C497" s="22">
        <v>40651979</v>
      </c>
      <c r="D497" s="14">
        <v>762.83190000000002</v>
      </c>
      <c r="E497" s="16">
        <f t="shared" si="7"/>
        <v>53290.874437736544</v>
      </c>
    </row>
    <row r="498" spans="1:5" x14ac:dyDescent="0.25">
      <c r="A498" s="15">
        <v>107156</v>
      </c>
      <c r="B498" s="13" t="s">
        <v>1548</v>
      </c>
      <c r="C498" s="22">
        <v>27495809</v>
      </c>
      <c r="D498" s="14">
        <v>603.59080000000006</v>
      </c>
      <c r="E498" s="16">
        <f t="shared" si="7"/>
        <v>45553.724476913827</v>
      </c>
    </row>
    <row r="499" spans="1:5" x14ac:dyDescent="0.25">
      <c r="A499" s="15">
        <v>107158</v>
      </c>
      <c r="B499" s="13" t="s">
        <v>1549</v>
      </c>
      <c r="C499" s="22">
        <v>8003423</v>
      </c>
      <c r="D499" s="14">
        <v>175.52430000000004</v>
      </c>
      <c r="E499" s="16">
        <f t="shared" si="7"/>
        <v>45597.236394049134</v>
      </c>
    </row>
    <row r="500" spans="1:5" x14ac:dyDescent="0.25">
      <c r="A500" s="15">
        <v>108142</v>
      </c>
      <c r="B500" s="13" t="s">
        <v>1550</v>
      </c>
      <c r="C500" s="22">
        <v>156570218</v>
      </c>
      <c r="D500" s="14">
        <v>2343.2119000000007</v>
      </c>
      <c r="E500" s="16">
        <f t="shared" si="7"/>
        <v>66818.633858935224</v>
      </c>
    </row>
    <row r="501" spans="1:5" x14ac:dyDescent="0.25">
      <c r="A501" s="15">
        <v>108143</v>
      </c>
      <c r="B501" s="13" t="s">
        <v>1551</v>
      </c>
      <c r="C501" s="22">
        <v>11438157</v>
      </c>
      <c r="D501" s="14">
        <v>228.23950000000002</v>
      </c>
      <c r="E501" s="16">
        <f t="shared" si="7"/>
        <v>50114.712834544407</v>
      </c>
    </row>
    <row r="502" spans="1:5" x14ac:dyDescent="0.25">
      <c r="A502" s="15">
        <v>108144</v>
      </c>
      <c r="B502" s="13" t="s">
        <v>1552</v>
      </c>
      <c r="C502" s="22">
        <v>10269960</v>
      </c>
      <c r="D502" s="14">
        <v>173.88600000000005</v>
      </c>
      <c r="E502" s="16">
        <f t="shared" si="7"/>
        <v>59061.454056105707</v>
      </c>
    </row>
    <row r="503" spans="1:5" x14ac:dyDescent="0.25">
      <c r="A503" s="15">
        <v>108147</v>
      </c>
      <c r="B503" s="13" t="s">
        <v>1553</v>
      </c>
      <c r="C503" s="22">
        <v>16351754</v>
      </c>
      <c r="D503" s="14">
        <v>199.07979999999995</v>
      </c>
      <c r="E503" s="16">
        <f t="shared" si="7"/>
        <v>82136.680868676805</v>
      </c>
    </row>
    <row r="504" spans="1:5" x14ac:dyDescent="0.25">
      <c r="A504" s="15">
        <v>109002</v>
      </c>
      <c r="B504" s="13" t="s">
        <v>1554</v>
      </c>
      <c r="C504" s="22">
        <v>171315725</v>
      </c>
      <c r="D504" s="14">
        <v>1445.9024999999999</v>
      </c>
      <c r="E504" s="16">
        <f t="shared" si="7"/>
        <v>118483.59415659079</v>
      </c>
    </row>
    <row r="505" spans="1:5" x14ac:dyDescent="0.25">
      <c r="A505" s="15">
        <v>109003</v>
      </c>
      <c r="B505" s="13" t="s">
        <v>1555</v>
      </c>
      <c r="C505" s="22">
        <v>262448924</v>
      </c>
      <c r="D505" s="14">
        <v>2896.3679999999999</v>
      </c>
      <c r="E505" s="16">
        <f t="shared" si="7"/>
        <v>90613.114079426377</v>
      </c>
    </row>
    <row r="506" spans="1:5" x14ac:dyDescent="0.25">
      <c r="A506" s="15">
        <v>110014</v>
      </c>
      <c r="B506" s="13" t="s">
        <v>1556</v>
      </c>
      <c r="C506" s="22">
        <v>27137721</v>
      </c>
      <c r="D506" s="14">
        <v>797.22420000000011</v>
      </c>
      <c r="E506" s="16">
        <f t="shared" si="7"/>
        <v>34040.262450638096</v>
      </c>
    </row>
    <row r="507" spans="1:5" x14ac:dyDescent="0.25">
      <c r="A507" s="15">
        <v>110029</v>
      </c>
      <c r="B507" s="13" t="s">
        <v>1557</v>
      </c>
      <c r="C507" s="22">
        <v>81804829</v>
      </c>
      <c r="D507" s="14">
        <v>2245.1751999999997</v>
      </c>
      <c r="E507" s="16">
        <f t="shared" si="7"/>
        <v>36435.833159033653</v>
      </c>
    </row>
    <row r="508" spans="1:5" x14ac:dyDescent="0.25">
      <c r="A508" s="15">
        <v>110030</v>
      </c>
      <c r="B508" s="13" t="s">
        <v>1558</v>
      </c>
      <c r="C508" s="22">
        <v>13022365</v>
      </c>
      <c r="D508" s="14">
        <v>221.0438</v>
      </c>
      <c r="E508" s="16">
        <f t="shared" si="7"/>
        <v>58913.052526241401</v>
      </c>
    </row>
    <row r="509" spans="1:5" x14ac:dyDescent="0.25">
      <c r="A509" s="15">
        <v>110031</v>
      </c>
      <c r="B509" s="13" t="s">
        <v>1559</v>
      </c>
      <c r="C509" s="22">
        <v>21155402</v>
      </c>
      <c r="D509" s="14">
        <v>407.96969999999999</v>
      </c>
      <c r="E509" s="16">
        <f t="shared" si="7"/>
        <v>51855.326510767838</v>
      </c>
    </row>
    <row r="510" spans="1:5" x14ac:dyDescent="0.25">
      <c r="A510" s="15">
        <v>111086</v>
      </c>
      <c r="B510" s="13" t="s">
        <v>1560</v>
      </c>
      <c r="C510" s="22">
        <v>38446950</v>
      </c>
      <c r="D510" s="14">
        <v>727.85179999999991</v>
      </c>
      <c r="E510" s="16">
        <f t="shared" si="7"/>
        <v>52822.497656803222</v>
      </c>
    </row>
    <row r="511" spans="1:5" x14ac:dyDescent="0.25">
      <c r="A511" s="15">
        <v>111087</v>
      </c>
      <c r="B511" s="13" t="s">
        <v>1561</v>
      </c>
      <c r="C511" s="22">
        <v>62871790</v>
      </c>
      <c r="D511" s="14">
        <v>1014.3082000000001</v>
      </c>
      <c r="E511" s="16">
        <f t="shared" si="7"/>
        <v>61984.897686916062</v>
      </c>
    </row>
    <row r="512" spans="1:5" x14ac:dyDescent="0.25">
      <c r="A512" s="15">
        <v>112099</v>
      </c>
      <c r="B512" s="13" t="s">
        <v>1562</v>
      </c>
      <c r="C512" s="22">
        <v>13237306</v>
      </c>
      <c r="D512" s="14">
        <v>243.45490000000001</v>
      </c>
      <c r="E512" s="16">
        <f t="shared" si="7"/>
        <v>54372.72365436062</v>
      </c>
    </row>
    <row r="513" spans="1:5" x14ac:dyDescent="0.25">
      <c r="A513" s="15">
        <v>112101</v>
      </c>
      <c r="B513" s="13" t="s">
        <v>1563</v>
      </c>
      <c r="C513" s="22">
        <v>29759798</v>
      </c>
      <c r="D513" s="14">
        <v>621.29970000000003</v>
      </c>
      <c r="E513" s="16">
        <f t="shared" si="7"/>
        <v>47899.263431158906</v>
      </c>
    </row>
    <row r="514" spans="1:5" x14ac:dyDescent="0.25">
      <c r="A514" s="15">
        <v>112102</v>
      </c>
      <c r="B514" s="13" t="s">
        <v>1564</v>
      </c>
      <c r="C514" s="22">
        <v>164635656</v>
      </c>
      <c r="D514" s="14">
        <v>2940.6925000000001</v>
      </c>
      <c r="E514" s="16">
        <f t="shared" si="7"/>
        <v>55985.335426944504</v>
      </c>
    </row>
    <row r="515" spans="1:5" x14ac:dyDescent="0.25">
      <c r="A515" s="15">
        <v>112103</v>
      </c>
      <c r="B515" s="13" t="s">
        <v>1565</v>
      </c>
      <c r="C515" s="22">
        <v>41118061</v>
      </c>
      <c r="D515" s="14">
        <v>760.35609999999997</v>
      </c>
      <c r="E515" s="16">
        <f t="shared" ref="E515:E522" si="8">C515/D515</f>
        <v>54077.373746327547</v>
      </c>
    </row>
    <row r="516" spans="1:5" x14ac:dyDescent="0.25">
      <c r="A516" s="15">
        <v>113001</v>
      </c>
      <c r="B516" s="13" t="s">
        <v>1566</v>
      </c>
      <c r="C516" s="22">
        <v>22471500</v>
      </c>
      <c r="D516" s="14">
        <v>379.30930000000006</v>
      </c>
      <c r="E516" s="16">
        <f t="shared" si="8"/>
        <v>59243.208642656522</v>
      </c>
    </row>
    <row r="517" spans="1:5" x14ac:dyDescent="0.25">
      <c r="A517" s="15">
        <v>114112</v>
      </c>
      <c r="B517" s="13" t="s">
        <v>1567</v>
      </c>
      <c r="C517" s="22">
        <v>14562487</v>
      </c>
      <c r="D517" s="14">
        <v>442.61540000000002</v>
      </c>
      <c r="E517" s="16">
        <f t="shared" si="8"/>
        <v>32900.994859193779</v>
      </c>
    </row>
    <row r="518" spans="1:5" x14ac:dyDescent="0.25">
      <c r="A518" s="15">
        <v>114113</v>
      </c>
      <c r="B518" s="13" t="s">
        <v>1568</v>
      </c>
      <c r="C518" s="22">
        <v>32135006</v>
      </c>
      <c r="D518" s="14">
        <v>692.97520000000009</v>
      </c>
      <c r="E518" s="16">
        <f t="shared" si="8"/>
        <v>46372.519536052656</v>
      </c>
    </row>
    <row r="519" spans="1:5" x14ac:dyDescent="0.25">
      <c r="A519" s="15">
        <v>114114</v>
      </c>
      <c r="B519" s="13" t="s">
        <v>1569</v>
      </c>
      <c r="C519" s="22">
        <v>80848966</v>
      </c>
      <c r="D519" s="14">
        <v>1456.9128000000003</v>
      </c>
      <c r="E519" s="16">
        <f t="shared" si="8"/>
        <v>55493.345929831892</v>
      </c>
    </row>
    <row r="520" spans="1:5" x14ac:dyDescent="0.25">
      <c r="A520" s="15">
        <v>114115</v>
      </c>
      <c r="B520" s="13" t="s">
        <v>1570</v>
      </c>
      <c r="C520" s="22">
        <v>32862506</v>
      </c>
      <c r="D520" s="14">
        <v>666.43700000000001</v>
      </c>
      <c r="E520" s="16">
        <f t="shared" si="8"/>
        <v>49310.746552187229</v>
      </c>
    </row>
    <row r="521" spans="1:5" x14ac:dyDescent="0.25">
      <c r="A521" s="15">
        <v>114116</v>
      </c>
      <c r="B521" s="13" t="s">
        <v>1571</v>
      </c>
      <c r="C521" s="22">
        <v>4478458</v>
      </c>
      <c r="D521" s="14">
        <v>89.062399999999997</v>
      </c>
      <c r="E521" s="16">
        <f t="shared" si="8"/>
        <v>50284.497161540676</v>
      </c>
    </row>
    <row r="522" spans="1:5" x14ac:dyDescent="0.25">
      <c r="A522" s="15">
        <v>115115</v>
      </c>
      <c r="B522" s="13" t="s">
        <v>1572</v>
      </c>
      <c r="C522" s="22">
        <v>4321388787</v>
      </c>
      <c r="D522" s="14">
        <v>22753.654399999999</v>
      </c>
      <c r="E522" s="16">
        <f t="shared" si="8"/>
        <v>189920.64795534557</v>
      </c>
    </row>
    <row r="524" spans="1:5" ht="15.75" thickBot="1" x14ac:dyDescent="0.3">
      <c r="A524" s="26" t="s">
        <v>1052</v>
      </c>
      <c r="B524" s="24"/>
      <c r="C524" s="28">
        <f>SUM(C2:C523)</f>
        <v>90698251626</v>
      </c>
      <c r="D524" s="29">
        <f>SUM(D2:D523)</f>
        <v>829823.09309999959</v>
      </c>
      <c r="E524" s="25"/>
    </row>
    <row r="525" spans="1:5" ht="15.75" thickTop="1" x14ac:dyDescent="0.25">
      <c r="A525" s="26"/>
      <c r="B525" s="24"/>
      <c r="C525" s="27"/>
      <c r="D525" s="18"/>
      <c r="E525" s="25"/>
    </row>
    <row r="526" spans="1:5" ht="15.75" thickBot="1" x14ac:dyDescent="0.3">
      <c r="A526" s="26" t="s">
        <v>1048</v>
      </c>
      <c r="B526" s="24"/>
      <c r="C526" s="27"/>
      <c r="D526" s="18"/>
      <c r="E526" s="5">
        <f>C524/D524</f>
        <v>109298.29789042786</v>
      </c>
    </row>
    <row r="527" spans="1:5" ht="15.75" thickTop="1" x14ac:dyDescent="0.25">
      <c r="A527" s="11" t="s">
        <v>3</v>
      </c>
    </row>
    <row r="528" spans="1:5" x14ac:dyDescent="0.25">
      <c r="A528" s="11"/>
    </row>
    <row r="529" spans="1:1" x14ac:dyDescent="0.25">
      <c r="A529" s="11" t="s">
        <v>4</v>
      </c>
    </row>
    <row r="530" spans="1:1" x14ac:dyDescent="0.25">
      <c r="A530" s="11" t="s">
        <v>5</v>
      </c>
    </row>
    <row r="531" spans="1:1" x14ac:dyDescent="0.25">
      <c r="A531" s="11"/>
    </row>
    <row r="532" spans="1:1" x14ac:dyDescent="0.25">
      <c r="A532" s="11" t="s">
        <v>6</v>
      </c>
    </row>
    <row r="533" spans="1:1" x14ac:dyDescent="0.25">
      <c r="A533" s="11" t="s">
        <v>7</v>
      </c>
    </row>
    <row r="534" spans="1:1" x14ac:dyDescent="0.25">
      <c r="A534" s="11"/>
    </row>
    <row r="535" spans="1:1" x14ac:dyDescent="0.25">
      <c r="A535" s="11" t="s">
        <v>1046</v>
      </c>
    </row>
    <row r="536" spans="1:1" x14ac:dyDescent="0.25">
      <c r="A536" s="11" t="s">
        <v>1047</v>
      </c>
    </row>
  </sheetData>
  <pageMargins left="0.7" right="0.7" top="1.15625" bottom="0.75" header="0.3" footer="0.3"/>
  <pageSetup orientation="portrait" r:id="rId1"/>
  <headerFooter>
    <oddHeader xml:space="preserve">&amp;C&amp;"-,Bold"Missouri Department of Elementary and Secondary Education
School Finance 
Assessed Valuation per ADA for 2009-2010
</oddHeader>
    <oddFooter>&amp;L12-3-2010&amp;R&amp;P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ltTitle xmlns="2410ea18-75d3-4219-a200-ba523e977800" xsi:nil="true"/>
    <IconOverlay xmlns="http://schemas.microsoft.com/sharepoint/v4" xsi:nil="true"/>
    <Sort_x0020_Order xmlns="a43f6d0f-7c3d-4422-add2-bc9a5b372349">21</Sort_x0020_Order>
    <RoutingRuleDescription xmlns="http://schemas.microsoft.com/sharepoint/v3">Assessed Valuation per Average Daily Attendance - 2014</RoutingRuleDescription>
    <Assistance_x0020_Info xmlns="2410ea18-75d3-4219-a200-ba523e977800">
      <Url xsi:nil="true"/>
      <Description xsi:nil="true"/>
    </Assistance_x0020_Info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9B7C854BBF4647AA7D53618F5E359E" ma:contentTypeVersion="5" ma:contentTypeDescription="Create a new document." ma:contentTypeScope="" ma:versionID="d67caff2d1379b34c73f13c3047e3553">
  <xsd:schema xmlns:xsd="http://www.w3.org/2001/XMLSchema" xmlns:xs="http://www.w3.org/2001/XMLSchema" xmlns:p="http://schemas.microsoft.com/office/2006/metadata/properties" xmlns:ns1="http://schemas.microsoft.com/sharepoint/v3" xmlns:ns2="http://schemas.microsoft.com/sharepoint/v4" xmlns:ns3="a43f6d0f-7c3d-4422-add2-bc9a5b372349" xmlns:ns4="2410ea18-75d3-4219-a200-ba523e977800" targetNamespace="http://schemas.microsoft.com/office/2006/metadata/properties" ma:root="true" ma:fieldsID="c26238bed1dd87f3fe78b36df327b5ad" ns1:_="" ns2:_="" ns3:_="" ns4:_="">
    <xsd:import namespace="http://schemas.microsoft.com/sharepoint/v3"/>
    <xsd:import namespace="http://schemas.microsoft.com/sharepoint/v4"/>
    <xsd:import namespace="a43f6d0f-7c3d-4422-add2-bc9a5b372349"/>
    <xsd:import namespace="2410ea18-75d3-4219-a200-ba523e977800"/>
    <xsd:element name="properties">
      <xsd:complexType>
        <xsd:sequence>
          <xsd:element name="documentManagement">
            <xsd:complexType>
              <xsd:all>
                <xsd:element ref="ns1:RoutingRuleDescription" minOccurs="0"/>
                <xsd:element ref="ns2:IconOverlay" minOccurs="0"/>
                <xsd:element ref="ns3:Sort_x0020_Order" minOccurs="0"/>
                <xsd:element ref="ns4:Assistance_x0020_Info" minOccurs="0"/>
                <xsd:element ref="ns4:AltTitl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8" nillable="true" ma:displayName="Description" ma:internalName="RoutingRuleDescription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9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f6d0f-7c3d-4422-add2-bc9a5b372349" elementFormDefault="qualified">
    <xsd:import namespace="http://schemas.microsoft.com/office/2006/documentManagement/types"/>
    <xsd:import namespace="http://schemas.microsoft.com/office/infopath/2007/PartnerControls"/>
    <xsd:element name="Sort_x0020_Order" ma:index="10" nillable="true" ma:displayName="Sort Order" ma:internalName="Sort_x0020_Order">
      <xsd:simpleType>
        <xsd:restriction base="dms:Text">
          <xsd:maxLength value="6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10ea18-75d3-4219-a200-ba523e977800" elementFormDefault="qualified">
    <xsd:import namespace="http://schemas.microsoft.com/office/2006/documentManagement/types"/>
    <xsd:import namespace="http://schemas.microsoft.com/office/infopath/2007/PartnerControls"/>
    <xsd:element name="Assistance_x0020_Info" ma:index="11" nillable="true" ma:displayName="Assistance Info" ma:format="Hyperlink" ma:internalName="Assistance_x0020_Inf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ltTitle" ma:index="12" nillable="true" ma:displayName="AltTitle" ma:internalName="AltTitl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CC5359-39B3-4525-8A96-0701A5147D2B}">
  <ds:schemaRefs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2410ea18-75d3-4219-a200-ba523e977800"/>
    <ds:schemaRef ds:uri="http://schemas.microsoft.com/office/2006/documentManagement/types"/>
    <ds:schemaRef ds:uri="a43f6d0f-7c3d-4422-add2-bc9a5b372349"/>
    <ds:schemaRef ds:uri="http://schemas.microsoft.com/sharepoint/v4"/>
    <ds:schemaRef ds:uri="http://schemas.microsoft.com/sharepoint/v3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C9017A9-E3A7-4CC0-BA86-DC9D4AD5A07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5649190-B661-4FFC-A5D8-7D531127F2D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50F2D37-D382-4DA4-BBED-57FEF80CF1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sharepoint/v4"/>
    <ds:schemaRef ds:uri="a43f6d0f-7c3d-4422-add2-bc9a5b372349"/>
    <ds:schemaRef ds:uri="2410ea18-75d3-4219-a200-ba523e9778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'2014'!Print_Area</vt:lpstr>
      <vt:lpstr>'2016'!Print_Area</vt:lpstr>
      <vt:lpstr>'2017'!Print_Area</vt:lpstr>
      <vt:lpstr>'2018'!Print_Area</vt:lpstr>
      <vt:lpstr>'2019'!Print_Area</vt:lpstr>
      <vt:lpstr>'2020'!Print_Area</vt:lpstr>
      <vt:lpstr>'2021'!Print_Area</vt:lpstr>
      <vt:lpstr>'2010'!Print_Titles</vt:lpstr>
      <vt:lpstr>'2011'!Print_Titles</vt:lpstr>
      <vt:lpstr>'2013'!Print_Titles</vt:lpstr>
      <vt:lpstr>'2015'!Print_Titles</vt:lpstr>
      <vt:lpstr>'2016'!Print_Titles</vt:lpstr>
    </vt:vector>
  </TitlesOfParts>
  <Company>DESE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Assessed Valuation per Average Daily Attendance - 2014</dc:title>
  <dc:creator>Tlehmen</dc:creator>
  <cp:lastModifiedBy>Lehmen, Tammy</cp:lastModifiedBy>
  <cp:lastPrinted>2018-12-11T20:48:34Z</cp:lastPrinted>
  <dcterms:created xsi:type="dcterms:W3CDTF">2010-12-07T18:04:54Z</dcterms:created>
  <dcterms:modified xsi:type="dcterms:W3CDTF">2021-11-19T14:49:35Z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xd_ProgID">
    <vt:lpwstr/>
  </property>
  <property fmtid="{D5CDD505-2E9C-101B-9397-08002B2CF9AE}" pid="4" name="_CopySource">
    <vt:lpwstr/>
  </property>
  <property fmtid="{D5CDD505-2E9C-101B-9397-08002B2CF9AE}" pid="5" name="Order">
    <vt:lpwstr>4100.00000000000</vt:lpwstr>
  </property>
  <property fmtid="{D5CDD505-2E9C-101B-9397-08002B2CF9AE}" pid="6" name="URL">
    <vt:lpwstr/>
  </property>
  <property fmtid="{D5CDD505-2E9C-101B-9397-08002B2CF9AE}" pid="7" name="_SourceUrl">
    <vt:lpwstr/>
  </property>
  <property fmtid="{D5CDD505-2E9C-101B-9397-08002B2CF9AE}" pid="8" name="ContentTypeId">
    <vt:lpwstr>0x0101009515DAD9036CE644A4288519E269819F</vt:lpwstr>
  </property>
  <property fmtid="{D5CDD505-2E9C-101B-9397-08002B2CF9AE}" pid="9" name="PublishingContact">
    <vt:lpwstr/>
  </property>
</Properties>
</file>